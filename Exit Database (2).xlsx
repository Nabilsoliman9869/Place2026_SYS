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hamed.707\Desktop\"/>
    </mc:Choice>
  </mc:AlternateContent>
  <bookViews>
    <workbookView xWindow="0" yWindow="0" windowWidth="24000" windowHeight="9000" activeTab="2"/>
  </bookViews>
  <sheets>
    <sheet name="Process" sheetId="11" r:id="rId1"/>
    <sheet name="WLA" sheetId="10" state="hidden" r:id="rId2"/>
    <sheet name="Data" sheetId="1" r:id="rId3"/>
    <sheet name="Pending" sheetId="9" r:id="rId4"/>
    <sheet name="Rejoiners" sheetId="4" r:id="rId5"/>
    <sheet name="Raw-Data" sheetId="12" r:id="rId6"/>
    <sheet name="Int. DB" sheetId="2" state="hidden" r:id="rId7"/>
  </sheets>
  <definedNames>
    <definedName name="_xlnm._FilterDatabase" localSheetId="2" hidden="1">Data!$C$1:$AB$3098</definedName>
    <definedName name="_xlnm._FilterDatabase" localSheetId="4" hidden="1">Rejoiners!$B$1:$D$225</definedName>
    <definedName name="Allocation">'Int. DB'!$C$2:$C$18</definedName>
    <definedName name="Hired">'Int. DB'!$B$2:$B$3</definedName>
    <definedName name="Internal">'Int. DB'!$D$2:$D$3</definedName>
    <definedName name="Trainers">'Int. DB'!$F$2:$F$24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906" i="1" l="1"/>
  <c r="AG1861" i="1"/>
  <c r="AG1789" i="1"/>
  <c r="AG1714" i="1"/>
  <c r="AG1628" i="1"/>
  <c r="AG1625" i="1"/>
  <c r="AG1506" i="1"/>
  <c r="AE1503" i="1"/>
  <c r="AE1437" i="1"/>
  <c r="AG1431" i="1"/>
  <c r="AE1428" i="1"/>
  <c r="AD173" i="1"/>
  <c r="AG176" i="1"/>
  <c r="AD176" i="1"/>
  <c r="AG173" i="1"/>
  <c r="AG1503" i="1" l="1"/>
  <c r="AG1428" i="1"/>
  <c r="M3" i="4" l="1"/>
  <c r="L3" i="4"/>
  <c r="K3" i="4"/>
  <c r="J3" i="4"/>
  <c r="I3" i="4"/>
  <c r="H3" i="4"/>
  <c r="G3" i="4"/>
  <c r="F3" i="4"/>
  <c r="AD170" i="1" l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48" i="1" l="1"/>
  <c r="AG148" i="1"/>
  <c r="AE151" i="1" l="1"/>
  <c r="Z483" i="1"/>
  <c r="Z485" i="1"/>
  <c r="Z1306" i="1" l="1"/>
  <c r="Z1305" i="1"/>
  <c r="Z1301" i="1"/>
  <c r="Z1300" i="1"/>
  <c r="Z1291" i="1"/>
  <c r="Z1290" i="1"/>
  <c r="Z1216" i="1"/>
  <c r="Z1215" i="1"/>
  <c r="Z1214" i="1"/>
  <c r="Z1187" i="1"/>
  <c r="Z1157" i="1"/>
  <c r="Z860" i="1"/>
  <c r="Z859" i="1"/>
  <c r="Z858" i="1"/>
  <c r="Z690" i="1"/>
  <c r="Z586" i="1"/>
  <c r="Z585" i="1"/>
  <c r="Z486" i="1"/>
  <c r="Z467" i="1"/>
  <c r="Z422" i="1"/>
  <c r="Z425" i="1"/>
  <c r="AD154" i="1" l="1"/>
  <c r="AG154" i="1" s="1"/>
</calcChain>
</file>

<file path=xl/sharedStrings.xml><?xml version="1.0" encoding="utf-8"?>
<sst xmlns="http://schemas.openxmlformats.org/spreadsheetml/2006/main" count="32160" uniqueCount="7248">
  <si>
    <t>HRID</t>
  </si>
  <si>
    <t>Full Name</t>
  </si>
  <si>
    <t>ID Number</t>
  </si>
  <si>
    <t>Graduation Status</t>
  </si>
  <si>
    <t>Gap Year</t>
  </si>
  <si>
    <t>New Hire</t>
  </si>
  <si>
    <t>Hiring Date</t>
  </si>
  <si>
    <t>Project</t>
  </si>
  <si>
    <t>TP Academy</t>
  </si>
  <si>
    <t>Language</t>
  </si>
  <si>
    <t>Recruiter</t>
  </si>
  <si>
    <t>Allocation Date</t>
  </si>
  <si>
    <t>English</t>
  </si>
  <si>
    <t>NOK</t>
  </si>
  <si>
    <t>Abdelrahman Hesham</t>
  </si>
  <si>
    <t>Habiba</t>
  </si>
  <si>
    <t>Marina</t>
  </si>
  <si>
    <t>TPA W#</t>
  </si>
  <si>
    <t>Status/Comments</t>
  </si>
  <si>
    <t>Asmahan Saeed Aboelkhier Attia</t>
  </si>
  <si>
    <t>Engy Magdy Ahmed Anwar</t>
  </si>
  <si>
    <t>Baher Mohamed Ali Mohamed</t>
  </si>
  <si>
    <t>Gamaleldin Ahmed Gamaleldin Mahmoud</t>
  </si>
  <si>
    <t>Sara Mohamed Samih Hafez</t>
  </si>
  <si>
    <t>Shehab Mohamed Noureldin Soliman</t>
  </si>
  <si>
    <t>Abdelaziz Abdallah Abdelaziz Saeed</t>
  </si>
  <si>
    <t>Sherif Nasser Mohamed Sultan</t>
  </si>
  <si>
    <t>Karim Mohamed Ahmed Mohamed</t>
  </si>
  <si>
    <t>Ahmed Adel Ahmed Abolelkhier</t>
  </si>
  <si>
    <t>Zienab Essam Adel Moustafa</t>
  </si>
  <si>
    <t>Marwan Gamal Ahmed Embaby</t>
  </si>
  <si>
    <t>Bassel Mohamed Hany Ibrahim</t>
  </si>
  <si>
    <t>Hany Adel Zaki Tawfeek</t>
  </si>
  <si>
    <t>Mohamed Afify Youssef Abdo</t>
  </si>
  <si>
    <t>Grad</t>
  </si>
  <si>
    <t>01120201590</t>
  </si>
  <si>
    <t>01124616646</t>
  </si>
  <si>
    <t>01275602744</t>
  </si>
  <si>
    <t>01002109291</t>
  </si>
  <si>
    <t>01112522890</t>
  </si>
  <si>
    <t>01091414002</t>
  </si>
  <si>
    <t>01014440959</t>
  </si>
  <si>
    <t>01155756518</t>
  </si>
  <si>
    <t>01151233321</t>
  </si>
  <si>
    <t>01119979260</t>
  </si>
  <si>
    <t>01226558840</t>
  </si>
  <si>
    <t>01148766357</t>
  </si>
  <si>
    <t>01119887372</t>
  </si>
  <si>
    <t>01011810777</t>
  </si>
  <si>
    <t>01019515658</t>
  </si>
  <si>
    <t xml:space="preserve">Yara Mahfouz </t>
  </si>
  <si>
    <t xml:space="preserve">Marina </t>
  </si>
  <si>
    <t>Belal</t>
  </si>
  <si>
    <t>Ahmed Tarek</t>
  </si>
  <si>
    <t xml:space="preserve">Daniel </t>
  </si>
  <si>
    <t>Keita</t>
  </si>
  <si>
    <t xml:space="preserve">Ziena </t>
  </si>
  <si>
    <t>Yara Belal</t>
  </si>
  <si>
    <t>Frienda</t>
  </si>
  <si>
    <t>Re-join</t>
  </si>
  <si>
    <t>Expedia</t>
  </si>
  <si>
    <t>Freedom</t>
  </si>
  <si>
    <t>Nearshore</t>
  </si>
  <si>
    <t>Dismissed</t>
  </si>
  <si>
    <t>Resigned</t>
  </si>
  <si>
    <t>Hired?</t>
  </si>
  <si>
    <t>Yes</t>
  </si>
  <si>
    <t>No</t>
  </si>
  <si>
    <t>Ibtehal Sobhy Radwan Ahmed</t>
  </si>
  <si>
    <t>Nader Fares Farid Hanna</t>
  </si>
  <si>
    <t>Hend Mohamed Boghdady Mohamed</t>
  </si>
  <si>
    <t>Abdelkerim Mamdouh Hosny Hanafy</t>
  </si>
  <si>
    <t>Hager Amr Attia Refaey</t>
  </si>
  <si>
    <t>Wessam Hatem Hosny Ibrahim</t>
  </si>
  <si>
    <t>Ayman Ahmed Mohamed Mostafa</t>
  </si>
  <si>
    <t>Salonaz Hamza Abdelbadea Omar</t>
  </si>
  <si>
    <t>Dalia Sayed Awad Mostafa</t>
  </si>
  <si>
    <t>Mohamed Ahmed Mohamed Mahmoud Elfeky</t>
  </si>
  <si>
    <t>Ahmed Khaled Ahmed Roshdy</t>
  </si>
  <si>
    <t>Alaa Yehia Abdelmoniem Abdelsalam</t>
  </si>
  <si>
    <t>Abdelrahman Mostafa Elsayed Elsamahy</t>
  </si>
  <si>
    <t>Mohamed Ghareeb Ibrahim Younis</t>
  </si>
  <si>
    <t>Mahmoud Malek Ahmed AbdEllatif</t>
  </si>
  <si>
    <t xml:space="preserve">UG </t>
  </si>
  <si>
    <t>01097014644</t>
  </si>
  <si>
    <t>01273429994</t>
  </si>
  <si>
    <t>01017823604</t>
  </si>
  <si>
    <t>01014103134</t>
  </si>
  <si>
    <t>01150918302</t>
  </si>
  <si>
    <t>01159270769</t>
  </si>
  <si>
    <t>01127625605</t>
  </si>
  <si>
    <t>01118715808</t>
  </si>
  <si>
    <t>01121221724</t>
  </si>
  <si>
    <t>01001211570</t>
  </si>
  <si>
    <t>01023704660</t>
  </si>
  <si>
    <t>01005430407</t>
  </si>
  <si>
    <t>01017970871</t>
  </si>
  <si>
    <t>01032820018</t>
  </si>
  <si>
    <t>01121170661</t>
  </si>
  <si>
    <t xml:space="preserve">Yes </t>
  </si>
  <si>
    <t xml:space="preserve">Youstina </t>
  </si>
  <si>
    <t xml:space="preserve">Sahar </t>
  </si>
  <si>
    <t xml:space="preserve">Keita </t>
  </si>
  <si>
    <t>Shehab</t>
  </si>
  <si>
    <t>Sahar</t>
  </si>
  <si>
    <t>Nour</t>
  </si>
  <si>
    <t>Zeina</t>
  </si>
  <si>
    <t>Yara Mahfouz</t>
  </si>
  <si>
    <t>Career Community</t>
  </si>
  <si>
    <t>Fatmah</t>
  </si>
  <si>
    <t xml:space="preserve">Expedia </t>
  </si>
  <si>
    <t xml:space="preserve">Nearshore </t>
  </si>
  <si>
    <t>Osama Mohamed Abdelrashid Mohamed</t>
  </si>
  <si>
    <t>Mohamed Reda Mohamed Ali</t>
  </si>
  <si>
    <t>Marwa Mahmoud Mohamed Wahdan</t>
  </si>
  <si>
    <t>Maha Salah Mokhtar Refaey</t>
  </si>
  <si>
    <t>Kholoud Abdelmaksoud Nasr Abdelmaksoud</t>
  </si>
  <si>
    <t>Nour Hamdy Bakry Elsersawy</t>
  </si>
  <si>
    <t>Mohamed Rabie Mahdy Elsayed</t>
  </si>
  <si>
    <t>Merna Mostafa Mohamed Elamin</t>
  </si>
  <si>
    <t>Rana Atef Abdelmoniem Mostafa</t>
  </si>
  <si>
    <t>Alaa Awad Abdelhamed Osman</t>
  </si>
  <si>
    <t>Ahmed Rmadan Mohamed Elabd</t>
  </si>
  <si>
    <t>Mostafa Ahmed Zaki Ahmed</t>
  </si>
  <si>
    <t>Omnia Mohamed Mansour Haridy</t>
  </si>
  <si>
    <t>Youstina Rady Toma Samaan</t>
  </si>
  <si>
    <t>Amr Osama Abdelghany Mohamed</t>
  </si>
  <si>
    <t>Sara Khaled Farouk Ramadan</t>
  </si>
  <si>
    <t>P02261306</t>
  </si>
  <si>
    <t xml:space="preserve">Grad </t>
  </si>
  <si>
    <t>01001655144</t>
  </si>
  <si>
    <t>01090771958</t>
  </si>
  <si>
    <t>01097502429</t>
  </si>
  <si>
    <t>01273624525</t>
  </si>
  <si>
    <t>01026646040</t>
  </si>
  <si>
    <t>01100321868</t>
  </si>
  <si>
    <t>01005323226</t>
  </si>
  <si>
    <t>01224257018</t>
  </si>
  <si>
    <t>01004394589</t>
  </si>
  <si>
    <t>01008005307</t>
  </si>
  <si>
    <t>01553563747</t>
  </si>
  <si>
    <t>01067720809</t>
  </si>
  <si>
    <t>01112377115</t>
  </si>
  <si>
    <t>01228785026</t>
  </si>
  <si>
    <t>01111271343</t>
  </si>
  <si>
    <t>01117044841</t>
  </si>
  <si>
    <t>Yara mahfouz</t>
  </si>
  <si>
    <t>Eman</t>
  </si>
  <si>
    <t>Eman Eldaly</t>
  </si>
  <si>
    <t>Tarek</t>
  </si>
  <si>
    <t>Expedia/WU</t>
  </si>
  <si>
    <t>Allocation</t>
  </si>
  <si>
    <t>Rejoined?</t>
  </si>
  <si>
    <t>Ahmed Mohamed Mohamed Abdelkerim</t>
  </si>
  <si>
    <t>Doaa Ahmed Elsayed Mostafa</t>
  </si>
  <si>
    <t>Omnia Ahmed Mohamed Mahmoud</t>
  </si>
  <si>
    <t>Mostafa Reda Abdelhamid Mostafa</t>
  </si>
  <si>
    <t>Mahmoud Hussein Elbakry Mohamed</t>
  </si>
  <si>
    <t>Nada Ahmed Ibrahim Abdelhamid</t>
  </si>
  <si>
    <t>Elham Abdelsamee Bekhet Abdelsamee</t>
  </si>
  <si>
    <t>Afnan Abdelfattah Ali Abdallah</t>
  </si>
  <si>
    <t>01153790808</t>
  </si>
  <si>
    <t>01128738236</t>
  </si>
  <si>
    <t>01069498484</t>
  </si>
  <si>
    <t>01147468765</t>
  </si>
  <si>
    <t>01150157060</t>
  </si>
  <si>
    <t>01096667867</t>
  </si>
  <si>
    <t>01010686209</t>
  </si>
  <si>
    <t>01097133331</t>
  </si>
  <si>
    <t xml:space="preserve">Freedom </t>
  </si>
  <si>
    <t>Comp. Expedia</t>
  </si>
  <si>
    <t>Comp. Freedom</t>
  </si>
  <si>
    <t>Somaya Hamdy Abdelmotaleb Elnaggar</t>
  </si>
  <si>
    <t>Amina Sayed Abdelgawad Sayed</t>
  </si>
  <si>
    <t>Omnia Hesham Mohamed Elsayed</t>
  </si>
  <si>
    <t>Amr Ragab Mohamed Bakr</t>
  </si>
  <si>
    <t>Omar Ahmed Helmy Mohamed</t>
  </si>
  <si>
    <t>Ahmed Mahmoud Mohamed Nashaat</t>
  </si>
  <si>
    <t>Fatma Elsayed Ahmed Elanany</t>
  </si>
  <si>
    <t>Ahmed Mohy Abdelaaty Soliman</t>
  </si>
  <si>
    <t>Mostafa Kamal Mohamed Abomosalam</t>
  </si>
  <si>
    <t>Yasser Khaled Abdelsalam Salem</t>
  </si>
  <si>
    <t>Ahmed Abdelmoniem Soliman Mohamed</t>
  </si>
  <si>
    <t>Eslam Mohamed Kamal Ahmed</t>
  </si>
  <si>
    <t>UG</t>
  </si>
  <si>
    <t>01068701870</t>
  </si>
  <si>
    <t>01066707084</t>
  </si>
  <si>
    <t>01126696367</t>
  </si>
  <si>
    <t>01111773785</t>
  </si>
  <si>
    <t>01005163165</t>
  </si>
  <si>
    <t>01110969498</t>
  </si>
  <si>
    <t>01091190693</t>
  </si>
  <si>
    <t>01280416595</t>
  </si>
  <si>
    <t>01064397717</t>
  </si>
  <si>
    <t>01119709302</t>
  </si>
  <si>
    <t>01068334699</t>
  </si>
  <si>
    <t>01019755432</t>
  </si>
  <si>
    <t>Laila</t>
  </si>
  <si>
    <t>Nagham Ahmed Mohamed Mahmoud</t>
  </si>
  <si>
    <t>Mina Botros Gabrael Gergis</t>
  </si>
  <si>
    <t>Aya Mohamed Naguib Aboelhadid</t>
  </si>
  <si>
    <t>Sara Mamdouh Abdelrazek Mohamed</t>
  </si>
  <si>
    <t>Merihan Mohamed Samih Saeed</t>
  </si>
  <si>
    <t>Mohamed Abdelmoniem Radwan Hussein</t>
  </si>
  <si>
    <t>Ayman Mohamed Mohamed Hassan</t>
  </si>
  <si>
    <t>Abdelrahman Mohsen Mohamed Rashad</t>
  </si>
  <si>
    <t>Mohamed Ali Mohamed Shalaby</t>
  </si>
  <si>
    <t>Ahmed Hossameldin Hussein Eltaweel</t>
  </si>
  <si>
    <t>Nagwan Khaled Mohamed Khedr</t>
  </si>
  <si>
    <t>Youssef Tarek Ahmed Salama</t>
  </si>
  <si>
    <t>Ahmed Gamal Mohamed Kamel</t>
  </si>
  <si>
    <t>Hazem Khaled Elsayed Abdelsalam Arafat</t>
  </si>
  <si>
    <t>01096648909</t>
  </si>
  <si>
    <t>01098864030</t>
  </si>
  <si>
    <t>01091861016</t>
  </si>
  <si>
    <t>01112951147</t>
  </si>
  <si>
    <t>01128011949</t>
  </si>
  <si>
    <t>01101020117</t>
  </si>
  <si>
    <t>01021697070</t>
  </si>
  <si>
    <t>01110033392</t>
  </si>
  <si>
    <t>01112095662</t>
  </si>
  <si>
    <t>01098002996</t>
  </si>
  <si>
    <t>01142000203</t>
  </si>
  <si>
    <t>01113933193</t>
  </si>
  <si>
    <t>01006452355</t>
  </si>
  <si>
    <t>01148331222</t>
  </si>
  <si>
    <t>Youstina</t>
  </si>
  <si>
    <t xml:space="preserve">Roudaina </t>
  </si>
  <si>
    <t>Ismail Abdelsabour Mounir Elkhodiry</t>
  </si>
  <si>
    <t>Mahmoud Abdelazim Shaaban Mabrouk</t>
  </si>
  <si>
    <t>Heba Tarek Mohamed Ramadan</t>
  </si>
  <si>
    <t>Amr Ali Mohamed Afify</t>
  </si>
  <si>
    <t>Ahmed Samir Abdelkhalea Abdelmegid</t>
  </si>
  <si>
    <t>Fatma Abdallah Ahmed Fathi</t>
  </si>
  <si>
    <t>Mohamed Mamdouh Mohamed Abdelrahman</t>
  </si>
  <si>
    <t>Nesma Mostafa Kamel Mohamed</t>
  </si>
  <si>
    <t>Gehad Ibrahim Abdelkerim Mostafa</t>
  </si>
  <si>
    <t xml:space="preserve">Passant Abdelmegid Sayed Abdelmegid </t>
  </si>
  <si>
    <t>Shatha Abdulkareem Shaif</t>
  </si>
  <si>
    <t>Mahmoud Mohamed Anwar Elbony</t>
  </si>
  <si>
    <t>Sara Zakaria Amin Elshihy</t>
  </si>
  <si>
    <t>Abdelrahman Kamel Saleh Soliman</t>
  </si>
  <si>
    <t>01024366670</t>
  </si>
  <si>
    <t>01016974538</t>
  </si>
  <si>
    <t>01090860649</t>
  </si>
  <si>
    <t>01094493199</t>
  </si>
  <si>
    <t>01113347177</t>
  </si>
  <si>
    <t>01095086788</t>
  </si>
  <si>
    <t>01060120126</t>
  </si>
  <si>
    <t>01011661163</t>
  </si>
  <si>
    <t>01027878633</t>
  </si>
  <si>
    <t>01141210819</t>
  </si>
  <si>
    <t>01286622417</t>
  </si>
  <si>
    <t>01123670890</t>
  </si>
  <si>
    <t>01012985560</t>
  </si>
  <si>
    <t>01069718902</t>
  </si>
  <si>
    <t>Yostina</t>
  </si>
  <si>
    <t>Adel</t>
  </si>
  <si>
    <t>The Hiring Date</t>
  </si>
  <si>
    <t>Yassin Mohamed Sayed Yassin Ali</t>
  </si>
  <si>
    <t>Abdelrahman Ahmed Abdellatif Ismail</t>
  </si>
  <si>
    <t>Eslam Medhat Ibrahim Salaheldin</t>
  </si>
  <si>
    <t>Yomna Abdelhady Ibrahim Elsayed</t>
  </si>
  <si>
    <t>Ahmed Fawzy Mohamed Mohamed</t>
  </si>
  <si>
    <t>Mohamed Ahmed Amin Abdelhak</t>
  </si>
  <si>
    <t>Marina Gamal Fouad Malak</t>
  </si>
  <si>
    <t>Haidy Mohamed Mohamed Ahmed</t>
  </si>
  <si>
    <t>Diaa Ahmed Mohamed Abdelaziz</t>
  </si>
  <si>
    <t>Ali Ahmed Bahyeldin Abdelazim</t>
  </si>
  <si>
    <t>Hesham Magdy Mohamed Fakhreldin</t>
  </si>
  <si>
    <t>Aya Mohamed Mahmoud Awad</t>
  </si>
  <si>
    <t>Ahmed Medhat Mahmoud Hemat</t>
  </si>
  <si>
    <t>Amr Mohamed Abdelsattar Hassan Saoudi</t>
  </si>
  <si>
    <t>Passant Amr Mohamed Ali Kamal</t>
  </si>
  <si>
    <t>Mohamed Medhat Abdelmoniem Abdellatif</t>
  </si>
  <si>
    <t>01030905711</t>
  </si>
  <si>
    <t>01157674781</t>
  </si>
  <si>
    <t>01007118913</t>
  </si>
  <si>
    <t>01146393637</t>
  </si>
  <si>
    <t>01120313186</t>
  </si>
  <si>
    <t>01026420870</t>
  </si>
  <si>
    <t>01150718711</t>
  </si>
  <si>
    <t>01142516886</t>
  </si>
  <si>
    <t>01550933977</t>
  </si>
  <si>
    <t>01060566276</t>
  </si>
  <si>
    <t>01157121752</t>
  </si>
  <si>
    <t>01151868451</t>
  </si>
  <si>
    <t>01112452044</t>
  </si>
  <si>
    <t>01112310916</t>
  </si>
  <si>
    <t>01000069919</t>
  </si>
  <si>
    <t>01123014025</t>
  </si>
  <si>
    <t xml:space="preserve">Abdelrahman Hesham </t>
  </si>
  <si>
    <t xml:space="preserve">Rodaina </t>
  </si>
  <si>
    <t>TPA</t>
  </si>
  <si>
    <t xml:space="preserve">Eman </t>
  </si>
  <si>
    <t>Hisham Farid Rabie Fares</t>
  </si>
  <si>
    <t>Sara Ali Mohamed Mohamed Hassan</t>
  </si>
  <si>
    <t>Asham Nawar Asham Abadir</t>
  </si>
  <si>
    <t>Mennatullah Magdy Ali Kamel</t>
  </si>
  <si>
    <t>Amira Mohamed Abdelmoniem Othman</t>
  </si>
  <si>
    <t>Ahmed Osama Abdelsalam Sallam</t>
  </si>
  <si>
    <t>Omar Awad Mohamed Awadallah</t>
  </si>
  <si>
    <t>Amr Mokhtar Ahmed Mohamed</t>
  </si>
  <si>
    <t>Rahma Khaled Mostafa Bashir</t>
  </si>
  <si>
    <t>Alaa Ahmed Attia Amin</t>
  </si>
  <si>
    <t>Amira Mohamed Elsayed Mohamed</t>
  </si>
  <si>
    <t>01008844756</t>
  </si>
  <si>
    <t>01140073067</t>
  </si>
  <si>
    <t>01225000346</t>
  </si>
  <si>
    <t>01009821322</t>
  </si>
  <si>
    <t>01142204460</t>
  </si>
  <si>
    <t>01000654553</t>
  </si>
  <si>
    <t>01065499533</t>
  </si>
  <si>
    <t>01020277380</t>
  </si>
  <si>
    <t>01153988765</t>
  </si>
  <si>
    <t>01156964665</t>
  </si>
  <si>
    <t>01019287676</t>
  </si>
  <si>
    <t xml:space="preserve"> ü</t>
  </si>
  <si>
    <t>û</t>
  </si>
  <si>
    <t>Internal</t>
  </si>
  <si>
    <t>Internal?</t>
  </si>
  <si>
    <t>Abdelhamid Sayed Abdelhamid Elazab</t>
  </si>
  <si>
    <t>Rania Samy Mahmoud Khaled</t>
  </si>
  <si>
    <t>Heba Salman Ahmed Zahran</t>
  </si>
  <si>
    <t>Karim Mohsen Galal Ahmed</t>
  </si>
  <si>
    <t>Mahmoud Atef Mahmoud Ahmed</t>
  </si>
  <si>
    <t>Mohamed Hussien Saleh Abdallah</t>
  </si>
  <si>
    <t>Sameh Nabil Sayed Ewais</t>
  </si>
  <si>
    <t>Ahmed Hany Ahmed Mohamed</t>
  </si>
  <si>
    <t>Mohamed Ahmed Emam Mohamed Ali</t>
  </si>
  <si>
    <t>N/A</t>
  </si>
  <si>
    <t>01154766624</t>
  </si>
  <si>
    <t>01271717017</t>
  </si>
  <si>
    <t>01111137203</t>
  </si>
  <si>
    <t>01281102541</t>
  </si>
  <si>
    <t>01120929954</t>
  </si>
  <si>
    <t>01121194680</t>
  </si>
  <si>
    <t>01060693999</t>
  </si>
  <si>
    <t>01116157208</t>
  </si>
  <si>
    <t>01151418015</t>
  </si>
  <si>
    <t>Local/Domestic</t>
  </si>
  <si>
    <t>Reem Abdelnaem Qenawy Ahmed</t>
  </si>
  <si>
    <t>Noureldin Hesham Mohamed Omar</t>
  </si>
  <si>
    <t>Mohamed Mahmoud Ahmed Zaki</t>
  </si>
  <si>
    <t>Ahmed Sahry Bershawy Abdelazim</t>
  </si>
  <si>
    <t>Hager Mohamed Eltgany Ahmed</t>
  </si>
  <si>
    <t>Ahmed Abozaid Ibrahim Rashwan</t>
  </si>
  <si>
    <t>Rania Hassan Bakr Ali</t>
  </si>
  <si>
    <t>Mennatullah Mohamed Salah Mohamed</t>
  </si>
  <si>
    <t>Mohamed Hussein Mohamed Rashad</t>
  </si>
  <si>
    <t>Nehal Abdulghani Khattab</t>
  </si>
  <si>
    <t>N006742561</t>
  </si>
  <si>
    <t>Eman Gamal Abdelwanes Mohamed</t>
  </si>
  <si>
    <t>Nourhan Mamdouh Ahmed Mohamed</t>
  </si>
  <si>
    <t>Nada Hassan Saeed Ibrahim</t>
  </si>
  <si>
    <t>Mohamed Omar Mohamed Aboelwafa</t>
  </si>
  <si>
    <t>Adham Omar Mohamed Soliman</t>
  </si>
  <si>
    <t>Khaled Osama Abdellatif Elbadawy</t>
  </si>
  <si>
    <t>Ahmed Alaa Abdelaziz Mahmoud</t>
  </si>
  <si>
    <t>01005487845</t>
  </si>
  <si>
    <t>01111601694</t>
  </si>
  <si>
    <t>01155443882</t>
  </si>
  <si>
    <t>01222778527</t>
  </si>
  <si>
    <t>01203319939</t>
  </si>
  <si>
    <t>01013554846</t>
  </si>
  <si>
    <t>01144117692</t>
  </si>
  <si>
    <t>01129311480</t>
  </si>
  <si>
    <t>01288809873</t>
  </si>
  <si>
    <t>01006824034</t>
  </si>
  <si>
    <t>01094544714</t>
  </si>
  <si>
    <t>01009883669</t>
  </si>
  <si>
    <t>01120271267</t>
  </si>
  <si>
    <t>01157195173</t>
  </si>
  <si>
    <t>01148360203</t>
  </si>
  <si>
    <t>01027104708</t>
  </si>
  <si>
    <t>01003535329</t>
  </si>
  <si>
    <t xml:space="preserve">Laila </t>
  </si>
  <si>
    <t xml:space="preserve">Amany </t>
  </si>
  <si>
    <t xml:space="preserve">Habiba </t>
  </si>
  <si>
    <t xml:space="preserve">Ahmed Tarek </t>
  </si>
  <si>
    <t>Amaney</t>
  </si>
  <si>
    <t>Kholoud Mostafa Adel Amin</t>
  </si>
  <si>
    <t>Mohamed Kamel Saad Saad</t>
  </si>
  <si>
    <t>Ahmed Mohamed Kotb Hassanin</t>
  </si>
  <si>
    <t>Lamis Ayman Ahmed Mohamed</t>
  </si>
  <si>
    <t>Islam Ahmed Nabih Youssef</t>
  </si>
  <si>
    <t>Alaa Kamaleldin Hussein Gad</t>
  </si>
  <si>
    <t>Julia Juma Kenyi</t>
  </si>
  <si>
    <t>F9900001077321</t>
  </si>
  <si>
    <t>Adham Hany Samir Elsayed</t>
  </si>
  <si>
    <t>Ahmed Nasser Kamal Gadelrab</t>
  </si>
  <si>
    <t>Yasser Ahmed Ahmed Mosaad</t>
  </si>
  <si>
    <t>Khaled Samy Badawy Akl</t>
  </si>
  <si>
    <t>01015644494</t>
  </si>
  <si>
    <t>01060909524</t>
  </si>
  <si>
    <t>01064427976</t>
  </si>
  <si>
    <t>01030003494</t>
  </si>
  <si>
    <t>01062342704</t>
  </si>
  <si>
    <t>01112981265</t>
  </si>
  <si>
    <t>01091035495</t>
  </si>
  <si>
    <t>01092499467</t>
  </si>
  <si>
    <t>01000600823</t>
  </si>
  <si>
    <t>01015504827</t>
  </si>
  <si>
    <t>01285958204</t>
  </si>
  <si>
    <t>Nourhan Bahaa</t>
  </si>
  <si>
    <t xml:space="preserve">Frienda </t>
  </si>
  <si>
    <t>Mai Badawy</t>
  </si>
  <si>
    <t>Mariam Adel Abdelmoniem Abdallah</t>
  </si>
  <si>
    <t>Mohamed Hassan Mohamed Sabah</t>
  </si>
  <si>
    <t xml:space="preserve"> N3486681</t>
  </si>
  <si>
    <t>Passant Mahmoud Abdelazim Mohamed</t>
  </si>
  <si>
    <t>Sondos Omar Fathi Elsayed</t>
  </si>
  <si>
    <t>Mennatullah Ismail Abdelkerim Mostafa</t>
  </si>
  <si>
    <t>Sara Mostafa Mohamed Mohamed</t>
  </si>
  <si>
    <t>David Sobhy Kerollos Sawiras</t>
  </si>
  <si>
    <t>Merihan Ahmed Allam Hammam</t>
  </si>
  <si>
    <t>Salma Mostafa Mohamed Ali</t>
  </si>
  <si>
    <t>Moamen Mohamed Hassan Hussein</t>
  </si>
  <si>
    <t>Ali Hassan Ali Mohamed</t>
  </si>
  <si>
    <t>Wael Ibrahim Eldesouky Ali</t>
  </si>
  <si>
    <t>Abdallah Khaled Mohamed Abdallah</t>
  </si>
  <si>
    <t>Radwa Khaled Mosbah Mahmoud</t>
  </si>
  <si>
    <t>Eslam Omar Mohamed Youssef</t>
  </si>
  <si>
    <t>01097719900</t>
  </si>
  <si>
    <t>01033551452</t>
  </si>
  <si>
    <t>01017909747</t>
  </si>
  <si>
    <t>01114971617</t>
  </si>
  <si>
    <t>01157077332</t>
  </si>
  <si>
    <t>01020836727</t>
  </si>
  <si>
    <t>01200696752</t>
  </si>
  <si>
    <t>01126830231</t>
  </si>
  <si>
    <t>01010150620</t>
  </si>
  <si>
    <t>01018880953</t>
  </si>
  <si>
    <t>01288335835</t>
  </si>
  <si>
    <t>01011115992</t>
  </si>
  <si>
    <t>01113067839</t>
  </si>
  <si>
    <t>01091502933</t>
  </si>
  <si>
    <t>01007791420</t>
  </si>
  <si>
    <t>TP</t>
  </si>
  <si>
    <t>Mina Maher</t>
  </si>
  <si>
    <t xml:space="preserve">Mina Maher </t>
  </si>
  <si>
    <t>A2 Program</t>
  </si>
  <si>
    <t>Nada Alaa Abdelmoniem Abdelsalam</t>
  </si>
  <si>
    <t>Eslam Saadoun Farid Fashny</t>
  </si>
  <si>
    <t>Manar Hefny Niaz Khamis</t>
  </si>
  <si>
    <t>Ahmed Adel Mohamed Foraig</t>
  </si>
  <si>
    <t xml:space="preserve">Ayat Mohamed Ashraf Abdelaziz </t>
  </si>
  <si>
    <t>FatmaElzahraa Mohamed Sayed Gharib</t>
  </si>
  <si>
    <t>Mostafa Ibrahim Abbas Ibrahim</t>
  </si>
  <si>
    <t>Ammar Mohamed Gamal Abdelazim</t>
  </si>
  <si>
    <t>Ahmed Khaled Farouk Hassan</t>
  </si>
  <si>
    <t>Ahmed Elwan Salah Elwan</t>
  </si>
  <si>
    <t>Serageldin Ahmed Ibrahim Ali</t>
  </si>
  <si>
    <t>Mahmoud Arbidy Aballah Keshiry</t>
  </si>
  <si>
    <t>Nourhan Mohamed Hassan Abdelrahman</t>
  </si>
  <si>
    <t>Esraa Essam Elsayed Attia</t>
  </si>
  <si>
    <t>Muhabeldin  Mohamed Hassan Abdelmegid</t>
  </si>
  <si>
    <t>01093317943</t>
  </si>
  <si>
    <t>01128715825</t>
  </si>
  <si>
    <t>01145176767</t>
  </si>
  <si>
    <t>01117679123</t>
  </si>
  <si>
    <t>01013224639</t>
  </si>
  <si>
    <t>01147077677</t>
  </si>
  <si>
    <t>01115003531</t>
  </si>
  <si>
    <t>01006550833</t>
  </si>
  <si>
    <t>01122833702</t>
  </si>
  <si>
    <t>01006800700</t>
  </si>
  <si>
    <t>01010203894</t>
  </si>
  <si>
    <t>01014410667</t>
  </si>
  <si>
    <t>01100749042</t>
  </si>
  <si>
    <t>01096361864</t>
  </si>
  <si>
    <t>01116885494</t>
  </si>
  <si>
    <t xml:space="preserve">Fatmah </t>
  </si>
  <si>
    <t>Rayan Nabil Aly Mohamed</t>
  </si>
  <si>
    <t>P00154944</t>
  </si>
  <si>
    <t>Noha Saeed Mohamed Ashry</t>
  </si>
  <si>
    <t>Mohamed Fayez Gad Negm</t>
  </si>
  <si>
    <t>Eman Safwat Abdelshafy Elsayed</t>
  </si>
  <si>
    <t>Bassel Tarek Mohamed Abdelraouf</t>
  </si>
  <si>
    <t>Mohamed Mohamed Hussein Abdelrahman</t>
  </si>
  <si>
    <t>Dalia Khaled Fathi Abdelazim</t>
  </si>
  <si>
    <t>Karim Abdelbadea Ibrahim Elhady</t>
  </si>
  <si>
    <t>Sohaila Mohamed Usama Abdelrabo</t>
  </si>
  <si>
    <t>Mohamed Khamis Ibrahim Bayoumi</t>
  </si>
  <si>
    <t>Abdelrahman Abdelharis Radwan Ali</t>
  </si>
  <si>
    <t>Theodora Magdy Abdelmalak Zakhari</t>
  </si>
  <si>
    <t>Omar Sherief</t>
  </si>
  <si>
    <t>Nouran shoeib</t>
  </si>
  <si>
    <t>Nouran</t>
  </si>
  <si>
    <t>Amaney Hamdey</t>
  </si>
  <si>
    <t>01099256562</t>
  </si>
  <si>
    <t>01157981928</t>
  </si>
  <si>
    <t>01023846687</t>
  </si>
  <si>
    <t>01153078886</t>
  </si>
  <si>
    <t>01128097000</t>
  </si>
  <si>
    <t>01144448128</t>
  </si>
  <si>
    <t>01069117349</t>
  </si>
  <si>
    <t>01210970051</t>
  </si>
  <si>
    <t>01062260750</t>
  </si>
  <si>
    <t>01017544146</t>
  </si>
  <si>
    <t>01014012804</t>
  </si>
  <si>
    <t>01001119850</t>
  </si>
  <si>
    <t>WU</t>
  </si>
  <si>
    <t>Abdelrahman Nehad Hefny Mohamed</t>
  </si>
  <si>
    <t>Nourhan Ashraf Hamoda Elshkankiry</t>
  </si>
  <si>
    <t>Ahmed Mohamed Hassan Haridy</t>
  </si>
  <si>
    <t>Mohamed Ahmed Mohamed Rahmo</t>
  </si>
  <si>
    <t>Omar Mohamed Elsayed Elsawah</t>
  </si>
  <si>
    <t>Karim Tarek Naguib Khella</t>
  </si>
  <si>
    <t>Shaden Mohamed Hussein Mohamed</t>
  </si>
  <si>
    <t>Amr Mohamed Abdelgawad Mohamed</t>
  </si>
  <si>
    <t>Ahmed Mohamed Elsayed Elsawah</t>
  </si>
  <si>
    <t>Abdelrahman Ali Galal Ali</t>
  </si>
  <si>
    <t>Faek Abdulhay Almusaddi</t>
  </si>
  <si>
    <t>N012061838</t>
  </si>
  <si>
    <t>01062055622</t>
  </si>
  <si>
    <t>01060055140</t>
  </si>
  <si>
    <t>01019655158</t>
  </si>
  <si>
    <t>01117637387</t>
  </si>
  <si>
    <t>01094792126</t>
  </si>
  <si>
    <t>01126090118</t>
  </si>
  <si>
    <t>01126661339</t>
  </si>
  <si>
    <t>01011043976</t>
  </si>
  <si>
    <t>01064078201</t>
  </si>
  <si>
    <t>01207120272</t>
  </si>
  <si>
    <t>01013808958</t>
  </si>
  <si>
    <t>01066449914</t>
  </si>
  <si>
    <t>Yasmine Sayed Tawfeek Mohamed</t>
  </si>
  <si>
    <t>Marina Magdy Akladious Fandy</t>
  </si>
  <si>
    <t>Lara Wahib Metry Mikhael</t>
  </si>
  <si>
    <t>Alhassan Saeed Hassan Othman</t>
  </si>
  <si>
    <t>Mohamed Elsherif Hassan Mohamed</t>
  </si>
  <si>
    <t>Elsayed Mohamed Mahmoud Elsayed</t>
  </si>
  <si>
    <t>Mohamed Nader Mohamed Hassanin</t>
  </si>
  <si>
    <t>Mariam Elsayed Zakaria Mahmoud</t>
  </si>
  <si>
    <t>Mariam Hossam Mohamed Salaheldin</t>
  </si>
  <si>
    <t>Ahmed Samy Elsayed Mohamed</t>
  </si>
  <si>
    <t>Mohamed Magdy Ahmed Soliman</t>
  </si>
  <si>
    <t>Walid Wael Elsayed Elmandoh</t>
  </si>
  <si>
    <t>01025090879</t>
  </si>
  <si>
    <t>01203363399</t>
  </si>
  <si>
    <t>01227444271</t>
  </si>
  <si>
    <t>01007566103</t>
  </si>
  <si>
    <t>01200082393</t>
  </si>
  <si>
    <t>01155794132</t>
  </si>
  <si>
    <t>01095151381</t>
  </si>
  <si>
    <t>01067562101</t>
  </si>
  <si>
    <t>01276933007</t>
  </si>
  <si>
    <t>01007534572</t>
  </si>
  <si>
    <t>01110098837</t>
  </si>
  <si>
    <t>01023734398</t>
  </si>
  <si>
    <t>Mina</t>
  </si>
  <si>
    <t xml:space="preserve">Noran </t>
  </si>
  <si>
    <t>Mariam Roshdy Mohamed Ali</t>
  </si>
  <si>
    <t>Mahmoud Hany Ezzat Mohamed</t>
  </si>
  <si>
    <t>Melok Mohamed Zaineldin Attia</t>
  </si>
  <si>
    <t>Amany Ahmed Abdelfattah Ali</t>
  </si>
  <si>
    <t>Salma Nader Kamaleldin Abdelmotagly</t>
  </si>
  <si>
    <t>Ahmed Abdelrahman Mohamed Hassanin</t>
  </si>
  <si>
    <t>Esraa Abdelfattah Osman Ahmed</t>
  </si>
  <si>
    <t>Dina Ashraf Mohamed Abdelwahed</t>
  </si>
  <si>
    <t>Marwa Mansour Megahed Saleh</t>
  </si>
  <si>
    <t>Mohamed Ibrahim Mohamed Ibrahim</t>
  </si>
  <si>
    <t>Janiet John George Zaki</t>
  </si>
  <si>
    <t>Ramy Gamal Gharib Abdallah Amer</t>
  </si>
  <si>
    <t>Aya Fathi Mohamed Elmashd</t>
  </si>
  <si>
    <t>Shehab Mohamed Fekry Mohamed</t>
  </si>
  <si>
    <t>Ragab Abdelhalim Abdelazim  Radwan</t>
  </si>
  <si>
    <t>Mohamed Alaa Khalil Mohamed</t>
  </si>
  <si>
    <t>01090399054</t>
  </si>
  <si>
    <t>01006872512</t>
  </si>
  <si>
    <t>01280413174</t>
  </si>
  <si>
    <t>01272723146</t>
  </si>
  <si>
    <t>01289494817</t>
  </si>
  <si>
    <t>01012272202</t>
  </si>
  <si>
    <t>01023883124</t>
  </si>
  <si>
    <t>01157248090</t>
  </si>
  <si>
    <t>01062720326</t>
  </si>
  <si>
    <t>01110046627</t>
  </si>
  <si>
    <t>01206019888</t>
  </si>
  <si>
    <t>01020952887</t>
  </si>
  <si>
    <t>01030668618</t>
  </si>
  <si>
    <t>01119305586</t>
  </si>
  <si>
    <t>01006149583</t>
  </si>
  <si>
    <t>01118646640</t>
  </si>
  <si>
    <t>Taymour</t>
  </si>
  <si>
    <t>Mohamed Mahmoud Safwat Mohamed</t>
  </si>
  <si>
    <t>Mohamed Ezzedlin Maher Mohamed</t>
  </si>
  <si>
    <t>Hassan Abdallah Hassan Abdelmegid</t>
  </si>
  <si>
    <t>Mariam Baher Mohamed Adly</t>
  </si>
  <si>
    <t>Mariam Youssry Kamal Hussein</t>
  </si>
  <si>
    <t>Mohamed Eissa Abdellatif Srour</t>
  </si>
  <si>
    <t>Mohanad Ahmed Mohamed Saeed</t>
  </si>
  <si>
    <t>Mohamed Ahmed Fouad Ismail</t>
  </si>
  <si>
    <t>Nayra Abdallah Mohamed Ali</t>
  </si>
  <si>
    <t xml:space="preserve">Moataz Abdelhakim Mohamed Mohamed </t>
  </si>
  <si>
    <t>Marwa Mamdouh Aboelsoud Abdelhamid</t>
  </si>
  <si>
    <t xml:space="preserve">Abdelrahman Mohamed Ahmed Fathi </t>
  </si>
  <si>
    <t>Gehad Mohamed Youssef Samy</t>
  </si>
  <si>
    <t>Engy Akram Youssef Haggag</t>
  </si>
  <si>
    <t>Heba Ahmed Abbas Ahmed</t>
  </si>
  <si>
    <t>Abdelrahman Ahmed Ali Ahmed</t>
  </si>
  <si>
    <t>Abdelmawla Abdelwasea Abdelmawla Abdelgawad</t>
  </si>
  <si>
    <t>Mohamed Emadeldin Mohamed Sharaf</t>
  </si>
  <si>
    <t>01110083874</t>
  </si>
  <si>
    <t>01226061638</t>
  </si>
  <si>
    <t>01155980086</t>
  </si>
  <si>
    <t>01002719191</t>
  </si>
  <si>
    <t>01148811379</t>
  </si>
  <si>
    <t>01099258843</t>
  </si>
  <si>
    <t>01156672455</t>
  </si>
  <si>
    <t>01004669818</t>
  </si>
  <si>
    <t>01011804196</t>
  </si>
  <si>
    <t>01148077780</t>
  </si>
  <si>
    <t>01200918145</t>
  </si>
  <si>
    <t>01554230798</t>
  </si>
  <si>
    <t>01024454658</t>
  </si>
  <si>
    <t>01002394439</t>
  </si>
  <si>
    <t>01099334411</t>
  </si>
  <si>
    <t>01096111983</t>
  </si>
  <si>
    <t>01093222511</t>
  </si>
  <si>
    <t>01118010244</t>
  </si>
  <si>
    <t>Omar Sherif</t>
  </si>
  <si>
    <t>Nourhan Mahrous</t>
  </si>
  <si>
    <t>Ahmed tarek</t>
  </si>
  <si>
    <t xml:space="preserve">Nour </t>
  </si>
  <si>
    <t>Mennatullah Ahmed Dawood Hussein</t>
  </si>
  <si>
    <t>Walaa Mohamed Abdelhamid Ramadan</t>
  </si>
  <si>
    <t>Fatma Desouky Abdelwahab Sayed</t>
  </si>
  <si>
    <t>Ahmed Nagdy Anwar Akel</t>
  </si>
  <si>
    <t>Hadil Kandil Mohamed Kandil</t>
  </si>
  <si>
    <t>Karim Abdallah Hassan Abdelmegid</t>
  </si>
  <si>
    <t>Mohamed Alaaeldin Ali Abdelmaksoud</t>
  </si>
  <si>
    <t>Abdourahman Conteh</t>
  </si>
  <si>
    <t>PC493518</t>
  </si>
  <si>
    <t>Hadeer Mohamed Eid Mohamed</t>
  </si>
  <si>
    <t>Nermine Atef Kamal Mohamed</t>
  </si>
  <si>
    <t>Karim Adel Elias Khalil</t>
  </si>
  <si>
    <t>Hassan Mohamed Naguib Ibrahim</t>
  </si>
  <si>
    <t>Mohamed Mostafa Salem Taha</t>
  </si>
  <si>
    <t>Osama Mohamed Mohamed Hassan</t>
  </si>
  <si>
    <t xml:space="preserve">Mohamed Makarem </t>
  </si>
  <si>
    <t>01009085576</t>
  </si>
  <si>
    <t>01065055099</t>
  </si>
  <si>
    <t>01120427091</t>
  </si>
  <si>
    <t>01127589285</t>
  </si>
  <si>
    <t>01003847909</t>
  </si>
  <si>
    <t>01100299712</t>
  </si>
  <si>
    <t>01000118484</t>
  </si>
  <si>
    <t>01009773753</t>
  </si>
  <si>
    <t>01061756135</t>
  </si>
  <si>
    <t>01146159397</t>
  </si>
  <si>
    <t>01226703233</t>
  </si>
  <si>
    <t>01001299328</t>
  </si>
  <si>
    <t>01115243853</t>
  </si>
  <si>
    <t>01154939383</t>
  </si>
  <si>
    <t xml:space="preserve">Mai </t>
  </si>
  <si>
    <t xml:space="preserve">Omar Sherif </t>
  </si>
  <si>
    <t xml:space="preserve">Shehab </t>
  </si>
  <si>
    <t xml:space="preserve">Mina </t>
  </si>
  <si>
    <t xml:space="preserve">Abdelrahman Hehsham </t>
  </si>
  <si>
    <t>PK Hiring Date</t>
  </si>
  <si>
    <t>A2 (Borderline B1)</t>
  </si>
  <si>
    <t>Ahmed Medhat Mokhtar Khalil</t>
  </si>
  <si>
    <t>Ahmed Mohamed Adel Ismail</t>
  </si>
  <si>
    <t>Youssef Osama Elsayed Shahin</t>
  </si>
  <si>
    <t>Mayar Osama Elabd Hamada</t>
  </si>
  <si>
    <t>Alaa Ahmed Ryad Abdelhakim</t>
  </si>
  <si>
    <t>Saif Hasan Aqeel</t>
  </si>
  <si>
    <t>A11336110</t>
  </si>
  <si>
    <t>Abdelrahman Ibrahim Abdelhamid Hammad</t>
  </si>
  <si>
    <t>Mahmoud Mokhtar Mohamed Yacout</t>
  </si>
  <si>
    <t>Michael Mohsen Youssef Anton</t>
  </si>
  <si>
    <t>Hisham Emad Tawfeek Abdelhamid</t>
  </si>
  <si>
    <t>Essam Mohamed Salaheldin Taha</t>
  </si>
  <si>
    <t>Rofayda Wael Youssef Attia</t>
  </si>
  <si>
    <t>Ahmed Mamdouh Abdelmoaty Ahmed</t>
  </si>
  <si>
    <t>Mazen Mamdouh Elsayed Mohamed</t>
  </si>
  <si>
    <t>Arwa Hossameldin Mostafa Morsy</t>
  </si>
  <si>
    <t>Alaa AbdelMohsen Ibrahim AbdelGawad</t>
  </si>
  <si>
    <t>01098408834</t>
  </si>
  <si>
    <t>01112586884</t>
  </si>
  <si>
    <t>01220990990</t>
  </si>
  <si>
    <t>01100709252</t>
  </si>
  <si>
    <t>01155442431</t>
  </si>
  <si>
    <t>01110234110</t>
  </si>
  <si>
    <t>01123858544</t>
  </si>
  <si>
    <t>01090676469</t>
  </si>
  <si>
    <t>01004181650</t>
  </si>
  <si>
    <t>01276866005</t>
  </si>
  <si>
    <t>01116370303</t>
  </si>
  <si>
    <t>01151888940</t>
  </si>
  <si>
    <t>01117537979</t>
  </si>
  <si>
    <t>01112838016</t>
  </si>
  <si>
    <t>01270882862</t>
  </si>
  <si>
    <t>01115130137</t>
  </si>
  <si>
    <t>Aalaa</t>
  </si>
  <si>
    <t>Nouran Shoeib</t>
  </si>
  <si>
    <t>Dismissed from TPA</t>
  </si>
  <si>
    <t>Add-on</t>
  </si>
  <si>
    <t>05866388</t>
  </si>
  <si>
    <t>Didn't show-up for rejoiner's</t>
  </si>
  <si>
    <t>Tajawal</t>
  </si>
  <si>
    <t>David Michel Abdelmasih Attia</t>
  </si>
  <si>
    <t>29608212100711</t>
  </si>
  <si>
    <t>AbdelRahman</t>
  </si>
  <si>
    <t>29310150104082</t>
  </si>
  <si>
    <t>29605020104781</t>
  </si>
  <si>
    <t>29611062101898</t>
  </si>
  <si>
    <t>29606222100377</t>
  </si>
  <si>
    <t>29606050100183</t>
  </si>
  <si>
    <t>29211081202605</t>
  </si>
  <si>
    <t>Samuel Masoud Fakios Badros</t>
  </si>
  <si>
    <t>Dina Ahmed Ali Hassan</t>
  </si>
  <si>
    <t>Amany Mohamed Naguib Ragheb</t>
  </si>
  <si>
    <t>Donia Kamel Zaki Ali</t>
  </si>
  <si>
    <t>Lamis Elsayed Aied Ahmed</t>
  </si>
  <si>
    <t>Sara Salem Sayed Ahmed</t>
  </si>
  <si>
    <t>Mohamed Hamdy Abdelhalim Mohamed</t>
  </si>
  <si>
    <t>Hayam Ahmed Fadl Ahmed</t>
  </si>
  <si>
    <t>Yara Mohamed Ahmed Ibrahim</t>
  </si>
  <si>
    <t>Hamad Islam Hassan Mohamed</t>
  </si>
  <si>
    <t>Mina Nabil Nassif Ghaly</t>
  </si>
  <si>
    <t>Haidy Fayez Gendy Farag</t>
  </si>
  <si>
    <t>01097580898</t>
  </si>
  <si>
    <t>01010764098</t>
  </si>
  <si>
    <t>01111083463</t>
  </si>
  <si>
    <t>01002313542</t>
  </si>
  <si>
    <t>01125403678</t>
  </si>
  <si>
    <t>01096569043</t>
  </si>
  <si>
    <t>01097390639</t>
  </si>
  <si>
    <t>01119419205</t>
  </si>
  <si>
    <t>01096012975</t>
  </si>
  <si>
    <t>01270549874</t>
  </si>
  <si>
    <t>01227921432</t>
  </si>
  <si>
    <t>Mai Badawey</t>
  </si>
  <si>
    <t>Nourhan</t>
  </si>
  <si>
    <t>Walk-in</t>
  </si>
  <si>
    <t>Mohamed Mohamed Fouad Ahmed</t>
  </si>
  <si>
    <t>Hamza Abdelmaksoud Salem Abdelmaksoud</t>
  </si>
  <si>
    <t>Farouk Khaled Ahmed Helmy</t>
  </si>
  <si>
    <t>Abdelkhalea Mostafa Abdelkhalea Mahdy</t>
  </si>
  <si>
    <t>Hager Mohamed Ahmed Abdelwahed</t>
  </si>
  <si>
    <t>Alaa Ayman Abdelkader Sarhan</t>
  </si>
  <si>
    <t>Ahmed Mahmoud Sayed Hasaan</t>
  </si>
  <si>
    <t>Ahmed Mostafa Abdelsalam Elrefaey</t>
  </si>
  <si>
    <t>Ahmed Samy Ahmed Abdelazim</t>
  </si>
  <si>
    <t>Aya Mohamed Wahba Mohamed</t>
  </si>
  <si>
    <t>Mohamed Shaaban Ibrahim Ahmed</t>
  </si>
  <si>
    <t>Shehabeldin Saber Abdelhalim Youssef</t>
  </si>
  <si>
    <t>Sara Fekry Ismail Mohamed</t>
  </si>
  <si>
    <t>Salma Mohamed Elsayed Ali</t>
  </si>
  <si>
    <t>Mahmoud Hesham Sayed Abosrie</t>
  </si>
  <si>
    <t>01008688294</t>
  </si>
  <si>
    <t>01206182904</t>
  </si>
  <si>
    <t>01096258268</t>
  </si>
  <si>
    <t>01122550555</t>
  </si>
  <si>
    <t>01018346265</t>
  </si>
  <si>
    <t>01152200621</t>
  </si>
  <si>
    <t>01024119096</t>
  </si>
  <si>
    <t>01004461147</t>
  </si>
  <si>
    <t>01111060840</t>
  </si>
  <si>
    <t>01009036603</t>
  </si>
  <si>
    <t>01125725852</t>
  </si>
  <si>
    <t>01011627195</t>
  </si>
  <si>
    <t>01122006074</t>
  </si>
  <si>
    <t>01008861509</t>
  </si>
  <si>
    <t>01069855689</t>
  </si>
  <si>
    <t>Alaa</t>
  </si>
  <si>
    <t>Fatma</t>
  </si>
  <si>
    <t>Taimour</t>
  </si>
  <si>
    <t>Zaytoun</t>
  </si>
  <si>
    <t>Total Trainees</t>
  </si>
  <si>
    <t>Total Hired</t>
  </si>
  <si>
    <t>Resigned &amp; Dismissed</t>
  </si>
  <si>
    <t>Not Hired</t>
  </si>
  <si>
    <t>Dina Mohamed Fekry Abdelkader Fayed</t>
  </si>
  <si>
    <t xml:space="preserve">Eman Mokhtar Rashed Ali Ahmed </t>
  </si>
  <si>
    <t xml:space="preserve">Esraa Mohammed abdullah Soliman </t>
  </si>
  <si>
    <t xml:space="preserve">Hagar Ahmed Mady Mohamed Mohamed </t>
  </si>
  <si>
    <t>Hend Saeed Mohamed Ali</t>
  </si>
  <si>
    <t xml:space="preserve">Mai Mohamed Youssef Mohamed </t>
  </si>
  <si>
    <t>Mohamed Ibrahim Ismaeil Mettwally</t>
  </si>
  <si>
    <t>Monica Ashraf William Moutry</t>
  </si>
  <si>
    <t xml:space="preserve">Reem Ayman Farouk Shehata </t>
  </si>
  <si>
    <t>Sally Mohamed Ali Mohsen</t>
  </si>
  <si>
    <t>Toka raafat Mohmaed Ibrahim</t>
  </si>
  <si>
    <t>01069947238</t>
  </si>
  <si>
    <t>01123153589</t>
  </si>
  <si>
    <t>01116924282</t>
  </si>
  <si>
    <t>01158200998</t>
  </si>
  <si>
    <t>01149554418</t>
  </si>
  <si>
    <t>01122113264</t>
  </si>
  <si>
    <t>01114472918</t>
  </si>
  <si>
    <t>01223346708</t>
  </si>
  <si>
    <t>01275677734</t>
  </si>
  <si>
    <t>01124457533</t>
  </si>
  <si>
    <t>01112238246</t>
  </si>
  <si>
    <t>TP Academy A2</t>
  </si>
  <si>
    <t>Nesma</t>
  </si>
  <si>
    <t xml:space="preserve">Nouran Shoeb </t>
  </si>
  <si>
    <t>Amaney Hamdy</t>
  </si>
  <si>
    <t>TPA's Allocation: Nearshore</t>
  </si>
  <si>
    <t>TPA's Allocation: Rejoin</t>
  </si>
  <si>
    <t>A2-W1</t>
  </si>
  <si>
    <t>Mahmoud Mohamed Meligy Aboelazm</t>
  </si>
  <si>
    <t>Abdallah Hanea Abdallah Elsayed</t>
  </si>
  <si>
    <t>Hesham Mohamed Abdelsamad Mohamed</t>
  </si>
  <si>
    <t>29612012100293</t>
  </si>
  <si>
    <t>Bassma Mohamed Saad Mohamed</t>
  </si>
  <si>
    <t>29806222102808</t>
  </si>
  <si>
    <t>Youssef Tarek Moustafa Ali</t>
  </si>
  <si>
    <t>29811092100356</t>
  </si>
  <si>
    <t>Amatulrahman Bayoumi Hassan Ahmed</t>
  </si>
  <si>
    <t>Hussein Fahmy Fahmy Shalaby</t>
  </si>
  <si>
    <t>29204221701317</t>
  </si>
  <si>
    <t>Abdelsalam Mohamed Abdelsalam Youssef</t>
  </si>
  <si>
    <t>29107031400994</t>
  </si>
  <si>
    <t>Fatma Ahmed Mohamed Ahmed</t>
  </si>
  <si>
    <t>29607222103046</t>
  </si>
  <si>
    <t>Abdelrahman Mohamed Mohyeldin Ahmed</t>
  </si>
  <si>
    <t>29306072700091</t>
  </si>
  <si>
    <t xml:space="preserve">Hadeer Ahmed Gholam Naby </t>
  </si>
  <si>
    <t>29311120103002</t>
  </si>
  <si>
    <t>Mostafa Abdo Mohamed Mansy</t>
  </si>
  <si>
    <t>29409260104751</t>
  </si>
  <si>
    <t>Asmaa Ahmed Abdelazim Mohamed</t>
  </si>
  <si>
    <t>29604211200946</t>
  </si>
  <si>
    <t>Ahmed Elsaeed Nasr Abdellatif</t>
  </si>
  <si>
    <t>28512041200975</t>
  </si>
  <si>
    <t>Radwa Ahmed Samir Mahmoud</t>
  </si>
  <si>
    <t>01003112627</t>
  </si>
  <si>
    <t>01060193582</t>
  </si>
  <si>
    <t>01004022577</t>
  </si>
  <si>
    <t>01146084676</t>
  </si>
  <si>
    <t>01062147288</t>
  </si>
  <si>
    <t>01063447061</t>
  </si>
  <si>
    <t>01287261384</t>
  </si>
  <si>
    <t>01283270093</t>
  </si>
  <si>
    <t>01123569633</t>
  </si>
  <si>
    <t>01020870432</t>
  </si>
  <si>
    <t>01023080166</t>
  </si>
  <si>
    <t>01113342264</t>
  </si>
  <si>
    <t>01144737489</t>
  </si>
  <si>
    <t>01204783531</t>
  </si>
  <si>
    <t>01092936796</t>
  </si>
  <si>
    <t>Ziena</t>
  </si>
  <si>
    <t>Mostafa Mohamed Elnasser Abdelrazek</t>
  </si>
  <si>
    <t>29608152105778</t>
  </si>
  <si>
    <t>01124682128</t>
  </si>
  <si>
    <t>Anton Habib Awad Younan</t>
  </si>
  <si>
    <t>29412142401393</t>
  </si>
  <si>
    <t>Ahmed Nasser Ahmed Megahed</t>
  </si>
  <si>
    <t>29508281201894</t>
  </si>
  <si>
    <t>Shorouk Yehia Mohamed Elsheikh</t>
  </si>
  <si>
    <t>29308050103548</t>
  </si>
  <si>
    <t>Abdelrahman Moustafa Ali Mohamed Elfeky</t>
  </si>
  <si>
    <t>Ahmed Mohamed Abdelhamid Abbas</t>
  </si>
  <si>
    <t>29610010104957</t>
  </si>
  <si>
    <t>Nancy Hassan Mahmoud Mohamed</t>
  </si>
  <si>
    <t>29708030201207</t>
  </si>
  <si>
    <t>Abdelrahman Nagy Hussein Ahmed Elbasel</t>
  </si>
  <si>
    <t>29801170103493</t>
  </si>
  <si>
    <t>Haitham Hesham Abdelhamid Moussa</t>
  </si>
  <si>
    <t>29403252103194</t>
  </si>
  <si>
    <t>Amira Hussein Abdelrazak Awad</t>
  </si>
  <si>
    <t>29208280200467</t>
  </si>
  <si>
    <t>Alaa Elsayed Elsayed Elsayed Elnaghy</t>
  </si>
  <si>
    <t>29107240101317</t>
  </si>
  <si>
    <t>Mohamed Refaat Mohamed Elsayed</t>
  </si>
  <si>
    <t>29403051501795</t>
  </si>
  <si>
    <t>Mahmoud Talaat Mahmoud Hassan</t>
  </si>
  <si>
    <t>29308011706138</t>
  </si>
  <si>
    <t>Ayman Hazem Tageldin Fawzy</t>
  </si>
  <si>
    <t>28207110104251</t>
  </si>
  <si>
    <t>Mahmoud Medhat Mohamed Ali</t>
  </si>
  <si>
    <t>29504012109552</t>
  </si>
  <si>
    <t>Dinya Bekri Ali</t>
  </si>
  <si>
    <t>EP3511351</t>
  </si>
  <si>
    <t>Maged Ezzeldin Saleh Hazin</t>
  </si>
  <si>
    <t>29702142102173</t>
  </si>
  <si>
    <t>Nada Essam Mohamed Ali Dabash</t>
  </si>
  <si>
    <t>29106230102343</t>
  </si>
  <si>
    <t>Mohamed Hassan Hussein Kamel</t>
  </si>
  <si>
    <t>29405268800459</t>
  </si>
  <si>
    <t>Noha Ahmed Maher Soliman</t>
  </si>
  <si>
    <t>Mohamed Ahmed Abdelghafour Abdellatif</t>
  </si>
  <si>
    <t>29605081700239</t>
  </si>
  <si>
    <t>Youssef Mohamed Nabil Radwan</t>
  </si>
  <si>
    <t>29803012110591</t>
  </si>
  <si>
    <t>Ahmed Osama Abdelsamea Amin</t>
  </si>
  <si>
    <t>Hatem Mahmoud Badawy Khalil</t>
  </si>
  <si>
    <t>29704122200899</t>
  </si>
  <si>
    <t>Shady Ashraf Abdelmoniem Khalaf</t>
  </si>
  <si>
    <t>29705078800073</t>
  </si>
  <si>
    <t>Ammar Sameh Abdelmegid Abbas</t>
  </si>
  <si>
    <t>29308012110573</t>
  </si>
  <si>
    <t>Dalia Mohamed Sayed Ahmed</t>
  </si>
  <si>
    <t>29606222800646</t>
  </si>
  <si>
    <t>Aya Mahmoud Mohamed Talaat</t>
  </si>
  <si>
    <t>29603030100366</t>
  </si>
  <si>
    <t>Sediqullah Elham</t>
  </si>
  <si>
    <t>EA23624157</t>
  </si>
  <si>
    <t>Mohamed Abdelmoniem Mohamed Mansour</t>
  </si>
  <si>
    <t>01110316677</t>
  </si>
  <si>
    <t>01286791877</t>
  </si>
  <si>
    <t>01147890169</t>
  </si>
  <si>
    <t>01013855095</t>
  </si>
  <si>
    <t>01123321089</t>
  </si>
  <si>
    <t>01142344530</t>
  </si>
  <si>
    <t>01142805537</t>
  </si>
  <si>
    <t>01005820252</t>
  </si>
  <si>
    <t>01067080149</t>
  </si>
  <si>
    <t>01064686819</t>
  </si>
  <si>
    <t>01555321226</t>
  </si>
  <si>
    <t>01225350668</t>
  </si>
  <si>
    <t>Dina Mohsen Mohamed Saeed</t>
  </si>
  <si>
    <t>Nada Mohamed Abdellatif Eissa</t>
  </si>
  <si>
    <t>29606262101881</t>
  </si>
  <si>
    <t>Omar Sayed Stohy Sayed</t>
  </si>
  <si>
    <t>29609120101114</t>
  </si>
  <si>
    <t>Mayada Abdelmoniem Abdelrabo Mohamed</t>
  </si>
  <si>
    <t>Essam Ahmed Fahmy Hassan</t>
  </si>
  <si>
    <t>29902121900397</t>
  </si>
  <si>
    <t>Amr Magdy Mahmoud Elgalad</t>
  </si>
  <si>
    <t>29608142101456</t>
  </si>
  <si>
    <t>Ahmed Mohamed Samir Morsy</t>
  </si>
  <si>
    <t>29904091400451</t>
  </si>
  <si>
    <t>Taheya Abdallah Elhussiny Ali</t>
  </si>
  <si>
    <t>29611298800606</t>
  </si>
  <si>
    <t>Fatmaelzahraa Ahmed Abdelfattah Selim</t>
  </si>
  <si>
    <t>29602222100789</t>
  </si>
  <si>
    <t>Eslam Alaa Taha Salah</t>
  </si>
  <si>
    <t>29509292200055</t>
  </si>
  <si>
    <t>Moaz Essam Mahmoud Kamel</t>
  </si>
  <si>
    <t xml:space="preserve">Gap Year </t>
  </si>
  <si>
    <t>01282575931</t>
  </si>
  <si>
    <t>01155951004</t>
  </si>
  <si>
    <t>01208533208</t>
  </si>
  <si>
    <t>01156335184</t>
  </si>
  <si>
    <t>01221862895</t>
  </si>
  <si>
    <t>01118184753</t>
  </si>
  <si>
    <t>01021097386</t>
  </si>
  <si>
    <t>01062660634</t>
  </si>
  <si>
    <t>01111970926</t>
  </si>
  <si>
    <t>01118384513</t>
  </si>
  <si>
    <t>01120002404</t>
  </si>
  <si>
    <t>Hasan Hussein Shamkhi</t>
  </si>
  <si>
    <t>A9127842</t>
  </si>
  <si>
    <t>01065701995</t>
  </si>
  <si>
    <t>Ahmed Essameldin Attia Hassan</t>
  </si>
  <si>
    <t>Moataz Osama Desouky Mohamed</t>
  </si>
  <si>
    <t>Passant Gamal Ahmed Ahmed</t>
  </si>
  <si>
    <t>Elsayed Hussein Elsayed Elharty</t>
  </si>
  <si>
    <t>Hossam Mahmoud Ahmed Mohamed Barghash</t>
  </si>
  <si>
    <t>Bassma Ahmed Hassan Ahmed</t>
  </si>
  <si>
    <t>Ibrahim Ali Ibrahim Elsayed Khamis</t>
  </si>
  <si>
    <t>Farida Youssef Mohamed Mahmoud</t>
  </si>
  <si>
    <t>Ahmed Ashraf Fadel Hussein</t>
  </si>
  <si>
    <t>Mahmoud Mohamed Othman Mohamed</t>
  </si>
  <si>
    <t>Kholoud Saeed Mohamed Sayed</t>
  </si>
  <si>
    <t>Fares Magdy Mohamed Ali</t>
  </si>
  <si>
    <t>Aya Wagdy Farid Taher</t>
  </si>
  <si>
    <t>Fayrouz Gamal Mohamed Elsayed</t>
  </si>
  <si>
    <t>01062929288</t>
  </si>
  <si>
    <t>01063175966</t>
  </si>
  <si>
    <t>01553614710</t>
  </si>
  <si>
    <t>01024984567</t>
  </si>
  <si>
    <t>01066303039</t>
  </si>
  <si>
    <t>01119012752</t>
  </si>
  <si>
    <t>01129101771</t>
  </si>
  <si>
    <t>01097358701</t>
  </si>
  <si>
    <t>01098424635</t>
  </si>
  <si>
    <t>01112406528</t>
  </si>
  <si>
    <t>01007224926</t>
  </si>
  <si>
    <t>01100701141</t>
  </si>
  <si>
    <t>01096358694</t>
  </si>
  <si>
    <t>01096118809</t>
  </si>
  <si>
    <t>Salma Magdy</t>
  </si>
  <si>
    <t>Shadin Hamza Hasan Abas</t>
  </si>
  <si>
    <t>P03388907</t>
  </si>
  <si>
    <t>01282071856</t>
  </si>
  <si>
    <t>01123001893</t>
  </si>
  <si>
    <t>01007098672</t>
  </si>
  <si>
    <t>01004010783</t>
  </si>
  <si>
    <t>01118672466</t>
  </si>
  <si>
    <t>01009668231</t>
  </si>
  <si>
    <t>01004528577</t>
  </si>
  <si>
    <t>01145730602</t>
  </si>
  <si>
    <t>01024969108</t>
  </si>
  <si>
    <t>01022622595</t>
  </si>
  <si>
    <t>01067239599</t>
  </si>
  <si>
    <t>01090604684</t>
  </si>
  <si>
    <t>01100700800</t>
  </si>
  <si>
    <t>01143294847</t>
  </si>
  <si>
    <t>01033860310</t>
  </si>
  <si>
    <t>01012154322</t>
  </si>
  <si>
    <t>01065615998</t>
  </si>
  <si>
    <t>01129351684</t>
  </si>
  <si>
    <t xml:space="preserve">AbdelRahman </t>
  </si>
  <si>
    <t>Abdelrahman</t>
  </si>
  <si>
    <t>Fadwa Khaled Abdelwahab Abdallah</t>
  </si>
  <si>
    <t>Wael Mohamed Ewiss Abdelkhalea</t>
  </si>
  <si>
    <t>Amany Hesham Mahmoud Ismail</t>
  </si>
  <si>
    <t>Mohamed Moustafa Ali Ahmed</t>
  </si>
  <si>
    <t>Liza Ragheb Eskander Fahmy</t>
  </si>
  <si>
    <t>Passant Ibrahim Mohamady Mohamady</t>
  </si>
  <si>
    <t>Magy Ashraf Fouad Youssef</t>
  </si>
  <si>
    <t>Omar Saber Mohamed Hussein</t>
  </si>
  <si>
    <t>Nagwa Ahmed Salem Awad</t>
  </si>
  <si>
    <t>Wafaa Abdelhakim Abdelmawgod Abdelaaty</t>
  </si>
  <si>
    <t>Mohamed Elfarouk Hassan Salama</t>
  </si>
  <si>
    <t>Eman Hussein Abdelmoniem Ali</t>
  </si>
  <si>
    <t>Shaimaa Saeed Awadin Hassan</t>
  </si>
  <si>
    <t>Ahmed Youssry Gouda Elsayed</t>
  </si>
  <si>
    <t>Ahmed Helmy Abdelhady Helmy</t>
  </si>
  <si>
    <t>Meral Mohamed Sayed Soliman</t>
  </si>
  <si>
    <t>Ahmed Samy Mohamed Tawfeek</t>
  </si>
  <si>
    <t>Ahmed Abdelmohsen Mohamed Ahmed</t>
  </si>
  <si>
    <t>01093747141</t>
  </si>
  <si>
    <t>01006981176</t>
  </si>
  <si>
    <t>01018125070</t>
  </si>
  <si>
    <t>01144683822</t>
  </si>
  <si>
    <t>01289952993</t>
  </si>
  <si>
    <t>01113228187</t>
  </si>
  <si>
    <t>01288159194</t>
  </si>
  <si>
    <t>01128464438</t>
  </si>
  <si>
    <t>01113607557</t>
  </si>
  <si>
    <t>01156363147</t>
  </si>
  <si>
    <t>01000614521</t>
  </si>
  <si>
    <t>01148091819</t>
  </si>
  <si>
    <t>01223322470</t>
  </si>
  <si>
    <t>01156615058</t>
  </si>
  <si>
    <t>01116774101</t>
  </si>
  <si>
    <t>01067485046</t>
  </si>
  <si>
    <t>01026833699</t>
  </si>
  <si>
    <t>01023250703</t>
  </si>
  <si>
    <t>Rehab Ahmed Abdellatif Emam</t>
  </si>
  <si>
    <t>29407202102761</t>
  </si>
  <si>
    <t>Dina Salaheldin Zaki Mohamed</t>
  </si>
  <si>
    <t>29510010108826</t>
  </si>
  <si>
    <t>Verina Fayez Farid Kamel</t>
  </si>
  <si>
    <t>29606062103021</t>
  </si>
  <si>
    <t>Ahmed Amr Badreldin Abdelmegid</t>
  </si>
  <si>
    <t>29703182101117</t>
  </si>
  <si>
    <t>Mohamed Ahmed Labib Mohamed</t>
  </si>
  <si>
    <t>29308071400097</t>
  </si>
  <si>
    <t>Mohamed Bashary Mohamed Mohamed</t>
  </si>
  <si>
    <t>Mohamed Ismail Ahmed Abdelhamid</t>
  </si>
  <si>
    <t>29609300105932</t>
  </si>
  <si>
    <t>Noha Moustafa Ahmed Abdelmegid</t>
  </si>
  <si>
    <t>29608202100781</t>
  </si>
  <si>
    <t>Hadeer Abdelsalam Ali Darweesh</t>
  </si>
  <si>
    <t>29606051900566</t>
  </si>
  <si>
    <t>Fatma Khaled Abdelhamid Mohamed</t>
  </si>
  <si>
    <t>29601110100721</t>
  </si>
  <si>
    <t>Moustafa Mahmoud Moustafa Ahmed Elblakosy</t>
  </si>
  <si>
    <t>29012100100395</t>
  </si>
  <si>
    <t>Alaa Abdelgelil Ali Ahmed</t>
  </si>
  <si>
    <t>29004012110469</t>
  </si>
  <si>
    <t>Ahmed Emadeldin Ahmed Mohamed</t>
  </si>
  <si>
    <t>29605212100313</t>
  </si>
  <si>
    <t>Sara Elmoataz Ahmed Abdallah</t>
  </si>
  <si>
    <t>29509010105209</t>
  </si>
  <si>
    <t>Lutfullah Aimaq</t>
  </si>
  <si>
    <t>02062871</t>
  </si>
  <si>
    <t>01119950499</t>
  </si>
  <si>
    <t>01158553256</t>
  </si>
  <si>
    <t>01272723775</t>
  </si>
  <si>
    <t>01113000416</t>
  </si>
  <si>
    <t>01091474148</t>
  </si>
  <si>
    <t>01060899005</t>
  </si>
  <si>
    <t>01125186613</t>
  </si>
  <si>
    <t>01069258436</t>
  </si>
  <si>
    <t>01093701116</t>
  </si>
  <si>
    <t>01121428471</t>
  </si>
  <si>
    <t>01011603030</t>
  </si>
  <si>
    <t>01093356994</t>
  </si>
  <si>
    <t>01033665231</t>
  </si>
  <si>
    <t>01095065637</t>
  </si>
  <si>
    <t>01158243126</t>
  </si>
  <si>
    <t>Sara Mahmoud Abdallah Mohamed</t>
  </si>
  <si>
    <t>29609032100965</t>
  </si>
  <si>
    <t>Beshoy Rafik Karam Mikhael</t>
  </si>
  <si>
    <t>29607030100752</t>
  </si>
  <si>
    <t>Esraa Ahmed Mohamed Elsaeed</t>
  </si>
  <si>
    <t>29612252103788</t>
  </si>
  <si>
    <t>Mohamed Ahmed Abdellatif Abdelhady</t>
  </si>
  <si>
    <t>29809220104454</t>
  </si>
  <si>
    <t>Adel Mohamed Khairy Ali</t>
  </si>
  <si>
    <t>29203252400076</t>
  </si>
  <si>
    <t>Karam Tarek Abdelnaby Abdelgawad</t>
  </si>
  <si>
    <t>29808081607113</t>
  </si>
  <si>
    <t>Amir Adel Elsayed Elsayed Hegazy</t>
  </si>
  <si>
    <t>Ahmed Fayed Hussein Fouad</t>
  </si>
  <si>
    <t>29606062104656</t>
  </si>
  <si>
    <t>Omar Ahmed Eltaher Khater</t>
  </si>
  <si>
    <t>29607162102177</t>
  </si>
  <si>
    <t>Beshoy Adel Eid Attia</t>
  </si>
  <si>
    <t>29810012130431</t>
  </si>
  <si>
    <t>Gehad Ali Mohamed Ahmed Hemdan</t>
  </si>
  <si>
    <t>29605172101842</t>
  </si>
  <si>
    <t>Moaaz Elsayed Fatian Mohamed</t>
  </si>
  <si>
    <t>29809050101871</t>
  </si>
  <si>
    <t>Khaled Mohamed Helmy Hussein</t>
  </si>
  <si>
    <t>29510011416753</t>
  </si>
  <si>
    <t>Mariam Mohamed Elfateh Mahmoud</t>
  </si>
  <si>
    <t>29811208800601</t>
  </si>
  <si>
    <t>Nour Makarem AbdelMagid Saeed</t>
  </si>
  <si>
    <t>29703212100188</t>
  </si>
  <si>
    <t>01113001908</t>
  </si>
  <si>
    <t>01149060755</t>
  </si>
  <si>
    <t>01151270093</t>
  </si>
  <si>
    <t>01002551538</t>
  </si>
  <si>
    <t>01068662806</t>
  </si>
  <si>
    <t>01023695515</t>
  </si>
  <si>
    <t>01013919777</t>
  </si>
  <si>
    <t>01144125017</t>
  </si>
  <si>
    <t>01157105714</t>
  </si>
  <si>
    <t>01011931402</t>
  </si>
  <si>
    <t>01116928845</t>
  </si>
  <si>
    <t>01157152747</t>
  </si>
  <si>
    <t>01023007312</t>
  </si>
  <si>
    <t>01126983443</t>
  </si>
  <si>
    <t>01147643155</t>
  </si>
  <si>
    <t>Bassam Ehab Atef Ahmed</t>
  </si>
  <si>
    <t>29506071800539</t>
  </si>
  <si>
    <t>Karim Magdy Mohamady Abdallah</t>
  </si>
  <si>
    <t>29702270102097</t>
  </si>
  <si>
    <t>Sherif Ezzeldin Abdelfattah Elsayed</t>
  </si>
  <si>
    <t>29708080105535</t>
  </si>
  <si>
    <t>Eslam Hesham Afify Mohamed</t>
  </si>
  <si>
    <t>28103240100273</t>
  </si>
  <si>
    <t>Mohamed Tarek Mohamed Elsaman</t>
  </si>
  <si>
    <t>29512100104296</t>
  </si>
  <si>
    <t>Moustafa Saeed Abdelrahman Abdelsattar</t>
  </si>
  <si>
    <t>29909290100353</t>
  </si>
  <si>
    <t>Bassem Hassan Ahmed Hassan Ali</t>
  </si>
  <si>
    <t>28606010203636</t>
  </si>
  <si>
    <t>Montaser Ahmed Omara Mohamed</t>
  </si>
  <si>
    <t>Eman Osama Mohamed Shawky</t>
  </si>
  <si>
    <t>29504120100588</t>
  </si>
  <si>
    <t>Amr Farag Ragheb Bayoumi</t>
  </si>
  <si>
    <t>29105258800716</t>
  </si>
  <si>
    <t>Aluel Zachariah Nhial</t>
  </si>
  <si>
    <t>F0000000890208</t>
  </si>
  <si>
    <t>Akur Marko Makur</t>
  </si>
  <si>
    <t>F9800000942553</t>
  </si>
  <si>
    <t>Ahmed Mohamed Abdelrazek Hanafy</t>
  </si>
  <si>
    <t>29409202105372</t>
  </si>
  <si>
    <t>Passant Medhat Ellithy Ibrahim</t>
  </si>
  <si>
    <t>29507020101063</t>
  </si>
  <si>
    <t> Grad</t>
  </si>
  <si>
    <t>01284333492</t>
  </si>
  <si>
    <t>01142485735</t>
  </si>
  <si>
    <t>01129039302</t>
  </si>
  <si>
    <t>01006966074</t>
  </si>
  <si>
    <t>01125218666</t>
  </si>
  <si>
    <t>01116981097</t>
  </si>
  <si>
    <t>01097292322</t>
  </si>
  <si>
    <t>01098992991</t>
  </si>
  <si>
    <t>01117756265</t>
  </si>
  <si>
    <t>01145641885</t>
  </si>
  <si>
    <t>01275397387</t>
  </si>
  <si>
    <t>01157992909</t>
  </si>
  <si>
    <t>01094949124</t>
  </si>
  <si>
    <t>Abdelrahman Hehsam</t>
  </si>
  <si>
    <t>Dina</t>
  </si>
  <si>
    <t>Muhab Mohamed Ahmed Abdelmegid</t>
  </si>
  <si>
    <t>29609200107016</t>
  </si>
  <si>
    <t>Hassan Essam Ibrahim Youssef</t>
  </si>
  <si>
    <t>29712132100178</t>
  </si>
  <si>
    <t xml:space="preserve">Mostafa Hussein Mohamed </t>
  </si>
  <si>
    <t>29604162102631</t>
  </si>
  <si>
    <t>Yasser Mahmoud Ryad Abdelrazek</t>
  </si>
  <si>
    <t>29307052101759</t>
  </si>
  <si>
    <t>Mohamed Ahmed Mohamed Ahmed Elsuhagy</t>
  </si>
  <si>
    <t>29601260103159</t>
  </si>
  <si>
    <t>Hadeer Mohamed Elfath Mahmoud</t>
  </si>
  <si>
    <t>29211221202481</t>
  </si>
  <si>
    <t>Sara Mohamed Abdelaziz Mohamed</t>
  </si>
  <si>
    <t>29209010113364</t>
  </si>
  <si>
    <t>Mahmoud Mohamed Hassan Ali</t>
  </si>
  <si>
    <t>29603052102753</t>
  </si>
  <si>
    <t>Kerollos Tharwat Lotfy Matta</t>
  </si>
  <si>
    <t>29607272101354</t>
  </si>
  <si>
    <t>Khaled Mohamed Ramadan Hassan</t>
  </si>
  <si>
    <t>29606292100153</t>
  </si>
  <si>
    <t>Salma Sayed Bayoumi Amer</t>
  </si>
  <si>
    <t>29504010106009</t>
  </si>
  <si>
    <t>Asalah Deeb Mohammad Abuseif</t>
  </si>
  <si>
    <t>M350198</t>
  </si>
  <si>
    <t>Yasmina Arafa Elsayed Elaraby</t>
  </si>
  <si>
    <t>29510302102225</t>
  </si>
  <si>
    <t>Aliaa Mahmoud Ibrahim Awad</t>
  </si>
  <si>
    <t>29502108800423</t>
  </si>
  <si>
    <t>Amr Mohamed Ismail Ibrahim</t>
  </si>
  <si>
    <t>28209248800153</t>
  </si>
  <si>
    <t>01000670099</t>
  </si>
  <si>
    <t>01124997226</t>
  </si>
  <si>
    <t>01003098635</t>
  </si>
  <si>
    <t>01064335201</t>
  </si>
  <si>
    <t>01120335295</t>
  </si>
  <si>
    <t>01100771522</t>
  </si>
  <si>
    <t>01097510033</t>
  </si>
  <si>
    <t>01157814097</t>
  </si>
  <si>
    <t>01282526522</t>
  </si>
  <si>
    <t>01014799387</t>
  </si>
  <si>
    <t>01143531100</t>
  </si>
  <si>
    <t>01010614561</t>
  </si>
  <si>
    <t>01013201223</t>
  </si>
  <si>
    <t>01008126247</t>
  </si>
  <si>
    <t>01028566830</t>
  </si>
  <si>
    <t>Esraa Shawky Abdelaziz Khalil</t>
  </si>
  <si>
    <t>29705211400229</t>
  </si>
  <si>
    <t>Moustafa Sayed Saeed Sayed</t>
  </si>
  <si>
    <t>29510010127952</t>
  </si>
  <si>
    <t>Waleed Hamada Fouad Ahmed</t>
  </si>
  <si>
    <t>29512071400531</t>
  </si>
  <si>
    <t>Ahmed Ibrahim Mohamed Hassan</t>
  </si>
  <si>
    <t>29507011611091</t>
  </si>
  <si>
    <t>Donia Nehad Badr Wafeek</t>
  </si>
  <si>
    <t>29801290100404</t>
  </si>
  <si>
    <t>Mohamed Amer Amin Ali</t>
  </si>
  <si>
    <t>29606140100051</t>
  </si>
  <si>
    <t>Abdelrahman Moustafa Talaat Abdelhay</t>
  </si>
  <si>
    <t>29605010207094</t>
  </si>
  <si>
    <t>Rana Ahmed Abdelwahab Ewiss</t>
  </si>
  <si>
    <t>29507312101927</t>
  </si>
  <si>
    <t>David Emad Samir Thabet</t>
  </si>
  <si>
    <t>29608210102512</t>
  </si>
  <si>
    <t>Nada Aboelela Aboelkassem Ahmed</t>
  </si>
  <si>
    <t>29807232100869</t>
  </si>
  <si>
    <t>Abdelrahman Mohamed Mowafak Elsayed</t>
  </si>
  <si>
    <t>29809021900314</t>
  </si>
  <si>
    <t>Ashrakat Medhat Mohamed Ezzat</t>
  </si>
  <si>
    <t>29604282100845</t>
  </si>
  <si>
    <t>01118374364</t>
  </si>
  <si>
    <t>01141835774</t>
  </si>
  <si>
    <t>01066461392</t>
  </si>
  <si>
    <t>01015446744</t>
  </si>
  <si>
    <t>01114367817</t>
  </si>
  <si>
    <t>01551281929</t>
  </si>
  <si>
    <t>01141393987</t>
  </si>
  <si>
    <t>01028714677</t>
  </si>
  <si>
    <t>01281195296</t>
  </si>
  <si>
    <t>01011731594</t>
  </si>
  <si>
    <t>01274423704</t>
  </si>
  <si>
    <t>01111469112</t>
  </si>
  <si>
    <t>Reem</t>
  </si>
  <si>
    <t>Abanoub Nabil Nassim Tadros</t>
  </si>
  <si>
    <t>Amir Ibrahim Rashed Ibrahim</t>
  </si>
  <si>
    <t>Amr Mohyeldin Hamam Ismail</t>
  </si>
  <si>
    <t>Mohamed Abdelkader Ahmed Abdelkader</t>
  </si>
  <si>
    <t>Hossameldin Salah Ragheb  Abdelmohsen</t>
  </si>
  <si>
    <t>Ahmed Essam Sayed Mohamed</t>
  </si>
  <si>
    <t>Omar Elsayed Mahmoud Ibrahim</t>
  </si>
  <si>
    <t>Abdelrahman Mohamed Elhussiny Mahmoud</t>
  </si>
  <si>
    <t>29508090100133</t>
  </si>
  <si>
    <t>29111012702618</t>
  </si>
  <si>
    <t>29406220203595</t>
  </si>
  <si>
    <t>28906012113115</t>
  </si>
  <si>
    <t>29911100101434</t>
  </si>
  <si>
    <t>29903242100254</t>
  </si>
  <si>
    <t>29808080103715</t>
  </si>
  <si>
    <t>01208700949</t>
  </si>
  <si>
    <t>01282954752</t>
  </si>
  <si>
    <t>01068421144</t>
  </si>
  <si>
    <t>01012341189</t>
  </si>
  <si>
    <t>01018900494</t>
  </si>
  <si>
    <t>01147012869</t>
  </si>
  <si>
    <t>01111282756</t>
  </si>
  <si>
    <t>01009778320</t>
  </si>
  <si>
    <t xml:space="preserve">Salma Magdy </t>
  </si>
  <si>
    <t>Omar Khaled Youssry Aboelrish</t>
  </si>
  <si>
    <t>29208150100592</t>
  </si>
  <si>
    <t>Abdelrahman Hosny Aboelhassan Elsayed</t>
  </si>
  <si>
    <t>29709230101891</t>
  </si>
  <si>
    <t>Waheed Ahmed Abdelbadea Shamseldin</t>
  </si>
  <si>
    <t>29410151301854</t>
  </si>
  <si>
    <t>Ahmed Moustafa Talaat Abdelfattah</t>
  </si>
  <si>
    <t>29612160100715</t>
  </si>
  <si>
    <t>Khorsheed Moustafa Ashry Roby</t>
  </si>
  <si>
    <t>28812312100339</t>
  </si>
  <si>
    <t>Mohamed Ahmed Elsayed Elsayed</t>
  </si>
  <si>
    <t>29805072102972</t>
  </si>
  <si>
    <t>Mazen Moustafa Abdellatif Mohamed</t>
  </si>
  <si>
    <t>Amr Ahmed Maher Soliman</t>
  </si>
  <si>
    <t>Ali Faleh Ali Fouly</t>
  </si>
  <si>
    <t>Hussein Tarek Ahmed Farid</t>
  </si>
  <si>
    <t>Mennatullah Mohamed Ahmed Khalifa</t>
  </si>
  <si>
    <t>Reem Adel Ibrahim Abdelaaty</t>
  </si>
  <si>
    <t>Hager Yehia Abdelwadod Abdelfadel</t>
  </si>
  <si>
    <t>Muhab Mahmoud Fahmy Ashry</t>
  </si>
  <si>
    <t>Alaa Abdelsamad Fathi Hassib</t>
  </si>
  <si>
    <t>Mariam Ahmed Moustafa Mohamed</t>
  </si>
  <si>
    <t>01129977681</t>
  </si>
  <si>
    <t>01117781072</t>
  </si>
  <si>
    <t>01003608810</t>
  </si>
  <si>
    <t>01028800389</t>
  </si>
  <si>
    <t>01116941868</t>
  </si>
  <si>
    <t>01271315800</t>
  </si>
  <si>
    <t>01118000756</t>
  </si>
  <si>
    <t>01140282454</t>
  </si>
  <si>
    <t>01091007249</t>
  </si>
  <si>
    <t>01151947685</t>
  </si>
  <si>
    <t>01228017624</t>
  </si>
  <si>
    <t>01061645945</t>
  </si>
  <si>
    <t>01281446928</t>
  </si>
  <si>
    <t>01012052556</t>
  </si>
  <si>
    <t>01203383007</t>
  </si>
  <si>
    <t>01221221060</t>
  </si>
  <si>
    <t>Hany Mohamed Othman Sayed</t>
  </si>
  <si>
    <t>27902121703136</t>
  </si>
  <si>
    <t>Beshoy Paul Shokry Henawy</t>
  </si>
  <si>
    <t>29112030101016</t>
  </si>
  <si>
    <t>Ahmed Salaheldin Ahmed Hassan</t>
  </si>
  <si>
    <t>29503153400076</t>
  </si>
  <si>
    <t>Mohamed Ahmed Mohamed Ahmed Montaser</t>
  </si>
  <si>
    <t>28904050104658</t>
  </si>
  <si>
    <t>Abdelrahman Mohamed Abdelhalim Ali</t>
  </si>
  <si>
    <t>29710010102959</t>
  </si>
  <si>
    <t>Ahmed Waheed Ibrahim Mohamed</t>
  </si>
  <si>
    <t>29707010100891</t>
  </si>
  <si>
    <t>Mohamed Malek Ahmed Abdellatif</t>
  </si>
  <si>
    <t>29206092102439</t>
  </si>
  <si>
    <t>Bassam Tarek Abdelsalam Barakat</t>
  </si>
  <si>
    <t>29703112102337</t>
  </si>
  <si>
    <t>Emad Abdelmohsen Fawky Shaaban</t>
  </si>
  <si>
    <t>29207181300038</t>
  </si>
  <si>
    <t>Ahmed Abdelnaby Mansour Ali</t>
  </si>
  <si>
    <t>29603060104315</t>
  </si>
  <si>
    <t>Nasser Khodier Abdelhalim Hassanin</t>
  </si>
  <si>
    <t>28806232103337</t>
  </si>
  <si>
    <t>Fouad Mohamed Samy Fouad</t>
  </si>
  <si>
    <t>29812318800697</t>
  </si>
  <si>
    <t>Mariam Hassan Mohamed Abdallah</t>
  </si>
  <si>
    <t>29504240101987</t>
  </si>
  <si>
    <t>Ahmed Mokhtar Ali Hassan</t>
  </si>
  <si>
    <t>29607210104993</t>
  </si>
  <si>
    <t>Akram Mohamed Sabry Ahmed</t>
  </si>
  <si>
    <t>29703040104178</t>
  </si>
  <si>
    <t>Rawan Khaled Mohamed Abdallah</t>
  </si>
  <si>
    <t>01065295511</t>
  </si>
  <si>
    <t>01229703753</t>
  </si>
  <si>
    <t>01094460121</t>
  </si>
  <si>
    <t>01093979617</t>
  </si>
  <si>
    <t>01028773788</t>
  </si>
  <si>
    <t>01155100509</t>
  </si>
  <si>
    <t>01206607595</t>
  </si>
  <si>
    <t>01099171617</t>
  </si>
  <si>
    <t>01120207122</t>
  </si>
  <si>
    <t>01097885888</t>
  </si>
  <si>
    <t>01114232702</t>
  </si>
  <si>
    <t>01205564818</t>
  </si>
  <si>
    <t>01004365282</t>
  </si>
  <si>
    <t>01147430334</t>
  </si>
  <si>
    <t>01060920043</t>
  </si>
  <si>
    <t>01276426882</t>
  </si>
  <si>
    <t>Hany Samir Abbas Abdela</t>
  </si>
  <si>
    <t>Sherif Ahmed Hassanin Mohamed</t>
  </si>
  <si>
    <t>Ahmed Reda Ali Mansour</t>
  </si>
  <si>
    <t>Ahmed Ashraf Ismail Sedky</t>
  </si>
  <si>
    <t>Mina George Sabry Habib</t>
  </si>
  <si>
    <t>Omar Tarek Mohamed Elsherbiny</t>
  </si>
  <si>
    <t>Mohammed Basel Abdulhabeb</t>
  </si>
  <si>
    <t>05624027</t>
  </si>
  <si>
    <t>01093900555</t>
  </si>
  <si>
    <t>01117437753</t>
  </si>
  <si>
    <t>01007654771</t>
  </si>
  <si>
    <t>01007102573</t>
  </si>
  <si>
    <t>01283109827</t>
  </si>
  <si>
    <t>01281068567</t>
  </si>
  <si>
    <t>01063534299</t>
  </si>
  <si>
    <t>Ramy Ali Gomaa Sharafeldin</t>
  </si>
  <si>
    <t>Karim Essam Kamel Amin</t>
  </si>
  <si>
    <t>Ahmed Mohamed Abdelsalam Youssef</t>
  </si>
  <si>
    <t>Ahmed Hassan Mohamed Ismail</t>
  </si>
  <si>
    <t>Omar Gamal Moustafa Ahmed</t>
  </si>
  <si>
    <t>Fatma Mohamed Abdallah Abdelazim</t>
  </si>
  <si>
    <t>Ahmed Abdelmohsen Abdo Ahmed</t>
  </si>
  <si>
    <t>Hager Magdy Ahmed Ahmed</t>
  </si>
  <si>
    <t>01002980066</t>
  </si>
  <si>
    <t>01096012703</t>
  </si>
  <si>
    <t>01112011166</t>
  </si>
  <si>
    <t>01222981165</t>
  </si>
  <si>
    <t>01097939708</t>
  </si>
  <si>
    <t>01272031934</t>
  </si>
  <si>
    <t>01110972787</t>
  </si>
  <si>
    <t>01151532100</t>
  </si>
  <si>
    <t>Mohamed Talaat Abdallah Elsayed</t>
  </si>
  <si>
    <t>Amr Hany Elsayed Abdellatif</t>
  </si>
  <si>
    <t>Karim Essam Mohamed Hafez</t>
  </si>
  <si>
    <t>Mohamed Magdy Tawfeek Essmat</t>
  </si>
  <si>
    <t>Ibrahim Mohsen Samy Hussein</t>
  </si>
  <si>
    <t>Nancy Tarek Radwan Ahmed</t>
  </si>
  <si>
    <t>Hatem Tarek Mosaad Mohamed</t>
  </si>
  <si>
    <t>Samar Adel Lotfy Othman</t>
  </si>
  <si>
    <t>Rehab Gamal Mohamed Naguib</t>
  </si>
  <si>
    <t>Mahmoud Abdelaziz Mohamed Saad</t>
  </si>
  <si>
    <t>Fatma Elzahraa Ibrahim Hanafy Hanafy</t>
  </si>
  <si>
    <t>01125541847</t>
  </si>
  <si>
    <t>01101189800</t>
  </si>
  <si>
    <t>01001372765</t>
  </si>
  <si>
    <t>01066390900</t>
  </si>
  <si>
    <t>01060120399</t>
  </si>
  <si>
    <t>01100054097</t>
  </si>
  <si>
    <t>01111881112</t>
  </si>
  <si>
    <t>01015316707</t>
  </si>
  <si>
    <t>01141001982</t>
  </si>
  <si>
    <t>01144087893</t>
  </si>
  <si>
    <t>01283320069</t>
  </si>
  <si>
    <t>Nada Hatem Hassan Mohamed</t>
  </si>
  <si>
    <t>Rodina Atef Abdelhamid Salem</t>
  </si>
  <si>
    <t>Jescar Joseph Abdo Tadros</t>
  </si>
  <si>
    <t>Tarek Abdelnaser Mohamed Abdelhady</t>
  </si>
  <si>
    <t>Mohamed Ibrahim Hussein Hamdy</t>
  </si>
  <si>
    <t>Taha Hosny Abdelsalam Mohamed</t>
  </si>
  <si>
    <t>Nahla Ahmed Ibrahim Metwally</t>
  </si>
  <si>
    <t>Khaled Sayed Saad Sayed</t>
  </si>
  <si>
    <t>Sherif Ahmed Abdelaziz Fahmy</t>
  </si>
  <si>
    <t xml:space="preserve">Karim Magdy Ahmed Abdelrahman </t>
  </si>
  <si>
    <t>Khaled Mohamed Mohamed Adlan</t>
  </si>
  <si>
    <t>Mina Magdy Moshreky Sorial</t>
  </si>
  <si>
    <t>01143607468</t>
  </si>
  <si>
    <t>01274423906</t>
  </si>
  <si>
    <t>01021286228</t>
  </si>
  <si>
    <t>01066921902</t>
  </si>
  <si>
    <t>01062989504</t>
  </si>
  <si>
    <t>01069949551</t>
  </si>
  <si>
    <t>01005483127</t>
  </si>
  <si>
    <t>01006085287</t>
  </si>
  <si>
    <t>01151396321</t>
  </si>
  <si>
    <t>01000070989</t>
  </si>
  <si>
    <t>01006593392</t>
  </si>
  <si>
    <t>01277024949</t>
  </si>
  <si>
    <t>Muhab</t>
  </si>
  <si>
    <t>Nehal Hijazy</t>
  </si>
  <si>
    <t>Mohamed Ibrahim Mahmoud Ali</t>
  </si>
  <si>
    <t>Ahmed Saeed Hamza Mahmoud</t>
  </si>
  <si>
    <t xml:space="preserve">Fatma Hassan Hashem Abdelrahman </t>
  </si>
  <si>
    <t>Marco Adel Nassif Qeliny</t>
  </si>
  <si>
    <t>Khaled Essam Aboelfotoh Salman</t>
  </si>
  <si>
    <t>Amira Mohamed Fathi Ahmed</t>
  </si>
  <si>
    <t>Beshoy Medhat Moawad Attia</t>
  </si>
  <si>
    <t>Nesma Roshdy Ibrahim Ismail</t>
  </si>
  <si>
    <t>Omar Tarek Samy Mohamed</t>
  </si>
  <si>
    <t>01152448486</t>
  </si>
  <si>
    <t>01141928026</t>
  </si>
  <si>
    <t>01024960100</t>
  </si>
  <si>
    <t>01220286432</t>
  </si>
  <si>
    <t>01091749623</t>
  </si>
  <si>
    <t>01025461943</t>
  </si>
  <si>
    <t>01276249424</t>
  </si>
  <si>
    <t>01097122088</t>
  </si>
  <si>
    <t>01123483860</t>
  </si>
  <si>
    <t>Yasmine Yehia</t>
  </si>
  <si>
    <t>Reem Hussien</t>
  </si>
  <si>
    <t>Youstina Elia</t>
  </si>
  <si>
    <t>Alaa Mohamed Khalafallah Abodief</t>
  </si>
  <si>
    <t>Mahmoud Elsaeed Elsaeed Mohamed</t>
  </si>
  <si>
    <t>Abdelrahman Mohamed Mokhtar Mohamed</t>
  </si>
  <si>
    <t>Sameh Sayed Hosny Elsayed</t>
  </si>
  <si>
    <t xml:space="preserve">Mohanad Elsayed Mahmoud Elsayed </t>
  </si>
  <si>
    <t>Abdelrahman Gomla Osman Youssef</t>
  </si>
  <si>
    <t>Amr Ali Mohamed Saeed</t>
  </si>
  <si>
    <t>Moustafa Mohamed Abbas Ahmed</t>
  </si>
  <si>
    <t>Hanan Emadeldin Mohamed Salem</t>
  </si>
  <si>
    <t>Mohamed Raafat Abdallah Mohamed Mwafy</t>
  </si>
  <si>
    <t>Hany Micheal Boktor Gergis</t>
  </si>
  <si>
    <t>Khaled Gamal Hamed Ramadan</t>
  </si>
  <si>
    <t>01142212348</t>
  </si>
  <si>
    <t>01144415567</t>
  </si>
  <si>
    <t>01223232035</t>
  </si>
  <si>
    <t>01099970784</t>
  </si>
  <si>
    <t>01011433320</t>
  </si>
  <si>
    <t>01144982932</t>
  </si>
  <si>
    <t>01019633445</t>
  </si>
  <si>
    <t>01003477940</t>
  </si>
  <si>
    <t>01010454059</t>
  </si>
  <si>
    <t>01147622233</t>
  </si>
  <si>
    <t>01210233348</t>
  </si>
  <si>
    <t>01155615468</t>
  </si>
  <si>
    <t>Menna Wafei</t>
  </si>
  <si>
    <t>Ahmed Belal</t>
  </si>
  <si>
    <t xml:space="preserve">Mohamed Ahmed Kamal Ahmed </t>
  </si>
  <si>
    <t>Ahmed Adel Fawzy Abozaid</t>
  </si>
  <si>
    <t>20497</t>
  </si>
  <si>
    <t>Hesham Gabr Sedik Moustafa</t>
  </si>
  <si>
    <t>Ahmed Mohyeldin Moustafa Abdelrazek</t>
  </si>
  <si>
    <t>Ahmed Sayed Abdallah Elsayed</t>
  </si>
  <si>
    <t>Mohamed Abdelmoniem Mohamed Abdelaal</t>
  </si>
  <si>
    <t>Mohamed Ahmed Abdelkerim Ahmed</t>
  </si>
  <si>
    <t>Omar Sayed Hassan Bassiouny</t>
  </si>
  <si>
    <t>Aisha Gamil Abdelmoniem Elzeftawy</t>
  </si>
  <si>
    <t>20505</t>
  </si>
  <si>
    <t>Ammar Adel Qasem Shugaa</t>
  </si>
  <si>
    <t>04915355</t>
  </si>
  <si>
    <t>Lilian Samson Tako Nguana</t>
  </si>
  <si>
    <t>R00299113</t>
  </si>
  <si>
    <t>Abdallah Ahmed Abdallah Mohamed Hassanin</t>
  </si>
  <si>
    <t>01000310557</t>
  </si>
  <si>
    <t>01120016011</t>
  </si>
  <si>
    <t>01100443878</t>
  </si>
  <si>
    <t>01009154287</t>
  </si>
  <si>
    <t>01221890617</t>
  </si>
  <si>
    <t>01143446626</t>
  </si>
  <si>
    <t>01033922402</t>
  </si>
  <si>
    <t>01223156751</t>
  </si>
  <si>
    <t>01140737573</t>
  </si>
  <si>
    <t>01288526933</t>
  </si>
  <si>
    <t>01102086742</t>
  </si>
  <si>
    <t>01023606796</t>
  </si>
  <si>
    <t>Muhab Ashraf</t>
  </si>
  <si>
    <t>Abdelrahman Adel</t>
  </si>
  <si>
    <t>Menna</t>
  </si>
  <si>
    <t>Nada Moustafa Hamid Ali</t>
  </si>
  <si>
    <t>Hesham Ahmed Hassan Ahmed Nawara</t>
  </si>
  <si>
    <t>Mohamed Nosuhy Maamoun Abdelrahman</t>
  </si>
  <si>
    <t>Omar Essam Ahmed Moussa</t>
  </si>
  <si>
    <t>Nahla Karam Abdelgawad Abdellatif</t>
  </si>
  <si>
    <t>Radwa Adel Mohamed Abdelrasol</t>
  </si>
  <si>
    <t>Ahmed Mohamed Ahmed Allam</t>
  </si>
  <si>
    <t>Myvel Magdy Farag Labib</t>
  </si>
  <si>
    <t>Marianne Saadallah Ghali Toadros</t>
  </si>
  <si>
    <t>01004453213</t>
  </si>
  <si>
    <t>01099362826</t>
  </si>
  <si>
    <t>01100600301</t>
  </si>
  <si>
    <t>01013921975</t>
  </si>
  <si>
    <t>01150523711</t>
  </si>
  <si>
    <t>01151405153</t>
  </si>
  <si>
    <t>01112842568</t>
  </si>
  <si>
    <t>01289918693</t>
  </si>
  <si>
    <t>Mohamed Sayed Mohamed Elbehidy</t>
  </si>
  <si>
    <t>Ahmed Moustafa Elsayed Abdelaal</t>
  </si>
  <si>
    <t>Mohamed Hossam Ahmed Mohamed</t>
  </si>
  <si>
    <t>Noha Abdelhamid Sayed Abdelhamid</t>
  </si>
  <si>
    <t>Nabil Nabil Mahmoud Abaza</t>
  </si>
  <si>
    <t>Mohamed Hamed Mahmoud Mohamed</t>
  </si>
  <si>
    <t>Mohamed Essameldin Abdelhady Abbas</t>
  </si>
  <si>
    <t>Ahmed Ashraf Abdelfattah Mohamed Ammar</t>
  </si>
  <si>
    <t>Omar Mohamed Ezzat Mahmoud</t>
  </si>
  <si>
    <t>Ramy Khaled Saad Abdelrazek</t>
  </si>
  <si>
    <t>Mohamed Saeed Sayed Ali Hassan</t>
  </si>
  <si>
    <t>01008148434</t>
  </si>
  <si>
    <t>01100053866</t>
  </si>
  <si>
    <t>01006075445</t>
  </si>
  <si>
    <t>01100581126</t>
  </si>
  <si>
    <t>01006973081</t>
  </si>
  <si>
    <t>01112196320</t>
  </si>
  <si>
    <t>01006036002</t>
  </si>
  <si>
    <t>01157271172</t>
  </si>
  <si>
    <t>01011336292</t>
  </si>
  <si>
    <t>01201904568</t>
  </si>
  <si>
    <t>01095990001</t>
  </si>
  <si>
    <t>Omar Ahmed Abdelfattah Abdelrahman</t>
  </si>
  <si>
    <t>Ahmed Hamdy Gomaa Mahmoud</t>
  </si>
  <si>
    <t>Aisha Hazem Hamdy Hassan</t>
  </si>
  <si>
    <t>Ali Ibrahim Ali Mohamed</t>
  </si>
  <si>
    <t>555-00159433</t>
  </si>
  <si>
    <t>Abdallah Nasr Qurany Hussein</t>
  </si>
  <si>
    <t>Ahmed Kamal Mahdy Abdelaziz</t>
  </si>
  <si>
    <t>Shady Fouad Ahmed Saber</t>
  </si>
  <si>
    <t>Aya Mohamed Yehia Elziny</t>
  </si>
  <si>
    <t>Ahmed Nasser Mohamed Abdelah</t>
  </si>
  <si>
    <t>Ibrahim Mohamed Ibrahim Abdelrehim</t>
  </si>
  <si>
    <t>Farida Mohamed Samy Amin</t>
  </si>
  <si>
    <t>01023359932</t>
  </si>
  <si>
    <t>01157823458</t>
  </si>
  <si>
    <t>01127008058</t>
  </si>
  <si>
    <t>01124323119</t>
  </si>
  <si>
    <t>01118399255</t>
  </si>
  <si>
    <t>01001369258</t>
  </si>
  <si>
    <t>01143933440</t>
  </si>
  <si>
    <t>01025390703</t>
  </si>
  <si>
    <t>01096516971</t>
  </si>
  <si>
    <t>01090186164</t>
  </si>
  <si>
    <t>01127707633</t>
  </si>
  <si>
    <t xml:space="preserve">Hazem Mohamed Mohamed Kamal </t>
  </si>
  <si>
    <t>Hazem Sayed Mohamed Mohamed Bakr</t>
  </si>
  <si>
    <t>Aya Abdelhamid Ibrahim Ismail</t>
  </si>
  <si>
    <t>Ahmed Farouk Abdelfattah Hassan</t>
  </si>
  <si>
    <t>Ahmed Ahmed Ahmed Mahmoud Elnouri</t>
  </si>
  <si>
    <t>Karamallah Mamdouh Mahmoud Awad</t>
  </si>
  <si>
    <t>Mohamed Osama Fathi Hassan Sedik</t>
  </si>
  <si>
    <t>Magdy Emam Abdelnaeim Abdelzaher</t>
  </si>
  <si>
    <t>Doha Yassin Galal Ali Ahmed</t>
  </si>
  <si>
    <t>Nader Ibrahim Mohamed Lotfy</t>
  </si>
  <si>
    <t>Loai Alaaeldin Ahmed Mohamed</t>
  </si>
  <si>
    <t>Khaled Omar Moustafa Hashem</t>
  </si>
  <si>
    <t>Mohammed Idris Ismail Ahmed</t>
  </si>
  <si>
    <t>P03058627</t>
  </si>
  <si>
    <t>01144026699</t>
  </si>
  <si>
    <t>01007908802</t>
  </si>
  <si>
    <t>01140221982</t>
  </si>
  <si>
    <t>01096093813</t>
  </si>
  <si>
    <t>01062003086</t>
  </si>
  <si>
    <t>01550091661</t>
  </si>
  <si>
    <t>01062003007</t>
  </si>
  <si>
    <t>01111353460</t>
  </si>
  <si>
    <t>01129427720</t>
  </si>
  <si>
    <t>01099593379</t>
  </si>
  <si>
    <t>01018865339</t>
  </si>
  <si>
    <t>01016635301</t>
  </si>
  <si>
    <t>01119299897</t>
  </si>
  <si>
    <t>Mahmoud Magdy Abdelmaksoud Ali</t>
  </si>
  <si>
    <t>Omar Ahmed Shawky Tawfeek</t>
  </si>
  <si>
    <t>Salma Sayed Abdo Shehata</t>
  </si>
  <si>
    <t>Abdelrahman Ezzeldin Ibrahim Ali</t>
  </si>
  <si>
    <t>Mahmoud Saeed Abdelmegid Othman</t>
  </si>
  <si>
    <t>Hadeer Saeed Omar Ebied</t>
  </si>
  <si>
    <t>Abobakr Elsedik Khaled Hussein Abdelaziz</t>
  </si>
  <si>
    <t>Moustafa Mohamed Moustafa Eid</t>
  </si>
  <si>
    <t>Alfred Maged Abdelmalak Zaki</t>
  </si>
  <si>
    <t>Hussein Rougy Hadad hadad</t>
  </si>
  <si>
    <t>Abanoub Fathy Shehata Gerres</t>
  </si>
  <si>
    <t>01026918778</t>
  </si>
  <si>
    <t>01157230876</t>
  </si>
  <si>
    <t>01143487139</t>
  </si>
  <si>
    <t>01096921464</t>
  </si>
  <si>
    <t>01112173366</t>
  </si>
  <si>
    <t>01004110534</t>
  </si>
  <si>
    <t>01149527270</t>
  </si>
  <si>
    <t>01221221012</t>
  </si>
  <si>
    <t>01020201040</t>
  </si>
  <si>
    <t>01001200732</t>
  </si>
  <si>
    <t>01208052735</t>
  </si>
  <si>
    <t>Mahmoud Sabry Saad Salem</t>
  </si>
  <si>
    <t>Omar Ayman Mansour Ahmed Ali</t>
  </si>
  <si>
    <t>Rovan Mohamed Kassem Radwan</t>
  </si>
  <si>
    <t>Ali Mohamed Ali</t>
  </si>
  <si>
    <t>Michael Ayoub Youssif</t>
  </si>
  <si>
    <t>Ahmed Mahmoud Ahmed El Aghoury</t>
  </si>
  <si>
    <t>01008338787</t>
  </si>
  <si>
    <t>01003599761</t>
  </si>
  <si>
    <t>01015966992</t>
  </si>
  <si>
    <t>01114244147</t>
  </si>
  <si>
    <t>01006584204</t>
  </si>
  <si>
    <t>01272156810</t>
  </si>
  <si>
    <t>Mohamed Salah Sherif Elwany</t>
  </si>
  <si>
    <t>Mariam Mohamed Fouad Ahmed</t>
  </si>
  <si>
    <t>Ahmed Hesham Mohamed Hassanin</t>
  </si>
  <si>
    <t>Mohamed Ahmed Gamaleldin Ibrahim</t>
  </si>
  <si>
    <t>Hamdy Mohamed Gharabawy Mohamed</t>
  </si>
  <si>
    <t>Mahmoud Yasser Mahmoud Abdelsalam</t>
  </si>
  <si>
    <t>Reem Mohamed Ismail Ahmed</t>
  </si>
  <si>
    <t>Gehad Mohamed Fouad Ahmed</t>
  </si>
  <si>
    <t>01019183503</t>
  </si>
  <si>
    <t>01159222056</t>
  </si>
  <si>
    <t>01022872093</t>
  </si>
  <si>
    <t>01143359044</t>
  </si>
  <si>
    <t>01065479229</t>
  </si>
  <si>
    <t>01007278341</t>
  </si>
  <si>
    <t>01115282946</t>
  </si>
  <si>
    <t>01148075550</t>
  </si>
  <si>
    <t>01211656641</t>
  </si>
  <si>
    <t>01017507459</t>
  </si>
  <si>
    <t>01061765211</t>
  </si>
  <si>
    <t xml:space="preserve">Amir Edward </t>
  </si>
  <si>
    <t>Omar El Kholy</t>
  </si>
  <si>
    <t>Shimaa Galal Abd el rahman</t>
  </si>
  <si>
    <t>Mohamed Abdelaaty Sayed Abdelaaty Khattab</t>
  </si>
  <si>
    <t>Ahmed Mohamed Ahmed Elhanafy</t>
  </si>
  <si>
    <t>Radwa Mahmoud Mohamed Nour</t>
  </si>
  <si>
    <t>Wagdy Mahmoud Mahmoud Elhanafy</t>
  </si>
  <si>
    <t>Wael Hassan Mohamed Elsadiq</t>
  </si>
  <si>
    <t>P04175621</t>
  </si>
  <si>
    <t>Gasser Mohamed Labib Ali</t>
  </si>
  <si>
    <t>Adham Ashraf Ahmed Mohamed</t>
  </si>
  <si>
    <t>Essam Mahmoud Ahmed Bakr</t>
  </si>
  <si>
    <t>Abdelrahman Ali Ismail Hussien</t>
  </si>
  <si>
    <t>Ahmed Sameh Moustafa Ali Elamri</t>
  </si>
  <si>
    <t>Mohamed Mamdouh Mohamed Hafez</t>
  </si>
  <si>
    <t>Mahmoud Rabie Helmy Abdellatif</t>
  </si>
  <si>
    <t>Ahmed Mohamed Mohsen Amin</t>
  </si>
  <si>
    <t>Moamen Elsaeed Abdelbaeth Abdelfattah</t>
  </si>
  <si>
    <t>Abdelrahman Samy Shehata Madany</t>
  </si>
  <si>
    <t>Ibrahim Tawfeek Ibrahim Elgendy</t>
  </si>
  <si>
    <t>01069720041</t>
  </si>
  <si>
    <t>01021948779</t>
  </si>
  <si>
    <t>01019829212</t>
  </si>
  <si>
    <t>01144100189</t>
  </si>
  <si>
    <t>01066852301</t>
  </si>
  <si>
    <t>01006166262</t>
  </si>
  <si>
    <t>01148485527</t>
  </si>
  <si>
    <t>01116212480</t>
  </si>
  <si>
    <t>01110639764</t>
  </si>
  <si>
    <t>01154400746</t>
  </si>
  <si>
    <t>01555815568</t>
  </si>
  <si>
    <t>01144803969</t>
  </si>
  <si>
    <t>01119947900</t>
  </si>
  <si>
    <t>01149132075</t>
  </si>
  <si>
    <t>01007715144</t>
  </si>
  <si>
    <t>01211558650</t>
  </si>
  <si>
    <t>Dina Mohamed Ahmed Ibrahim</t>
  </si>
  <si>
    <t>Omar Abdelnaby Ibrahim Ahmed</t>
  </si>
  <si>
    <t>Salma Abdelnaby Eldesouky Wafa</t>
  </si>
  <si>
    <t>Khalil Hassan Elemam Mustafa</t>
  </si>
  <si>
    <t>P02054501</t>
  </si>
  <si>
    <t>Abdelrahman Kamal Hassan Mohamed Elsheikh</t>
  </si>
  <si>
    <t>Youstina Nader Rasmy Saeed</t>
  </si>
  <si>
    <t>Dina Ahmed Khiereldin Abdelhalim</t>
  </si>
  <si>
    <t>Deng Daniel Deng Chagai</t>
  </si>
  <si>
    <t>M9400001236713</t>
  </si>
  <si>
    <t>Mohamed Montasserbellah Mohamed Mustafa</t>
  </si>
  <si>
    <t>Dorate Isaac Tela</t>
  </si>
  <si>
    <t>F9800001063624</t>
  </si>
  <si>
    <t>Karim Nasr Aboelfath Abdelfattah</t>
  </si>
  <si>
    <t>Mayar Fathi Mohamed Mahmoud</t>
  </si>
  <si>
    <t>01061694698</t>
  </si>
  <si>
    <t>01009543539</t>
  </si>
  <si>
    <t>01149222512</t>
  </si>
  <si>
    <t>01069487347</t>
  </si>
  <si>
    <t>01141140418</t>
  </si>
  <si>
    <t>01278740550</t>
  </si>
  <si>
    <t>01210514301</t>
  </si>
  <si>
    <t>01155491918</t>
  </si>
  <si>
    <t>01120206616</t>
  </si>
  <si>
    <t>01111286505</t>
  </si>
  <si>
    <t>01062569622</t>
  </si>
  <si>
    <t>01095881370</t>
  </si>
  <si>
    <t>Akram Ahmed Hussein Mohamed</t>
  </si>
  <si>
    <t>Faisal Moustafa Mohamed Abdelghany</t>
  </si>
  <si>
    <t>Amr Mohamed Ahmed Abdelfattah</t>
  </si>
  <si>
    <t>Mayar Ahmed Shoukry Fathy</t>
  </si>
  <si>
    <t>Mariam Mohamed Zaki Mohamed</t>
  </si>
  <si>
    <t>Aser Fouad Abdelsalam Moustafa</t>
  </si>
  <si>
    <t>Mina Demian Wakim Saeed</t>
  </si>
  <si>
    <t>Maged Magdy Ahmed</t>
  </si>
  <si>
    <t>Ahmed Mahmoud Abdelkader Marzouk</t>
  </si>
  <si>
    <t>01003233612</t>
  </si>
  <si>
    <t>01010036189</t>
  </si>
  <si>
    <t>01129094334</t>
  </si>
  <si>
    <t>01004317818</t>
  </si>
  <si>
    <t>01113711783</t>
  </si>
  <si>
    <t>01555855605</t>
  </si>
  <si>
    <t>01288822016</t>
  </si>
  <si>
    <t>01111311724</t>
  </si>
  <si>
    <t>01550454600</t>
  </si>
  <si>
    <t>Rasha Mogieb Rashad Elsayed</t>
  </si>
  <si>
    <t>Sayed Ahmed Fawzy Sayed Ahmed Abdelrazek</t>
  </si>
  <si>
    <t>Philopateer Armanious Zahy Malak</t>
  </si>
  <si>
    <t xml:space="preserve">Rana Assem Ali Hussien </t>
  </si>
  <si>
    <t>Gehad Mohy Hassan Abdelgawad</t>
  </si>
  <si>
    <t>Eslam Mohamed Sayed Mahmoud</t>
  </si>
  <si>
    <t>Ahmed Youssri Mohamed Abdelwahab</t>
  </si>
  <si>
    <t>Mohamed Fares Shaker Elfares</t>
  </si>
  <si>
    <t>P00122761</t>
  </si>
  <si>
    <t>Ahmed Mohamed Mohamed Abdelkhalea</t>
  </si>
  <si>
    <t>Moustafa Hassan Mohamed Ahmed Elattar</t>
  </si>
  <si>
    <t>Nouran Ramadan Abdelmoniem Salem</t>
  </si>
  <si>
    <t>Mennatullah Ahmed Bahaa Elkilany</t>
  </si>
  <si>
    <t>Mina Mounir Nabeh Narouz</t>
  </si>
  <si>
    <t>Grad </t>
  </si>
  <si>
    <t>01063433221</t>
  </si>
  <si>
    <t>01144994482</t>
  </si>
  <si>
    <t>01289357035</t>
  </si>
  <si>
    <t>01064551619</t>
  </si>
  <si>
    <t>01110900144</t>
  </si>
  <si>
    <t>01144026789</t>
  </si>
  <si>
    <t>01145400723</t>
  </si>
  <si>
    <t>01091981920</t>
  </si>
  <si>
    <t>01020632900</t>
  </si>
  <si>
    <t>01024071707</t>
  </si>
  <si>
    <t>01276166600</t>
  </si>
  <si>
    <t>01111999630</t>
  </si>
  <si>
    <t>01204212604</t>
  </si>
  <si>
    <t>Esraa Moustafa Mohamed Abdelrahman</t>
  </si>
  <si>
    <t>Mohamed Awad Mohamed Awad Othman</t>
  </si>
  <si>
    <t>Mohamed Mahmoud Ibrahim Khattab</t>
  </si>
  <si>
    <t>Mohamed Emad Hassan Elbughdady</t>
  </si>
  <si>
    <t>Omnia Ali Shehata Ali Attia</t>
  </si>
  <si>
    <t>Mohamed Abdallah Ali Abdallah</t>
  </si>
  <si>
    <t>Hassan Mohamed Hassan Sanad</t>
  </si>
  <si>
    <t>Shehab Adel Soliman Gaber</t>
  </si>
  <si>
    <t>Reem Mohamed Noureldin Aboelela</t>
  </si>
  <si>
    <t>Dina Moustafa Youssef Hafez</t>
  </si>
  <si>
    <t>29206271600387</t>
  </si>
  <si>
    <t>Hazem Osama Mohamed Omara</t>
  </si>
  <si>
    <t>01009498542</t>
  </si>
  <si>
    <t>01000406240</t>
  </si>
  <si>
    <t>01020808997</t>
  </si>
  <si>
    <t>01009810228</t>
  </si>
  <si>
    <t>01112820102</t>
  </si>
  <si>
    <t>01156160949</t>
  </si>
  <si>
    <t>01116603226</t>
  </si>
  <si>
    <t>01009310358</t>
  </si>
  <si>
    <t>01024856320</t>
  </si>
  <si>
    <t>01067078005</t>
  </si>
  <si>
    <t>01007040040</t>
  </si>
  <si>
    <t>Ahmed Hassan Zaghloul Abbas</t>
  </si>
  <si>
    <t>Ahmed Nasreldin Mohamed Abdelrahim</t>
  </si>
  <si>
    <t>P00889592</t>
  </si>
  <si>
    <t>Aya Osama Farhat Hanafy</t>
  </si>
  <si>
    <t>Bassem Mohamed Waried Abdelbar</t>
  </si>
  <si>
    <t>Hesham Nasr Abdelaziz Elsayed</t>
  </si>
  <si>
    <t>Mahmoud Saleh Abdallah Mabrouk</t>
  </si>
  <si>
    <t>Obayda Mohamed Moustafa Ali</t>
  </si>
  <si>
    <t>Ola Abdelsamea Abdelsamea Ahmed</t>
  </si>
  <si>
    <t>Rania Emad Abdelaziz Hassan</t>
  </si>
  <si>
    <t>Seifeldin Rashed Moussa Rashed</t>
  </si>
  <si>
    <t>Wessam Adel Mohamed Abdo Elkholy</t>
  </si>
  <si>
    <t>Youhanna Tarek Aiad Tadrous</t>
  </si>
  <si>
    <t>01117505813</t>
  </si>
  <si>
    <t>01156824065</t>
  </si>
  <si>
    <t>01067955799</t>
  </si>
  <si>
    <t>01223067002</t>
  </si>
  <si>
    <t>01141332997</t>
  </si>
  <si>
    <t>01066816638</t>
  </si>
  <si>
    <t>01068631042</t>
  </si>
  <si>
    <t>01097310459</t>
  </si>
  <si>
    <t>01003010536</t>
  </si>
  <si>
    <t>01289293763</t>
  </si>
  <si>
    <t>Moustafa Mohamed Mohamed Ismail</t>
  </si>
  <si>
    <t>Mohamed Saad Ahmed Ali</t>
  </si>
  <si>
    <t>Maged Fayez Abdelmasih Rabil</t>
  </si>
  <si>
    <t>Saeed Mohamed Abdelaal Abdelmaksoud</t>
  </si>
  <si>
    <t>Mahmoud Sameh Sayed Yassin</t>
  </si>
  <si>
    <t>Mohamed Saad Youssef Abdo</t>
  </si>
  <si>
    <t>Ibrahim Abdo Elsayed Abdelmoein</t>
  </si>
  <si>
    <t xml:space="preserve">Pance Bahgat Abdallah Abdallah </t>
  </si>
  <si>
    <t>Omar Khaled Ibrahim Sobeih</t>
  </si>
  <si>
    <t>Samuel David Elkams Abdelmasih</t>
  </si>
  <si>
    <t>01065438706</t>
  </si>
  <si>
    <t>01004398379</t>
  </si>
  <si>
    <t>01273696275</t>
  </si>
  <si>
    <t>01067924630</t>
  </si>
  <si>
    <t>01008873948</t>
  </si>
  <si>
    <t>01111463773</t>
  </si>
  <si>
    <t>01000639129</t>
  </si>
  <si>
    <t>01279935311</t>
  </si>
  <si>
    <t>01068834617</t>
  </si>
  <si>
    <t>01286205996</t>
  </si>
  <si>
    <t>Kerollos Abdelmalak Boulis Mikhael</t>
  </si>
  <si>
    <t>Mahmoud Mohamed Mahmoud Ahmed Abdelaal</t>
  </si>
  <si>
    <t>Noha Ahmed Ali Ahmed</t>
  </si>
  <si>
    <t>Abdallah Kassem Khamis Kassem</t>
  </si>
  <si>
    <t>Maysa Ahmed Mahmoud Hanafy</t>
  </si>
  <si>
    <t>Karim Hosny Abdelmotaleb Mohamed</t>
  </si>
  <si>
    <t>Evodia Andrea Francis Asnacios</t>
  </si>
  <si>
    <t>Assem Hany Abdellatif Sabea</t>
  </si>
  <si>
    <t>Sarah Manino Joseph</t>
  </si>
  <si>
    <t>F9800000688866</t>
  </si>
  <si>
    <t>01282118188</t>
  </si>
  <si>
    <t>01144407768</t>
  </si>
  <si>
    <t>01155052240</t>
  </si>
  <si>
    <t>01129344468</t>
  </si>
  <si>
    <t>01097889763</t>
  </si>
  <si>
    <t>01002888814</t>
  </si>
  <si>
    <t>01226903499</t>
  </si>
  <si>
    <t>01151189077</t>
  </si>
  <si>
    <t>01100543369</t>
  </si>
  <si>
    <t>Nourhan Ahmed Mohamed Mahfouz</t>
  </si>
  <si>
    <t>Noha Magdy Ibrahim Mohamed</t>
  </si>
  <si>
    <t>Mohamed Mostafa Abdelazim Abdallah</t>
  </si>
  <si>
    <t>Ahmed Mohamed Ahmed Morsi</t>
  </si>
  <si>
    <t>Farida Gamal Ali Taher</t>
  </si>
  <si>
    <t>Aisha Ahmed Mostafa Sayed</t>
  </si>
  <si>
    <t>Omar GamalEldin Ahmed Rashed</t>
  </si>
  <si>
    <t>Amr Rafeek Mohamed Nassif</t>
  </si>
  <si>
    <t>Sayed Ahmed Sayed Ahmed</t>
  </si>
  <si>
    <t>Abdelrahman Adel Fouad Zaki</t>
  </si>
  <si>
    <t>Mohamed Essam Mohamed Aboelmaaty</t>
  </si>
  <si>
    <t>Osama Marwan Fakhry</t>
  </si>
  <si>
    <t>A10356170</t>
  </si>
  <si>
    <t>Serag Ahmed Mohamed SalahEldin</t>
  </si>
  <si>
    <t>Ibrahim Abdelkader Helmy Karara</t>
  </si>
  <si>
    <t xml:space="preserve">Passant Mohamed Hamza Mohamed </t>
  </si>
  <si>
    <t>01142038648</t>
  </si>
  <si>
    <t>01117747842</t>
  </si>
  <si>
    <t>01142857267</t>
  </si>
  <si>
    <t>01092000653</t>
  </si>
  <si>
    <t>01120327943</t>
  </si>
  <si>
    <t>01004727704</t>
  </si>
  <si>
    <t>01093989769</t>
  </si>
  <si>
    <t>01288928870</t>
  </si>
  <si>
    <t>01143392776</t>
  </si>
  <si>
    <t>01111649106</t>
  </si>
  <si>
    <t>01095484702</t>
  </si>
  <si>
    <t>01141166577</t>
  </si>
  <si>
    <t>01019222142</t>
  </si>
  <si>
    <t>01001358322</t>
  </si>
  <si>
    <t>01133449449</t>
  </si>
  <si>
    <t>Ayatullah Mohamed Fahim Mohamed</t>
  </si>
  <si>
    <t>29207172102461</t>
  </si>
  <si>
    <t>Mohamed Ibrahim Abdelmetaal Abdelmetaal</t>
  </si>
  <si>
    <t>Marwan Mohamed Abdelwahab Abdelrazek</t>
  </si>
  <si>
    <t>Rehab Adel Gad Ragab</t>
  </si>
  <si>
    <t>Amna Araby Mohamed Ahmed</t>
  </si>
  <si>
    <t>Ahmed Mohamed Abdelmoniem Abdelsalam</t>
  </si>
  <si>
    <t>Hesham Saad Yassin Mohamed Ibrahim</t>
  </si>
  <si>
    <t>Hager Mamdouh Mahmoud Elsayed</t>
  </si>
  <si>
    <t>Fatma Elsayed Abdelmoniem Elsayed Ali</t>
  </si>
  <si>
    <t>Sherif Sayed Eid Ibrahim</t>
  </si>
  <si>
    <t>Sherif Ahmed Abdeltawab Khalil</t>
  </si>
  <si>
    <t>Eman Nessim Mosaad Ahmed</t>
  </si>
  <si>
    <t>Hanan Lotfy Bakry Afify</t>
  </si>
  <si>
    <t>Hamed Ahmed Hamed Ibrahim</t>
  </si>
  <si>
    <t>Omar Mohamed GamalEldin Mahrous</t>
  </si>
  <si>
    <t xml:space="preserve">Michael Samir Botros </t>
  </si>
  <si>
    <t>01116635679</t>
  </si>
  <si>
    <t>01141930183</t>
  </si>
  <si>
    <t>01003950068</t>
  </si>
  <si>
    <t>01117766806</t>
  </si>
  <si>
    <t>01151141817</t>
  </si>
  <si>
    <t>01000384036</t>
  </si>
  <si>
    <t>01114191279</t>
  </si>
  <si>
    <t>01002666355</t>
  </si>
  <si>
    <t>01140175167</t>
  </si>
  <si>
    <t>01092388907</t>
  </si>
  <si>
    <t>01005828180</t>
  </si>
  <si>
    <t>01099540009</t>
  </si>
  <si>
    <t>01227903158</t>
  </si>
  <si>
    <t>01142108294</t>
  </si>
  <si>
    <t>01065962564</t>
  </si>
  <si>
    <t>01212414819</t>
  </si>
  <si>
    <t>Mina Gamal Farag Hakim</t>
  </si>
  <si>
    <t xml:space="preserve">Ahmed Abdelkader Elsayed Abdelkader </t>
  </si>
  <si>
    <t>29210311500078</t>
  </si>
  <si>
    <t>Mina Maher Kromel Azer</t>
  </si>
  <si>
    <t>Shady Ahmed Shamrokh Hemdan</t>
  </si>
  <si>
    <t>Razan Abdelmahmoud Mekky Abdelmahmoud</t>
  </si>
  <si>
    <t>Amr Mahmoud Mohamed Elgaml</t>
  </si>
  <si>
    <t>Ahmed Gamal Ahmed Kandel</t>
  </si>
  <si>
    <t>Mohamed Ahmed Mahmoud Ismail</t>
  </si>
  <si>
    <t>Abdelrahman Ezzat Abdellatif Mahmoud</t>
  </si>
  <si>
    <t>Farag Mohamed Farag Ahmed</t>
  </si>
  <si>
    <t>Amr Adel Aly Hassan</t>
  </si>
  <si>
    <t>01005552462</t>
  </si>
  <si>
    <t>01027845007</t>
  </si>
  <si>
    <t>01228633340</t>
  </si>
  <si>
    <t>01551493591</t>
  </si>
  <si>
    <t>01111464826</t>
  </si>
  <si>
    <t>01060765513</t>
  </si>
  <si>
    <t>01145170193</t>
  </si>
  <si>
    <t>01114117418</t>
  </si>
  <si>
    <t>01016065533</t>
  </si>
  <si>
    <t>01129853678</t>
  </si>
  <si>
    <t>01027527683</t>
  </si>
  <si>
    <t>Abdallah Atef Shaaban Aboelfotouh</t>
  </si>
  <si>
    <t>Ahmed Abdelnasser Saad Ahmed</t>
  </si>
  <si>
    <t>Amr Elsayed Abdelmoniem Elsayed</t>
  </si>
  <si>
    <t>Aya Abdelaziz Ahmed Abdelaziz</t>
  </si>
  <si>
    <t>Eslam Abdo Mahmoud Ali</t>
  </si>
  <si>
    <t>Gehad Ahmed Mohamed Tolba</t>
  </si>
  <si>
    <t>Hamed Mohamed Elsaeed Hamed</t>
  </si>
  <si>
    <t>28308131201974</t>
  </si>
  <si>
    <t xml:space="preserve">Khaled Ahmed Abdelhakim Mahmoud </t>
  </si>
  <si>
    <t>Khaled Sayed Mohamed Abdallah</t>
  </si>
  <si>
    <t>Mai Samir Ahmed Hassan Attia</t>
  </si>
  <si>
    <t>Mohamed Ahmed Khalil Ibrahim</t>
  </si>
  <si>
    <t>Mohamed Marzouk AboElmagd Ghareeb</t>
  </si>
  <si>
    <t>Moustafa Abdelhamid Ismail Shawky</t>
  </si>
  <si>
    <t>Raneem Sherif Waheeb Sami</t>
  </si>
  <si>
    <t>Samar Ayman Abdelaziz Ali Abdelrabo</t>
  </si>
  <si>
    <t>01110228299</t>
  </si>
  <si>
    <t>01111631368</t>
  </si>
  <si>
    <t>01090937378</t>
  </si>
  <si>
    <t>01018302034</t>
  </si>
  <si>
    <t>01113653890</t>
  </si>
  <si>
    <t>01001002361</t>
  </si>
  <si>
    <t>01006110018</t>
  </si>
  <si>
    <t>01005756860</t>
  </si>
  <si>
    <t>01113213307</t>
  </si>
  <si>
    <t>01010384644</t>
  </si>
  <si>
    <t>01117144952</t>
  </si>
  <si>
    <t>01068510621</t>
  </si>
  <si>
    <t>01007750789</t>
  </si>
  <si>
    <t>01279944410</t>
  </si>
  <si>
    <t>01211066180</t>
  </si>
  <si>
    <t>Youstina Wagih Mihany Mikhael</t>
  </si>
  <si>
    <t>Fatma Abdelnaby Mahmoud Hussein</t>
  </si>
  <si>
    <t>Abdelrahman Sayed Abdelrahman Abdelmegid</t>
  </si>
  <si>
    <t>Abdelrahman Mohamed Abdelhalim</t>
  </si>
  <si>
    <t>29711181300054</t>
  </si>
  <si>
    <t>Yehia Mohamed Mohamed Elsayed</t>
  </si>
  <si>
    <t>Mayar Tarek Mahmoud Abdellatif</t>
  </si>
  <si>
    <t>Alhassan Mohamed Abdelaziz Mohamed</t>
  </si>
  <si>
    <t>Shorouk Omar Abdelnaby Hassanin</t>
  </si>
  <si>
    <t>Ahmed Youssef Moustafa Fahmy</t>
  </si>
  <si>
    <t>Mohamed Ali Mohamed Selim</t>
  </si>
  <si>
    <t>Ahmed Adel Hussein Rawy</t>
  </si>
  <si>
    <t>01201777768</t>
  </si>
  <si>
    <t>01069557468</t>
  </si>
  <si>
    <t>01000454582</t>
  </si>
  <si>
    <t>01125575881</t>
  </si>
  <si>
    <t>01147837100</t>
  </si>
  <si>
    <t>01010055737</t>
  </si>
  <si>
    <t>01092809009</t>
  </si>
  <si>
    <t>01224837910</t>
  </si>
  <si>
    <t>01014500955</t>
  </si>
  <si>
    <t>01281373035</t>
  </si>
  <si>
    <t>01060601350</t>
  </si>
  <si>
    <t>Fawzia Abdelrahman Azzam Hashem</t>
  </si>
  <si>
    <t>Hany Mansour Ahmed Belal</t>
  </si>
  <si>
    <t>Ahmed Mohamed Mohamed Sayed</t>
  </si>
  <si>
    <t>Ahmed Mohamed Abdelmawgod Ali Rawy</t>
  </si>
  <si>
    <t>Abdallah Farag Abdallah Mohamed</t>
  </si>
  <si>
    <t>29401290400132</t>
  </si>
  <si>
    <t>Ahmed Osama Mohamed Morsy</t>
  </si>
  <si>
    <t>Amr Atef Ramadan Osman</t>
  </si>
  <si>
    <t>Abdallah Abdelmouty Abdelghany Moussa</t>
  </si>
  <si>
    <t>Mohamed Emad Abdelnaby Mohamed</t>
  </si>
  <si>
    <t xml:space="preserve">Mohamed Ahmed Andelmoniem Ahmed Sayed </t>
  </si>
  <si>
    <t>01098527770</t>
  </si>
  <si>
    <t>01141813350</t>
  </si>
  <si>
    <t>01276202969</t>
  </si>
  <si>
    <t>01118368367</t>
  </si>
  <si>
    <t>01063695636</t>
  </si>
  <si>
    <t>01207205714</t>
  </si>
  <si>
    <t>01023313329</t>
  </si>
  <si>
    <t>01064499018</t>
  </si>
  <si>
    <t>01065166447</t>
  </si>
  <si>
    <t>01114845219</t>
  </si>
  <si>
    <t>Abdallah Hassan Modir Bakhat</t>
  </si>
  <si>
    <t>B0452660</t>
  </si>
  <si>
    <t>Omar Elrashed SalahEldin Mohamed Afify</t>
  </si>
  <si>
    <t>Mohamed EmadEldin Ezzat Mohamed</t>
  </si>
  <si>
    <t>Ahmed Gaber Mohamed Morshed</t>
  </si>
  <si>
    <t>Mona Samy Saad Zaghloul</t>
  </si>
  <si>
    <t>Abdelrahman Abdelhamid Mohamed Ibrahim</t>
  </si>
  <si>
    <t>28907102104472</t>
  </si>
  <si>
    <t>Mahmoud Nabil Abdelaziz Aboelnasr</t>
  </si>
  <si>
    <t>HossamEldin Abdelhamid Mohamed Elsayed</t>
  </si>
  <si>
    <t>Hossam Adel Bakry Hassan</t>
  </si>
  <si>
    <t>Ahmed Melihy Abdelazim Sayed</t>
  </si>
  <si>
    <t>Mahmoud Abdelrehim Ahmed Mohamed</t>
  </si>
  <si>
    <t>01147985848</t>
  </si>
  <si>
    <t>01149373754</t>
  </si>
  <si>
    <t>01120959398</t>
  </si>
  <si>
    <t>01007157354</t>
  </si>
  <si>
    <t>01068280885</t>
  </si>
  <si>
    <t>01100038304</t>
  </si>
  <si>
    <t>01095538814</t>
  </si>
  <si>
    <t>01099480660</t>
  </si>
  <si>
    <t>01006440010</t>
  </si>
  <si>
    <t>01025835030</t>
  </si>
  <si>
    <t>01125273333</t>
  </si>
  <si>
    <t>Ahmed Ibrahim Mamdouh Morsi</t>
  </si>
  <si>
    <t>29312252103571</t>
  </si>
  <si>
    <t>Amal Ahmed Hassan Ahmed</t>
  </si>
  <si>
    <t>Beshoy Adel Antwan Hanna</t>
  </si>
  <si>
    <t>Heba Moustafa Sayed Hassanin</t>
  </si>
  <si>
    <t>Islam Hazem Ibrahim Mohamed</t>
  </si>
  <si>
    <t>Malak Emad Youssef SalahEldin</t>
  </si>
  <si>
    <t>Mariam Anas Mahmoud Ali</t>
  </si>
  <si>
    <t>29212238800141</t>
  </si>
  <si>
    <t>Mina Medhat Bekhit Kamel</t>
  </si>
  <si>
    <t>Mohamed Ismail Omar Hassanin</t>
  </si>
  <si>
    <t>Mona Sherif Fathi Elkhatib</t>
  </si>
  <si>
    <t>Nahla ShehabEldin Mohamed Elmamoun</t>
  </si>
  <si>
    <t>Reem Ramadan Moustafa Abdelaal</t>
  </si>
  <si>
    <t>Taha Moustafa Abdelhamid Mahdy</t>
  </si>
  <si>
    <t>Zienab SalahEldin Abdelaziz Ismail</t>
  </si>
  <si>
    <t>Nadine Mourice Micheal Khella</t>
  </si>
  <si>
    <t>01068002978</t>
  </si>
  <si>
    <t>01014809224</t>
  </si>
  <si>
    <t>01226563452</t>
  </si>
  <si>
    <t>01006170549</t>
  </si>
  <si>
    <t>01143580661</t>
  </si>
  <si>
    <t>01011320901</t>
  </si>
  <si>
    <t>01003104085</t>
  </si>
  <si>
    <t>01220677285</t>
  </si>
  <si>
    <t>01150225066</t>
  </si>
  <si>
    <t>01140367007</t>
  </si>
  <si>
    <t>01280600836</t>
  </si>
  <si>
    <t>01154300559</t>
  </si>
  <si>
    <t>01000277955</t>
  </si>
  <si>
    <t>01113939212</t>
  </si>
  <si>
    <t>01023668156</t>
  </si>
  <si>
    <t>Moustafa Metwally Abdelhamid</t>
  </si>
  <si>
    <t>19638</t>
  </si>
  <si>
    <t>Basma Mohamed Ismail Fouad</t>
  </si>
  <si>
    <t>Esraa Saeed Ismail AboAmra</t>
  </si>
  <si>
    <t>Nader Gamal Hassan GahElrasol</t>
  </si>
  <si>
    <t>Ahmed Mamdouh Mohamed Elbendary</t>
  </si>
  <si>
    <t>Mohamed Abdelhady Hassan Ibrahim</t>
  </si>
  <si>
    <t>29501210103455</t>
  </si>
  <si>
    <t>Nouran Ahmed Abdellatif Ahmed</t>
  </si>
  <si>
    <t>Ahmed Mohamed SalahEldin Mohamed Hashem</t>
  </si>
  <si>
    <t>Fatma Mohamed Fouad Fahmy</t>
  </si>
  <si>
    <t>Lina Walaa Hussein Mahmoud Abdelrahman</t>
  </si>
  <si>
    <t>Hossam Gamal Hassan Mohamed Anous</t>
  </si>
  <si>
    <t>Khadiga Mohamed Moustafa Elsayed</t>
  </si>
  <si>
    <t>Hazem Mohamed Sayed Abdellatif</t>
  </si>
  <si>
    <t>HossamEldin Abdelhamid Gomaa Belal</t>
  </si>
  <si>
    <t>Samira AmrAllah AbdElAzeem Abass</t>
  </si>
  <si>
    <t>29211090102427</t>
  </si>
  <si>
    <t xml:space="preserve">Mohamed Ahmed Ali Mohamed El Sayed </t>
  </si>
  <si>
    <t>01146190812</t>
  </si>
  <si>
    <t>01099249491</t>
  </si>
  <si>
    <t>01285914357</t>
  </si>
  <si>
    <t>01095527565</t>
  </si>
  <si>
    <t>01147470270</t>
  </si>
  <si>
    <t>01146695451</t>
  </si>
  <si>
    <t>01159608943</t>
  </si>
  <si>
    <t>01022745220</t>
  </si>
  <si>
    <t>01151680839</t>
  </si>
  <si>
    <t>01090267163</t>
  </si>
  <si>
    <t>01288188172</t>
  </si>
  <si>
    <t>01015109524</t>
  </si>
  <si>
    <t>01122820243</t>
  </si>
  <si>
    <t>01066954361</t>
  </si>
  <si>
    <t>01068076650</t>
  </si>
  <si>
    <t>01004653346</t>
  </si>
  <si>
    <t>Sara Mohamed Kamal Abdelhalim</t>
  </si>
  <si>
    <t>Hadeer Yasser Abdeltawab Sedik</t>
  </si>
  <si>
    <t>Mahmoud Mosaad Ahmed Mosaad</t>
  </si>
  <si>
    <t>Mohamed Abdelfattah Ibrahim Abdelfattah</t>
  </si>
  <si>
    <t>Omnia Mahmoud Helmy Mohamed</t>
  </si>
  <si>
    <t>Ayssar Ahmed Mahmoud Zaki</t>
  </si>
  <si>
    <t>SeifEldin Ashraf Ahmed Helmy</t>
  </si>
  <si>
    <t>Nada Mohamed Farag Soliman</t>
  </si>
  <si>
    <t>Ghada Elsayed Attia Mohamed Elshiekh</t>
  </si>
  <si>
    <t>Ahmed Saeed Abdelhamid Ali</t>
  </si>
  <si>
    <t>Morcos Mounir Lmaei Labib</t>
  </si>
  <si>
    <t>Esraa Ahmed Abdelmoamen Ahmed</t>
  </si>
  <si>
    <t>Mohamed Osama Gomaa Ali</t>
  </si>
  <si>
    <t>Abdelrahman Ehab Fathi Hassan</t>
  </si>
  <si>
    <t>Mohamed Mahmoud Mahmoud Mohamed Soliman</t>
  </si>
  <si>
    <t>Shorouk Mohamed Abdelfattah Ibrahim</t>
  </si>
  <si>
    <t>Mostafa Alaa El Din Mohamed Ali Ramadan</t>
  </si>
  <si>
    <t>01018866773</t>
  </si>
  <si>
    <t>01154362184</t>
  </si>
  <si>
    <t>01145516002</t>
  </si>
  <si>
    <t>01115586797</t>
  </si>
  <si>
    <t>01142815425</t>
  </si>
  <si>
    <t>01118179671</t>
  </si>
  <si>
    <t>01157788541</t>
  </si>
  <si>
    <t>01016618185</t>
  </si>
  <si>
    <t>01118000003</t>
  </si>
  <si>
    <t>01063377538</t>
  </si>
  <si>
    <t>01288343652</t>
  </si>
  <si>
    <t>01062879994</t>
  </si>
  <si>
    <t>01146633818</t>
  </si>
  <si>
    <t>01095646959</t>
  </si>
  <si>
    <t>01018000155</t>
  </si>
  <si>
    <t>01006633389</t>
  </si>
  <si>
    <t>01060888272</t>
  </si>
  <si>
    <t>Dina Mohsen Abdelmohsen Ashmawy</t>
  </si>
  <si>
    <t>Tasneem Adel Kamal Ibrahim</t>
  </si>
  <si>
    <t>Poula Maged Wadea Elraheb</t>
  </si>
  <si>
    <t>Heba Anwar Elsayed Sadek</t>
  </si>
  <si>
    <t>Mahmoud Abdelhamid Rezk Mostafa</t>
  </si>
  <si>
    <t>Esraa Mohamed Ali Mohamed Ali</t>
  </si>
  <si>
    <t xml:space="preserve">Shimaa Ali Ahmed Mohamed </t>
  </si>
  <si>
    <t>Mostafa Abdelaly Abdelbaser Abdelbaki</t>
  </si>
  <si>
    <t>29311130102233</t>
  </si>
  <si>
    <t>Abdelrahman Ehabeldin Ahmed Ali</t>
  </si>
  <si>
    <t>Reem Adel Attallah Wahba</t>
  </si>
  <si>
    <t>Fady Samaan Tawfeek Elmeawad</t>
  </si>
  <si>
    <t>Ghada Mohamed Shaaban Ahmed</t>
  </si>
  <si>
    <t>Rahma Nasser Mohamed Baiuomy</t>
  </si>
  <si>
    <t>Amr Hussein Hassan Ramadan</t>
  </si>
  <si>
    <t>Aya Saeed Attia Elsayed</t>
  </si>
  <si>
    <t>Mohamed Ashraf Mohamed Abdallah Bebars</t>
  </si>
  <si>
    <t>Hanaa Mahmoud Hamdy Mohamed Metwally</t>
  </si>
  <si>
    <t>Edmundo Cainoy Carisma</t>
  </si>
  <si>
    <t>EC1143165</t>
  </si>
  <si>
    <t>Wanas Abdelrab Radman</t>
  </si>
  <si>
    <t>04774717</t>
  </si>
  <si>
    <t>Emil Botros Shokry Botros</t>
  </si>
  <si>
    <t xml:space="preserve">Mohamed Magdy Mohamed Raafat </t>
  </si>
  <si>
    <t>01111887371</t>
  </si>
  <si>
    <t>01270537317</t>
  </si>
  <si>
    <t>01225078139</t>
  </si>
  <si>
    <t>01149077337</t>
  </si>
  <si>
    <t>01010962676</t>
  </si>
  <si>
    <t>01000528896</t>
  </si>
  <si>
    <t>01004520518</t>
  </si>
  <si>
    <t>01016196627</t>
  </si>
  <si>
    <t>01275406150</t>
  </si>
  <si>
    <t>01225835473</t>
  </si>
  <si>
    <t>01113250704</t>
  </si>
  <si>
    <t>01141136230</t>
  </si>
  <si>
    <t>01016180280</t>
  </si>
  <si>
    <t>01144260108</t>
  </si>
  <si>
    <t>01147727879</t>
  </si>
  <si>
    <t>01119886690</t>
  </si>
  <si>
    <t>01020547703</t>
  </si>
  <si>
    <t>01019469294</t>
  </si>
  <si>
    <t>01025334340</t>
  </si>
  <si>
    <t>01226032063</t>
  </si>
  <si>
    <t>Zienab Salem Taghan Abdallah</t>
  </si>
  <si>
    <t>Mennatullah Nabil Mahmoud Abdo</t>
  </si>
  <si>
    <t>Alaa Magdy Ahmed Abdelsalam</t>
  </si>
  <si>
    <t>Islam Hussein Aboelela Hassan</t>
  </si>
  <si>
    <t>Sherif Khairy Mohamed Touhamy</t>
  </si>
  <si>
    <t>Mohamed Badawy Abdelshakour Badawy</t>
  </si>
  <si>
    <t>Heba shoukry Lotfy Elqousha</t>
  </si>
  <si>
    <t>Fatma Elzahraa Ibrahim Mohamed Fahmy</t>
  </si>
  <si>
    <t>29506120102842</t>
  </si>
  <si>
    <t>Rawan Mohamed Amer Mohamed Zidan</t>
  </si>
  <si>
    <t>Merna Tharwat Wiliam Abdelnour</t>
  </si>
  <si>
    <t>Mariam Elsayed Abdo Megahed</t>
  </si>
  <si>
    <t>Yasmine Fathi Radwan Soliman</t>
  </si>
  <si>
    <t>Rodina Waheed Ahmed Mahmoud Omar</t>
  </si>
  <si>
    <t>01123278638</t>
  </si>
  <si>
    <t>01110607736</t>
  </si>
  <si>
    <t>01115950453</t>
  </si>
  <si>
    <t>01061902170</t>
  </si>
  <si>
    <t>01007133746</t>
  </si>
  <si>
    <t>01001618197</t>
  </si>
  <si>
    <t>01091272999</t>
  </si>
  <si>
    <t>01146455840</t>
  </si>
  <si>
    <t>01069578843</t>
  </si>
  <si>
    <t>01010350363</t>
  </si>
  <si>
    <t>01094683015</t>
  </si>
  <si>
    <t>01003865864</t>
  </si>
  <si>
    <t>01145086624</t>
  </si>
  <si>
    <t>Ahmed Mohamed AbdelFattah ElSarangawy</t>
  </si>
  <si>
    <t>Ali Ahmed Mahmoud Ibrahim Ibrahim</t>
  </si>
  <si>
    <t>Aya Magdy Elsayed Aref</t>
  </si>
  <si>
    <t>Esraa Samir Ali Ali AboHussien</t>
  </si>
  <si>
    <t>Gloria Samson Abitar</t>
  </si>
  <si>
    <t>R00310031</t>
  </si>
  <si>
    <t>Heba Mohamed ElMarsfy Mohamed AbdelHady</t>
  </si>
  <si>
    <t>Islam Faraht Saad ElAmary</t>
  </si>
  <si>
    <t>Mohamed Badr Yahia AbdelSalam</t>
  </si>
  <si>
    <t>Mohamed Farid AbdelMaguid Eissa</t>
  </si>
  <si>
    <t>Mohamed Samy Elsayed Mazen</t>
  </si>
  <si>
    <t>Monica Nasry Ibrahim Eissa</t>
  </si>
  <si>
    <t>Mostafa Mahmoud Mohamed Hassan</t>
  </si>
  <si>
    <t>Nourhan Ashraf ElDessouky Ali Shoman</t>
  </si>
  <si>
    <t>Eman Emad ElDin AbdelRahman Ahmed Orabi</t>
  </si>
  <si>
    <t>Fatma Elzahraa Ramadan Salim Mohamed</t>
  </si>
  <si>
    <t>01111185924</t>
  </si>
  <si>
    <t>01090016218</t>
  </si>
  <si>
    <t>01207367307</t>
  </si>
  <si>
    <t>01063673965</t>
  </si>
  <si>
    <t>01150309377</t>
  </si>
  <si>
    <t>01555135136</t>
  </si>
  <si>
    <t>01006969699</t>
  </si>
  <si>
    <t>01018960009</t>
  </si>
  <si>
    <t>01095332313</t>
  </si>
  <si>
    <t>01271187945</t>
  </si>
  <si>
    <t>01275907644</t>
  </si>
  <si>
    <t>01129975491</t>
  </si>
  <si>
    <t>01097669553</t>
  </si>
  <si>
    <t>01022217351</t>
  </si>
  <si>
    <t>01145888147</t>
  </si>
  <si>
    <t>Ahmed Saeed Gadallah Abdelnaby</t>
  </si>
  <si>
    <t>Karim Mohamed Soliman AbdelSadek Soliman</t>
  </si>
  <si>
    <t>Abdallah Ezzat Mohamed Mohamed Salim</t>
  </si>
  <si>
    <t>Ahmed Farid Attia ElShahat Arfat</t>
  </si>
  <si>
    <t>Ashrakat Ahmed Tawfik AbdelHamid</t>
  </si>
  <si>
    <t>Bassem Saeed Ibrahim Abdallah</t>
  </si>
  <si>
    <t>Dina HossamEldin Fahmy Zaki ElSawaf</t>
  </si>
  <si>
    <t>Ehab Abdelghafar Ahmed ElRamgh</t>
  </si>
  <si>
    <t>Esraa Hussein Ali AbdelAziz</t>
  </si>
  <si>
    <t>Esraa Samy Hassan Ali Abdallah</t>
  </si>
  <si>
    <t>Ghada Shawky Ahmed Yassen</t>
  </si>
  <si>
    <t>Ismail Mohammed Fakry Salah AbdelAziz</t>
  </si>
  <si>
    <t>Karim mohamed Ali ElMaslhee</t>
  </si>
  <si>
    <t>Mahmoud Ali Hassan Mohamed</t>
  </si>
  <si>
    <t>Maryam Gamal Mohamed Hassan</t>
  </si>
  <si>
    <t>Omar GamalEldin Ahmed Mohamed Ismail</t>
  </si>
  <si>
    <t>Petra Osama Fam Hanna</t>
  </si>
  <si>
    <t>Radwa Hisham Mohamed Youssef</t>
  </si>
  <si>
    <t>Samaa Hassan Abdo Hassan Dawud</t>
  </si>
  <si>
    <t>Shimaa Adel Mahmoud Ibrahim</t>
  </si>
  <si>
    <t>Hazem Mohamed Abdelgawad Ali Saad</t>
  </si>
  <si>
    <t>01002766900</t>
  </si>
  <si>
    <t>01010679692</t>
  </si>
  <si>
    <t>01092180364</t>
  </si>
  <si>
    <t>01003920370</t>
  </si>
  <si>
    <t xml:space="preserve">01122251176 </t>
  </si>
  <si>
    <t xml:space="preserve">01127535031 </t>
  </si>
  <si>
    <t>01111337895</t>
  </si>
  <si>
    <t>01011912131</t>
  </si>
  <si>
    <t>01007608034</t>
  </si>
  <si>
    <t>01122249827</t>
  </si>
  <si>
    <t>01118658284</t>
  </si>
  <si>
    <t>01157775102</t>
  </si>
  <si>
    <t>01011553085</t>
  </si>
  <si>
    <t>01000227894</t>
  </si>
  <si>
    <t>01007064680</t>
  </si>
  <si>
    <t xml:space="preserve">01118227814 </t>
  </si>
  <si>
    <t>01270608906</t>
  </si>
  <si>
    <t xml:space="preserve">01146981663 </t>
  </si>
  <si>
    <t xml:space="preserve">01011323111 </t>
  </si>
  <si>
    <t>01000713918</t>
  </si>
  <si>
    <t xml:space="preserve">01069049689 </t>
  </si>
  <si>
    <t>Ahmed Abdelkhalek Hussein Soliman</t>
  </si>
  <si>
    <t>Omar Ali Ismail Taha</t>
  </si>
  <si>
    <t>Mohamed Youssry Abdelhakim Serag</t>
  </si>
  <si>
    <t>Amr Abdelsalam Mohamed GamalEldin</t>
  </si>
  <si>
    <t>Ayman Ahmed Elsawy Mohamed</t>
  </si>
  <si>
    <t>Sara Walid Hussein Keshk</t>
  </si>
  <si>
    <t>Omar Mohamed Hassan Mahmoud</t>
  </si>
  <si>
    <t>Samar Saad Mohamed Mounir</t>
  </si>
  <si>
    <t>Abdelmegid Ashraf Abdelmegid Abdelmegid</t>
  </si>
  <si>
    <t>Moussa Tounkara</t>
  </si>
  <si>
    <t>070791</t>
  </si>
  <si>
    <t>Adut Majak Majak</t>
  </si>
  <si>
    <t>R00104260</t>
  </si>
  <si>
    <t>Yasmine Sabry Mohamed Ezzeldin</t>
  </si>
  <si>
    <t>Khaled Sobhy Hassan Ismail</t>
  </si>
  <si>
    <t>Samuel Farag Zaki Nakhla</t>
  </si>
  <si>
    <t>01009648286</t>
  </si>
  <si>
    <t>01002492428</t>
  </si>
  <si>
    <t>01221554282</t>
  </si>
  <si>
    <t>01152631405</t>
  </si>
  <si>
    <t>01204121314</t>
  </si>
  <si>
    <t>01150885887</t>
  </si>
  <si>
    <t>01062707045</t>
  </si>
  <si>
    <t>01015306105</t>
  </si>
  <si>
    <t>01224236894</t>
  </si>
  <si>
    <t>01119954595</t>
  </si>
  <si>
    <t>01141451963</t>
  </si>
  <si>
    <t>01228843010</t>
  </si>
  <si>
    <t>01004355935</t>
  </si>
  <si>
    <t>01220798278</t>
  </si>
  <si>
    <t>Abdelhamid Mohamed Abdelhamid Mohamed</t>
  </si>
  <si>
    <t>Ahmed Abdallah Hassan Mofttah</t>
  </si>
  <si>
    <t>Ahmed NasrEldin Kamal Mahmoud</t>
  </si>
  <si>
    <t>Alaa Salah Khalifa Mohamed</t>
  </si>
  <si>
    <t>Amina Mohamed Mahmoud Algengehy</t>
  </si>
  <si>
    <t>Andrew Youssef Shehata Shenoda</t>
  </si>
  <si>
    <t>Ayman Shawky AboHagazy Aish</t>
  </si>
  <si>
    <t>Evram Karam Azmy Attia</t>
  </si>
  <si>
    <t>Mahmoud Adham Marouf Ali Aziz</t>
  </si>
  <si>
    <t>Mennatallah Yasser Mohamed Sayed</t>
  </si>
  <si>
    <t>Mervat Bahig Zaher Elia</t>
  </si>
  <si>
    <t>Mohamed Amr Abdallah AbdelHamid</t>
  </si>
  <si>
    <t>Mohamed Ahmed Khamis Mohamed Salama</t>
  </si>
  <si>
    <t>Omnia Adel Shoukry AbdelSalam</t>
  </si>
  <si>
    <t>Radwa Gaber Mohamed Gaber</t>
  </si>
  <si>
    <t>Rahma Ali Ahmed Mohamed Ali</t>
  </si>
  <si>
    <t>Sara Saeed Taha Gaber</t>
  </si>
  <si>
    <t>01289625541</t>
  </si>
  <si>
    <t>01003365958</t>
  </si>
  <si>
    <t>01117456749</t>
  </si>
  <si>
    <t>0103335601</t>
  </si>
  <si>
    <t>01145778701</t>
  </si>
  <si>
    <t>01019133103</t>
  </si>
  <si>
    <t>01145450364</t>
  </si>
  <si>
    <t>01111366667</t>
  </si>
  <si>
    <t>01013075700</t>
  </si>
  <si>
    <t>01022201979</t>
  </si>
  <si>
    <t>01062251414</t>
  </si>
  <si>
    <t>01202393973</t>
  </si>
  <si>
    <t>01282760682</t>
  </si>
  <si>
    <t>01286535541</t>
  </si>
  <si>
    <t>01114219871</t>
  </si>
  <si>
    <t>01024450444</t>
  </si>
  <si>
    <t>01270716124</t>
  </si>
  <si>
    <t>Abobakr AlaaEldin Abdelbaset Elmougy</t>
  </si>
  <si>
    <t>Ahmed Tawfeek Abdallah Ahmed</t>
  </si>
  <si>
    <t>Alaa Omar Khalil Youssef</t>
  </si>
  <si>
    <t>Amal Kamal Shehata Malk</t>
  </si>
  <si>
    <t xml:space="preserve">Arwa Saleh Ibrahim Khalaf </t>
  </si>
  <si>
    <t xml:space="preserve">Asmaa Abdelsamad Younes Abdelsamad </t>
  </si>
  <si>
    <t>Basma Magdy Abdelaziz Elmelegy</t>
  </si>
  <si>
    <t>Hagar Maged Abdelrehim Abdelsamad</t>
  </si>
  <si>
    <t>Karim Abdelsamea Mohamed Abdelsamea</t>
  </si>
  <si>
    <t>Mohanad Hesham Hussein Badawy</t>
  </si>
  <si>
    <t>Nourallah Ahmed Ezzat Elsayed Attia</t>
  </si>
  <si>
    <t>Nourhan Abdelkader Hamaad Mohamed</t>
  </si>
  <si>
    <t>29112080100266</t>
  </si>
  <si>
    <t>Ramy Mohamed Abdelsalam Mohamed</t>
  </si>
  <si>
    <t>Rania Metwally Abdallah Elsayed</t>
  </si>
  <si>
    <t>Sameh Hassan Abdeltawab ShamsEldin</t>
  </si>
  <si>
    <t>Sara Shaaban Ahmed Mohamed Aboelela</t>
  </si>
  <si>
    <t>Shahenda Mohsen SalahEldin Elkady</t>
  </si>
  <si>
    <t>01010191191</t>
  </si>
  <si>
    <t>01111451376</t>
  </si>
  <si>
    <t>01100767305</t>
  </si>
  <si>
    <t>01200050352</t>
  </si>
  <si>
    <t>01095915545</t>
  </si>
  <si>
    <t>01020190476</t>
  </si>
  <si>
    <t>01207238934</t>
  </si>
  <si>
    <t>01110769178</t>
  </si>
  <si>
    <t>01066448681</t>
  </si>
  <si>
    <t>01116557003</t>
  </si>
  <si>
    <t>01002675102</t>
  </si>
  <si>
    <t>01157380732</t>
  </si>
  <si>
    <t>01141818732</t>
  </si>
  <si>
    <t>01021883778</t>
  </si>
  <si>
    <t>01007757837</t>
  </si>
  <si>
    <t>01096091705</t>
  </si>
  <si>
    <t>01116494488</t>
  </si>
  <si>
    <t>Ahmed Mohamed Abdelhamid Mohamed</t>
  </si>
  <si>
    <t>Ahmed Mokhtar Ali Gadallah</t>
  </si>
  <si>
    <t xml:space="preserve">Hebatallah Adham Attia </t>
  </si>
  <si>
    <t>Hossam Adel Metwally Metwally Mohamed</t>
  </si>
  <si>
    <t>Khalid Mamdouh Mahmoud AbdelRahman</t>
  </si>
  <si>
    <t>Khalil AbdelAziz Khalil Salem Awad</t>
  </si>
  <si>
    <t>Marco Sobhy Rageb Eskandr</t>
  </si>
  <si>
    <t>Merna Adel Wadee AbdelSayed Mikhail</t>
  </si>
  <si>
    <t>Mohamed Nehad Adham Mohamed Aldwiny</t>
  </si>
  <si>
    <t>Mohamed Helmy Helmy AbdelLatif</t>
  </si>
  <si>
    <t>Mustafa Kamal Mohamed Elsayed Khder</t>
  </si>
  <si>
    <t>Nader EssamEldin Fahim Mohamed AbdelSalam</t>
  </si>
  <si>
    <t>Nourhan Mohamed AbdelBaky Mohamed Ayed</t>
  </si>
  <si>
    <t>Ola EmadEldin AbdelFattah Ali</t>
  </si>
  <si>
    <t>Ran Top</t>
  </si>
  <si>
    <t>B0150913</t>
  </si>
  <si>
    <t>Rana Tarek Sayed Mohamed Ismail</t>
  </si>
  <si>
    <t>Salma Shalaby Sayed Shalaby</t>
  </si>
  <si>
    <t>Sara Sherif Mohamed Mohamed</t>
  </si>
  <si>
    <t>Toka Gamal Mohamed Hola</t>
  </si>
  <si>
    <t>Vivian Alber Akhnokh Muawad</t>
  </si>
  <si>
    <t>Mayar Nabil Hassan Ali Manisy</t>
  </si>
  <si>
    <t>01110979765</t>
  </si>
  <si>
    <t>01060833899</t>
  </si>
  <si>
    <t>01128731693</t>
  </si>
  <si>
    <t>01150711093</t>
  </si>
  <si>
    <t>01145538300</t>
  </si>
  <si>
    <t>01126619490</t>
  </si>
  <si>
    <t>01205962914</t>
  </si>
  <si>
    <t>01285229909</t>
  </si>
  <si>
    <t>01127888985</t>
  </si>
  <si>
    <t>01003171726</t>
  </si>
  <si>
    <t>01156911261</t>
  </si>
  <si>
    <t>01142332070</t>
  </si>
  <si>
    <t>01270446971</t>
  </si>
  <si>
    <t>01123882601</t>
  </si>
  <si>
    <t>01119769210</t>
  </si>
  <si>
    <t>01144592112</t>
  </si>
  <si>
    <t>01065282331</t>
  </si>
  <si>
    <t>01120971178</t>
  </si>
  <si>
    <t>01003711275</t>
  </si>
  <si>
    <t>01289389904</t>
  </si>
  <si>
    <t>01228311143</t>
  </si>
  <si>
    <t>Ahmed Mohamed AbdelFattah Sedek</t>
  </si>
  <si>
    <t>Ayman Ali AbdElAzim Metwaly</t>
  </si>
  <si>
    <t>HossamEldin Ahmed Mohamed Ahmed Ali</t>
  </si>
  <si>
    <t>Karim Ezzat Mohamed Hosny Mohamed ElLaithy</t>
  </si>
  <si>
    <t>Khaled Hazem Ismail Mohamed Ali</t>
  </si>
  <si>
    <t xml:space="preserve">Mahmoud Ahmed Mohamed Elsayed </t>
  </si>
  <si>
    <t>Modham Sameh Mohamed Taher Younis</t>
  </si>
  <si>
    <t>Mohamed AbdelRahman Mohamed Mohamed Elsharkawy</t>
  </si>
  <si>
    <t>Nada Ashraf AbdelRahman ElAttar</t>
  </si>
  <si>
    <t>Nouran Tarek Mohamed Kamel Hussien</t>
  </si>
  <si>
    <t>Rady Eshaq Fokeh Fakry</t>
  </si>
  <si>
    <t>Sherif Magdy Shokry Twadrous</t>
  </si>
  <si>
    <t>Zainab Mahmoud Gaber Mohamed Gaber</t>
  </si>
  <si>
    <t>Marwa SalahEldin Sayed Ali</t>
  </si>
  <si>
    <t>Shuroq Hussien Rafaat Ahmed Wafy</t>
  </si>
  <si>
    <t>01000635008</t>
  </si>
  <si>
    <t>01062608177</t>
  </si>
  <si>
    <t>01024338995</t>
  </si>
  <si>
    <t>01106899943</t>
  </si>
  <si>
    <t>01011916992</t>
  </si>
  <si>
    <t>01287208106</t>
  </si>
  <si>
    <t>01275479300</t>
  </si>
  <si>
    <t>01099608891</t>
  </si>
  <si>
    <t>01007475092</t>
  </si>
  <si>
    <t>01002034776</t>
  </si>
  <si>
    <t>01274983290</t>
  </si>
  <si>
    <t>01200205887</t>
  </si>
  <si>
    <t>01111567334</t>
  </si>
  <si>
    <t>01024292980</t>
  </si>
  <si>
    <t>01148620797</t>
  </si>
  <si>
    <t>Ali AlAmir Zakaria Moati</t>
  </si>
  <si>
    <t>Amr Ali Mostafa Ali</t>
  </si>
  <si>
    <t>Amr Mohamed Youssef AlShazly</t>
  </si>
  <si>
    <t>Asmaa Mostafa Ibrahim Mahmoud</t>
  </si>
  <si>
    <t>Asmaa Samy Sayed Hassan</t>
  </si>
  <si>
    <t>Aya Ibrahim Ahmed Ali Khder</t>
  </si>
  <si>
    <t>Aya Mohsen AbdRabu Osman</t>
  </si>
  <si>
    <t>P03158724</t>
  </si>
  <si>
    <t>Eman Mohsen AbdoRabo Osman</t>
  </si>
  <si>
    <t>P03158727</t>
  </si>
  <si>
    <t>Kareem Ahmed Nasrat Mohamed Talaat ElShazly</t>
  </si>
  <si>
    <t>Kareem Reda Labib Hassan</t>
  </si>
  <si>
    <t>Mahmoud Ibrahim Mohamed Salem</t>
  </si>
  <si>
    <t>Mai Adel Gamal  AbuZaid</t>
  </si>
  <si>
    <t>Micheal Milad Mikhail Hendy</t>
  </si>
  <si>
    <t>Mirna Hany Wadee Bouls</t>
  </si>
  <si>
    <t>Mohamed Hassan Ibrahim Hussien Mohamed</t>
  </si>
  <si>
    <t>Omar Mohamed Magdy Mohamed Ahmed Ali Thabet</t>
  </si>
  <si>
    <t>Omar Mohamed Omar Mahmoud</t>
  </si>
  <si>
    <t>Omnia Hisham Samy Sayed</t>
  </si>
  <si>
    <t>Sherouk Anwar Fahmy Saif</t>
  </si>
  <si>
    <t>Khalid Mohamed Mohamed AlMallah</t>
  </si>
  <si>
    <t>01022030904</t>
  </si>
  <si>
    <t>01147773673</t>
  </si>
  <si>
    <t>01120440224</t>
  </si>
  <si>
    <t>01064863609</t>
  </si>
  <si>
    <t>01112906637</t>
  </si>
  <si>
    <t>01280779228</t>
  </si>
  <si>
    <t>01116578498</t>
  </si>
  <si>
    <t>01143665257</t>
  </si>
  <si>
    <t>01142262996</t>
  </si>
  <si>
    <t>01222211860</t>
  </si>
  <si>
    <t>01123485715</t>
  </si>
  <si>
    <t>01001031341</t>
  </si>
  <si>
    <t>01220141802</t>
  </si>
  <si>
    <t>01288651136</t>
  </si>
  <si>
    <t>01158013214</t>
  </si>
  <si>
    <t>01005588200</t>
  </si>
  <si>
    <t>01068353931</t>
  </si>
  <si>
    <t>01157025259</t>
  </si>
  <si>
    <t>01141858559</t>
  </si>
  <si>
    <t>01003600050</t>
  </si>
  <si>
    <t>NourEldin Ahmed Asslan Hassan</t>
  </si>
  <si>
    <t>Mohamed Ali Moustafa Soliman</t>
  </si>
  <si>
    <t>Abdallah Eid Sayed Helal</t>
  </si>
  <si>
    <t>Amira Mokhtar Othman Mohamed</t>
  </si>
  <si>
    <t>Mariam Elsayed Ibrahim Abdelhamid</t>
  </si>
  <si>
    <t>Asmaa Mohamed Ezzat Elsayed</t>
  </si>
  <si>
    <t>Nourhan HossamEldin Zaghloul Abdelmegid</t>
  </si>
  <si>
    <t>Mohamed Ahmed Hefny Mohamed Metwally</t>
  </si>
  <si>
    <t>Mohamed Tarek Hussein Hassan Elmaghrby</t>
  </si>
  <si>
    <t>Waled Magdy Elsayed Ali</t>
  </si>
  <si>
    <t>Safwat Safwat Shawky Masoud</t>
  </si>
  <si>
    <t>Ahmed Yousri Mohamed Hussieny</t>
  </si>
  <si>
    <t>Mohamed Badr Aboubakr Badr</t>
  </si>
  <si>
    <t>Mahmoud Mohsen Saad Badr</t>
  </si>
  <si>
    <t>Mahmoud Gamal Mahmoud Abou Elella</t>
  </si>
  <si>
    <t>Abdelhalim Khaled Elazab Abdelhalim</t>
  </si>
  <si>
    <t>Youssef Hesham Wahba</t>
  </si>
  <si>
    <t>RL3900888</t>
  </si>
  <si>
    <t>Abdelaziz Omar Mohamed Taha</t>
  </si>
  <si>
    <t>Abdallah Hamdy Abdo Soliman</t>
  </si>
  <si>
    <t>01012888625</t>
  </si>
  <si>
    <t>01203476518</t>
  </si>
  <si>
    <t>01020532915</t>
  </si>
  <si>
    <t>01010881849</t>
  </si>
  <si>
    <t>01159164342</t>
  </si>
  <si>
    <t>01000526776</t>
  </si>
  <si>
    <t>01145745841</t>
  </si>
  <si>
    <t>01223376936</t>
  </si>
  <si>
    <t>01022435607</t>
  </si>
  <si>
    <t>01097480817</t>
  </si>
  <si>
    <t>01222515397</t>
  </si>
  <si>
    <t>01061681827</t>
  </si>
  <si>
    <t>01016788525</t>
  </si>
  <si>
    <t>01061788011</t>
  </si>
  <si>
    <t>01149393856</t>
  </si>
  <si>
    <t>01097032790</t>
  </si>
  <si>
    <t>01064666047</t>
  </si>
  <si>
    <t>01145264058</t>
  </si>
  <si>
    <t>01141101432</t>
  </si>
  <si>
    <t>Ahmed AbdelHamid AbdelWahab Ahmed</t>
  </si>
  <si>
    <t xml:space="preserve">Ahmed Ali AbdelSalam ElAsmar Ahmed </t>
  </si>
  <si>
    <t>Ahmed Walid AbdelHaei Mohamed Ismail</t>
  </si>
  <si>
    <t>Amr Ahmed Mohamed Mohamed Sakr</t>
  </si>
  <si>
    <t>Caroline Zohier Noshy Seven</t>
  </si>
  <si>
    <t>Dalia Ragab AbdelAal Madany</t>
  </si>
  <si>
    <t>Esraa Shaaban Hassan Bakhit</t>
  </si>
  <si>
    <t>Khaled Amr Mohsen Elsabaay</t>
  </si>
  <si>
    <t>Mahmoud Mohamed AbdelWahed SaifElnaser</t>
  </si>
  <si>
    <t>Manar Adel Rashed Hindawy</t>
  </si>
  <si>
    <t>Mariam Mohamed Taha AbdelAziz Salim</t>
  </si>
  <si>
    <t>Marina Fawzy Azer Antoan</t>
  </si>
  <si>
    <t>Mennatallah Hassan Elbana ismail Abdelmagid</t>
  </si>
  <si>
    <t>Radwa Mohamed Ali Hussien Lala</t>
  </si>
  <si>
    <t>Radwa Mohamed Ali Ibrahim</t>
  </si>
  <si>
    <t>Shady Adel Thabet AttaAllah</t>
  </si>
  <si>
    <t>Toka Mohamed kamel Amer Ghazal</t>
  </si>
  <si>
    <t>Yara Amin Hassan Hussien Ali</t>
  </si>
  <si>
    <t>Yara Ashraf AbdelRahman AbdelSamee</t>
  </si>
  <si>
    <t>01102483130</t>
  </si>
  <si>
    <t>01065264091</t>
  </si>
  <si>
    <t>01095500028</t>
  </si>
  <si>
    <t>01011981666</t>
  </si>
  <si>
    <t>01282115611</t>
  </si>
  <si>
    <t>01125074322</t>
  </si>
  <si>
    <t>01091784606</t>
  </si>
  <si>
    <t>01001507440</t>
  </si>
  <si>
    <t>01019980740</t>
  </si>
  <si>
    <t>01141940088</t>
  </si>
  <si>
    <t>01025820879</t>
  </si>
  <si>
    <t>01225862869</t>
  </si>
  <si>
    <t>01150185055</t>
  </si>
  <si>
    <t>01006856683</t>
  </si>
  <si>
    <t>01003400633</t>
  </si>
  <si>
    <t>01277125641</t>
  </si>
  <si>
    <t>01221000400</t>
  </si>
  <si>
    <t>01000249884</t>
  </si>
  <si>
    <t>01026610700</t>
  </si>
  <si>
    <t>Youssef Samir Diab Saleh</t>
  </si>
  <si>
    <t>Haytham Abdelrahman Ibrahim Elsayed</t>
  </si>
  <si>
    <t>Doaa Ali Mohamed Mohamed Darweesh</t>
  </si>
  <si>
    <t>Sherouk Mohamed Abdelhakim Ahmed</t>
  </si>
  <si>
    <t>Mahmoud Ramadan Mohamed Nawar</t>
  </si>
  <si>
    <t>Amr Moshir Ali Mohamed Khater</t>
  </si>
  <si>
    <t>Ahmed Mohamed Soliman Awad</t>
  </si>
  <si>
    <t>555-00057969</t>
  </si>
  <si>
    <t>Abdelmoaty Mohamed Abdelmoaty Shehata</t>
  </si>
  <si>
    <t>Sofia Rafik Kamel Khalil</t>
  </si>
  <si>
    <t>Moataz Mohamed Magdy Hassan</t>
  </si>
  <si>
    <t>Adham Saber Hussein Hassan</t>
  </si>
  <si>
    <t>Samuel Albert Fawzy Shoukry</t>
  </si>
  <si>
    <t>AliEldin Mahmoud Mohamed Ezzeldin</t>
  </si>
  <si>
    <t>Zienab Elsayed Elbadawy Hussein</t>
  </si>
  <si>
    <t>Elizabeth Gealogo</t>
  </si>
  <si>
    <t>EC5843344</t>
  </si>
  <si>
    <t>Ahmed Mohamed Zaki Ahmed</t>
  </si>
  <si>
    <t>01064462300</t>
  </si>
  <si>
    <t>01019162382</t>
  </si>
  <si>
    <t>01094136716</t>
  </si>
  <si>
    <t>01064457369</t>
  </si>
  <si>
    <t>01002715148</t>
  </si>
  <si>
    <t>01014315937</t>
  </si>
  <si>
    <t>01117675487</t>
  </si>
  <si>
    <t>01115993661</t>
  </si>
  <si>
    <t>01270633379</t>
  </si>
  <si>
    <t>01119550031</t>
  </si>
  <si>
    <t>01100013120</t>
  </si>
  <si>
    <t>01280741980</t>
  </si>
  <si>
    <t>01019985395</t>
  </si>
  <si>
    <t>01113277215</t>
  </si>
  <si>
    <t>01093526635</t>
  </si>
  <si>
    <t>01142466912</t>
  </si>
  <si>
    <t>Ebram Hesham Farid Lami</t>
  </si>
  <si>
    <t>Ahmed Mostafa Mohamed AbdelMaguid Mostafa</t>
  </si>
  <si>
    <t>Nada Sameh Hosney Mohamed Youssef</t>
  </si>
  <si>
    <t>Samia Salah Shehata Shehata Amer</t>
  </si>
  <si>
    <t>Moheb Emad Aziz Waisa</t>
  </si>
  <si>
    <t>Moustafa Ahmed Mohamed Ahmed ElAnani</t>
  </si>
  <si>
    <t>Mahmoud Mohamed Talaat Mohamed Fawzy</t>
  </si>
  <si>
    <t>Sherif Rasmy Mahmoud Omarah</t>
  </si>
  <si>
    <t>Abdallah ElNadeem ElSayed Stouhy</t>
  </si>
  <si>
    <t>Mariam Mansour Saeed Morsy</t>
  </si>
  <si>
    <t>Mina Latif Fares Dawod</t>
  </si>
  <si>
    <t>Mando Fawzy Hanna Gobrial</t>
  </si>
  <si>
    <t>Serag Sherif Mohamed Rashad Hosney</t>
  </si>
  <si>
    <t>Aya Ahmed Saber Ismaeil</t>
  </si>
  <si>
    <t>01090013566</t>
  </si>
  <si>
    <t>01000389092</t>
  </si>
  <si>
    <t>01156049343</t>
  </si>
  <si>
    <t>01066198690</t>
  </si>
  <si>
    <t>01113100570</t>
  </si>
  <si>
    <t>01116616700</t>
  </si>
  <si>
    <t>01095133424</t>
  </si>
  <si>
    <t>01205354460</t>
  </si>
  <si>
    <t>01099752321</t>
  </si>
  <si>
    <t>01276184198</t>
  </si>
  <si>
    <t>01098400758</t>
  </si>
  <si>
    <t>01111239359</t>
  </si>
  <si>
    <t>01003296830</t>
  </si>
  <si>
    <t>01023011004</t>
  </si>
  <si>
    <t>Ahmed Ezzat AbdelMonem Mohamed</t>
  </si>
  <si>
    <t>Aryam Hanes Berhe</t>
  </si>
  <si>
    <t>K0012266</t>
  </si>
  <si>
    <t>Khaled Nabil Elsayed Saleh</t>
  </si>
  <si>
    <t>Maram Mohamed AbdelRahman Mohamed Othman</t>
  </si>
  <si>
    <t>Maria Hossam Nassif Kamel</t>
  </si>
  <si>
    <t>Marwa Osama Ahmed AbdelGawad</t>
  </si>
  <si>
    <t>Mina Kameel Emil Moussa</t>
  </si>
  <si>
    <t>Moataz AbdelAziz Hassan Hassan ElShabrawy</t>
  </si>
  <si>
    <t xml:space="preserve">Mohamed Ahmed Mohamed AbdelAziz Ahmed </t>
  </si>
  <si>
    <t>Mohamed Tayel AbdelHalim Saleh</t>
  </si>
  <si>
    <t>Nada Mohamed Moustafa Ahmed</t>
  </si>
  <si>
    <t>Nihad Mohamed Hassan Areeny</t>
  </si>
  <si>
    <t>Nourhan Mahmoud Elsayed Ali ElGhazly</t>
  </si>
  <si>
    <t>Ola Ali AbdelGawad Eissa</t>
  </si>
  <si>
    <t>Reem Talaat Mohamed  Zaied</t>
  </si>
  <si>
    <t>Reham Nazmy Amin Fares</t>
  </si>
  <si>
    <t xml:space="preserve">Sara AbdelHakem AbdelGawad AbdelGawad </t>
  </si>
  <si>
    <t>01005613563</t>
  </si>
  <si>
    <t>01120527991</t>
  </si>
  <si>
    <t>01062859956</t>
  </si>
  <si>
    <t>01018805235</t>
  </si>
  <si>
    <t>01229900884</t>
  </si>
  <si>
    <t>01007970227</t>
  </si>
  <si>
    <t>01015369891</t>
  </si>
  <si>
    <t>01015781122</t>
  </si>
  <si>
    <t>01002708888</t>
  </si>
  <si>
    <t>01098378341</t>
  </si>
  <si>
    <t>01118500228</t>
  </si>
  <si>
    <t>01024187502</t>
  </si>
  <si>
    <t>01003173605</t>
  </si>
  <si>
    <t>01020366393</t>
  </si>
  <si>
    <t>01157735911</t>
  </si>
  <si>
    <t>01003790773</t>
  </si>
  <si>
    <t>01113826260</t>
  </si>
  <si>
    <t>01095047259</t>
  </si>
  <si>
    <t>Maryam Yasser Mostafa Mohamed Ali Soliman</t>
  </si>
  <si>
    <t>Karim Mohamed Elsayed Ahmed</t>
  </si>
  <si>
    <t xml:space="preserve">Mohamed Abdelkader Moustafa Moustafa </t>
  </si>
  <si>
    <t>Nada Ashraf Amin Abbas</t>
  </si>
  <si>
    <t>Mina Micheal William Kheir</t>
  </si>
  <si>
    <t>Salma AlaaEldin Ahmed Eliesh</t>
  </si>
  <si>
    <t>Amir Nasr Mohamed Hassan Selim</t>
  </si>
  <si>
    <t>Nada Sayed Gomaa Mohamed</t>
  </si>
  <si>
    <t>Mariam Medhat Mohamed Mahmoud</t>
  </si>
  <si>
    <t>Aisha Mohamed Eid Bughdady</t>
  </si>
  <si>
    <t>Mahmoud Ahmed Abdelrehim Abou khatwa</t>
  </si>
  <si>
    <t>Liza Boushra Mounir Gergis</t>
  </si>
  <si>
    <t>Safinaz Ahmed Abdellatif Hendawy</t>
  </si>
  <si>
    <t>Mennatullah Mohamed Ali Mohamed Mousa</t>
  </si>
  <si>
    <t>Hussein Ahmed Hussein Mohamed Eldesouki</t>
  </si>
  <si>
    <t>Taher Shawky Moustafa Hussein</t>
  </si>
  <si>
    <t>Ahmed Mohamed Mohamed Elnawawy</t>
  </si>
  <si>
    <t>Mahmoud Mohamed Ahmed Elsayed Aboella</t>
  </si>
  <si>
    <t>01094845561</t>
  </si>
  <si>
    <t>01020853038</t>
  </si>
  <si>
    <t>01068188415</t>
  </si>
  <si>
    <t>01272825514</t>
  </si>
  <si>
    <t>01151437303</t>
  </si>
  <si>
    <t>01069144514</t>
  </si>
  <si>
    <t>01142238977</t>
  </si>
  <si>
    <t>01115101165</t>
  </si>
  <si>
    <t>01007149533</t>
  </si>
  <si>
    <t>01146565678</t>
  </si>
  <si>
    <t>01112482320</t>
  </si>
  <si>
    <t>01281678890</t>
  </si>
  <si>
    <t>01228881083</t>
  </si>
  <si>
    <t>01092137522</t>
  </si>
  <si>
    <t>01152655991</t>
  </si>
  <si>
    <t>01094949614</t>
  </si>
  <si>
    <t>01005380011</t>
  </si>
  <si>
    <t>01271189445</t>
  </si>
  <si>
    <t>Abanoub Fayez Attia Youssef</t>
  </si>
  <si>
    <t>AbdelRahman Saeed Ali Mohamed Helal</t>
  </si>
  <si>
    <t>Ahmed AbdelBaset Saber Ahmed</t>
  </si>
  <si>
    <t>Ahmed Ramadan Mahmoud Mohamed</t>
  </si>
  <si>
    <t>Amr AbdelKader Farahat Mohamed</t>
  </si>
  <si>
    <t>Eman ElSayed ElMahdy Mohamed</t>
  </si>
  <si>
    <t>Eman Essam Sayed Mohamed Musharaf</t>
  </si>
  <si>
    <t>Eman Sabry Hamed Ali</t>
  </si>
  <si>
    <t>Hossam AlaaEldin Fawzy Sayed Ibrahim</t>
  </si>
  <si>
    <t>Marah Mohamed AbdelRahmna Mohamed</t>
  </si>
  <si>
    <t>Mariam Ehab Ibrahim Mohamed</t>
  </si>
  <si>
    <t>Mohamed Adel Mohamed Ismaeil</t>
  </si>
  <si>
    <t>Mostafa Ibrahim Soliman Ahmed</t>
  </si>
  <si>
    <t>Mustafa Adel Gaber Mabady</t>
  </si>
  <si>
    <t>Riam Nasser Abdulhabeb</t>
  </si>
  <si>
    <t>Toqa Ahmed Ibrahim Moustafa</t>
  </si>
  <si>
    <t>Yasmin Hesham Rashad Hagag</t>
  </si>
  <si>
    <t>01007621355</t>
  </si>
  <si>
    <t>01023734289</t>
  </si>
  <si>
    <t>01004450944</t>
  </si>
  <si>
    <t>01092337227</t>
  </si>
  <si>
    <t>01281313111</t>
  </si>
  <si>
    <t>01280656011</t>
  </si>
  <si>
    <t>01003622688</t>
  </si>
  <si>
    <t>01122591830</t>
  </si>
  <si>
    <t>01014773674</t>
  </si>
  <si>
    <t>01091921410</t>
  </si>
  <si>
    <t>01125375937</t>
  </si>
  <si>
    <t>01152528711</t>
  </si>
  <si>
    <t>01276722170</t>
  </si>
  <si>
    <t>01110245508</t>
  </si>
  <si>
    <t>01116309606</t>
  </si>
  <si>
    <t>01095930235</t>
  </si>
  <si>
    <t>01004368621</t>
  </si>
  <si>
    <t>01065532771</t>
  </si>
  <si>
    <t>Ahmed Ali Mostafa Mahmoud ElMahdy</t>
  </si>
  <si>
    <t>Ammar Mahmoud Attia Attia ElBahwashy</t>
  </si>
  <si>
    <t>Danny Samir Ibrahim Khalil</t>
  </si>
  <si>
    <t>DiaaEldin Mahmoud AbdulGhaffar ElShafaay</t>
  </si>
  <si>
    <t>Doaa Ahmed Morsy ElGazar</t>
  </si>
  <si>
    <t>Fatma Morsi</t>
  </si>
  <si>
    <t>K00050991</t>
  </si>
  <si>
    <t>Kholoud Ibrahim Mahmoud Ali</t>
  </si>
  <si>
    <t>Mahmoud Mohamed Sayed Zayan Attia</t>
  </si>
  <si>
    <t>Manar Hassan AbdulGhaffar AbdelGawad</t>
  </si>
  <si>
    <t>Mohamed Ali AbdElWadod Abdou Hassan</t>
  </si>
  <si>
    <t>Mohamed Abdelrahman Abdalla Eldoma</t>
  </si>
  <si>
    <t>P03282318</t>
  </si>
  <si>
    <t>Nasser Khaled Ibrahim Salem</t>
  </si>
  <si>
    <t>Rana Ahmed Zakaria ElShaboury</t>
  </si>
  <si>
    <t>Sara Magdy Mahmoud Mohamed Ahmed</t>
  </si>
  <si>
    <t>Shady Ashraf AbdelFattah Sabry</t>
  </si>
  <si>
    <t xml:space="preserve">Mohammed AbdelFattah Ahmed Sowan </t>
  </si>
  <si>
    <t>Moataz Khalid Mohamed Mohamed Ghanimaa</t>
  </si>
  <si>
    <t>Soha Mohamed Ahmed Ibrahim Elwalily</t>
  </si>
  <si>
    <t>Yara AbdelHamid Mohamed Gad</t>
  </si>
  <si>
    <t>01009737132</t>
  </si>
  <si>
    <t>01060120805</t>
  </si>
  <si>
    <t>01125922331</t>
  </si>
  <si>
    <t>01124461776</t>
  </si>
  <si>
    <t>01028500058</t>
  </si>
  <si>
    <t>01098719290</t>
  </si>
  <si>
    <t>01149227930</t>
  </si>
  <si>
    <t>01141903290</t>
  </si>
  <si>
    <t>01281612240</t>
  </si>
  <si>
    <t>01154954859</t>
  </si>
  <si>
    <t>01140296060</t>
  </si>
  <si>
    <t>01117957366</t>
  </si>
  <si>
    <t>01145969966</t>
  </si>
  <si>
    <t>01114746306</t>
  </si>
  <si>
    <t>01123810426</t>
  </si>
  <si>
    <t>01000504669</t>
  </si>
  <si>
    <t>01222223231</t>
  </si>
  <si>
    <t>01015244513</t>
  </si>
  <si>
    <t>01145771416</t>
  </si>
  <si>
    <t>Fatma Anwar Kotb Morsy</t>
  </si>
  <si>
    <t>Mahmoud Mohamed Mohamed Mahmoud ElShentinawy</t>
  </si>
  <si>
    <t>Sara Mohamed Abdelazeem Mohamed</t>
  </si>
  <si>
    <t>Nour HossamEldin Ali Hussien</t>
  </si>
  <si>
    <t>Mariam Ahmed Mohamed Ahmed Ismail</t>
  </si>
  <si>
    <t>Salma Adel Mansour Abdelmegid</t>
  </si>
  <si>
    <t>Mohamed Kamal Kamel Abdelrehim</t>
  </si>
  <si>
    <t>Yasmine Saeed Mohamed Soliman</t>
  </si>
  <si>
    <t>Dareen Osama Mohamed Mohamed Hassan</t>
  </si>
  <si>
    <t>Ayat Halaby Ewiss Abdelrehim</t>
  </si>
  <si>
    <t>Olivia Zareef Adel Ghobrial</t>
  </si>
  <si>
    <t>Ramy Mohamed Elaraby Ibrahim</t>
  </si>
  <si>
    <t>Gehan Mohamed Salama Mahdy</t>
  </si>
  <si>
    <t>Hend Mosaad Abdou Ahmed</t>
  </si>
  <si>
    <t>Noura Sameh Elsayed Abdelzaher</t>
  </si>
  <si>
    <t>Neven Yehia Mohamed Ali</t>
  </si>
  <si>
    <t>Abdelrahman Mohamed Adel Elsaeed</t>
  </si>
  <si>
    <t>Shady Emad Anwar Sadek</t>
  </si>
  <si>
    <t>01012740466</t>
  </si>
  <si>
    <t>01124187610</t>
  </si>
  <si>
    <t>01140572701</t>
  </si>
  <si>
    <t>01141057882</t>
  </si>
  <si>
    <t>01147077811</t>
  </si>
  <si>
    <t>01028050687</t>
  </si>
  <si>
    <t>01006698656</t>
  </si>
  <si>
    <t>01150409875</t>
  </si>
  <si>
    <t>01096754809</t>
  </si>
  <si>
    <t>01000339583</t>
  </si>
  <si>
    <t>01148366377</t>
  </si>
  <si>
    <t>01096398319</t>
  </si>
  <si>
    <t>01060051267</t>
  </si>
  <si>
    <t>01125904018</t>
  </si>
  <si>
    <t>01021370792</t>
  </si>
  <si>
    <t>01067021742</t>
  </si>
  <si>
    <t>01142845049</t>
  </si>
  <si>
    <t>01278194810</t>
  </si>
  <si>
    <t>Ossama Ahmed Abdelsamea Ahmed</t>
  </si>
  <si>
    <t>Asmaa ElSayed Ahmed ElAnany</t>
  </si>
  <si>
    <t>Aya ShamsEldin Mohamed Saad</t>
  </si>
  <si>
    <t>Basmaa Tayseer AbdelMonem Elsayed Ramdan</t>
  </si>
  <si>
    <t>Dina Khaled Ali AbdelAal Ali</t>
  </si>
  <si>
    <t>Ismail HossamEldin Goda Mahmoud</t>
  </si>
  <si>
    <t>Karim Mohamed Elsaeed Mohamed</t>
  </si>
  <si>
    <t>Mahmoud Raaft Mohamed Hassan ElBagory</t>
  </si>
  <si>
    <t>Mahmoud Samy Mahmoud Ahmed Rezk</t>
  </si>
  <si>
    <t xml:space="preserve">Mayar Ahmed Reda Mohamed Samir </t>
  </si>
  <si>
    <t>Merna Ahmed Ibrahim Ali Mobark</t>
  </si>
  <si>
    <t>Mohamed Ahmed Allam Hammam Allam</t>
  </si>
  <si>
    <t xml:space="preserve">Mohamed ZoElfakar Hamed Ibrahim </t>
  </si>
  <si>
    <t>Saad Adel Ahmed  Quartam</t>
  </si>
  <si>
    <t>Mohamed Sayed Hussien Morsy</t>
  </si>
  <si>
    <t>Abdallah Ayman Mohamed Mahmoud HodHod</t>
  </si>
  <si>
    <t>Fatima Mhora</t>
  </si>
  <si>
    <t>DN960124</t>
  </si>
  <si>
    <t>Ahmed Akram Elsayed Abdallah Ramdan</t>
  </si>
  <si>
    <t>Mohamed Ahmed Mohamed Gad</t>
  </si>
  <si>
    <t>01127266008</t>
  </si>
  <si>
    <t>01286680886</t>
  </si>
  <si>
    <t>01146419216</t>
  </si>
  <si>
    <t>01001810951</t>
  </si>
  <si>
    <t>01018773785</t>
  </si>
  <si>
    <t>01069898724</t>
  </si>
  <si>
    <t>01286858185</t>
  </si>
  <si>
    <t>01097517337</t>
  </si>
  <si>
    <t>01116962650</t>
  </si>
  <si>
    <t>01127311439</t>
  </si>
  <si>
    <t>01284029602</t>
  </si>
  <si>
    <t>01009957951</t>
  </si>
  <si>
    <t>01000891098</t>
  </si>
  <si>
    <t>01226348684</t>
  </si>
  <si>
    <t>01125166606</t>
  </si>
  <si>
    <t>01100903214</t>
  </si>
  <si>
    <t>01096579121</t>
  </si>
  <si>
    <t>01011066360</t>
  </si>
  <si>
    <t>01119348483</t>
  </si>
  <si>
    <t>Ahmed Adel Abdelazim Beshir</t>
  </si>
  <si>
    <t>Ahmed Rafaa Mahmoud Ramdan</t>
  </si>
  <si>
    <t>Angy Samir Kamel Bibawy</t>
  </si>
  <si>
    <t>Arafa Adnan Arfa Mohamed AboAbdallah</t>
  </si>
  <si>
    <t>Asmaa AbuBakr AboSoliman ElAdarosee</t>
  </si>
  <si>
    <t>Fahd Moustafa Maghawry Mohamed</t>
  </si>
  <si>
    <t>GamalEldin Amr GamalEldin Mohamed Awad</t>
  </si>
  <si>
    <t>Mahmoud AbdelRafaa AbdelLatif Ghazi</t>
  </si>
  <si>
    <t>Mahmoud Adel Mahmoud AbdelAlim Hassaan</t>
  </si>
  <si>
    <t>Marwan ElSayed Youssef Mohamed Elhaddad</t>
  </si>
  <si>
    <t>Mohamed Adel Mohamed Morsi</t>
  </si>
  <si>
    <t>Mohamed ElSaeed Mohamed ElSaeed ElShaweily</t>
  </si>
  <si>
    <t>Mohmoud Shawky Mohamed Ibrahim</t>
  </si>
  <si>
    <t>Nour AbdelFattah Mohamed AbdelRasool</t>
  </si>
  <si>
    <t>Rewan Salah AbdelMonem AbdelMaksoud</t>
  </si>
  <si>
    <t>Safy Mahmoud AbdelMoamen Elsayed Gadallah</t>
  </si>
  <si>
    <t>Salma Yasser Mohamed Mohamed</t>
  </si>
  <si>
    <t>Sarah Essam Naiem Sos</t>
  </si>
  <si>
    <t>Yasmine Mohamed Yassin Hassan Ali ElDarawy</t>
  </si>
  <si>
    <t>01271326901</t>
  </si>
  <si>
    <t>01111676746</t>
  </si>
  <si>
    <t>01006084148</t>
  </si>
  <si>
    <t>01149810994</t>
  </si>
  <si>
    <t>01062990740</t>
  </si>
  <si>
    <t>01118633704</t>
  </si>
  <si>
    <t>01008678289</t>
  </si>
  <si>
    <t>01010242416</t>
  </si>
  <si>
    <t>01008141381</t>
  </si>
  <si>
    <t>01223349445</t>
  </si>
  <si>
    <t>01148283037</t>
  </si>
  <si>
    <t>01004340649</t>
  </si>
  <si>
    <t>01000322209</t>
  </si>
  <si>
    <t>01220153648</t>
  </si>
  <si>
    <t>01008872934</t>
  </si>
  <si>
    <t>01020779405</t>
  </si>
  <si>
    <t>01123892851</t>
  </si>
  <si>
    <t>01285943422</t>
  </si>
  <si>
    <t>01140809593</t>
  </si>
  <si>
    <t>Salma Mohamed Mohamed Abdelwahab</t>
  </si>
  <si>
    <t>Haitham Mohamed SalahEldin Ibrahim</t>
  </si>
  <si>
    <t>Abdallah Ali Abdelwahed Nour</t>
  </si>
  <si>
    <t>Mohamed Moustafa Mohamed Abdelrabou</t>
  </si>
  <si>
    <t xml:space="preserve">Moustafa Mohey Sayed Abdelrahman </t>
  </si>
  <si>
    <t>Omar Ibrahim Ali Mohamed</t>
  </si>
  <si>
    <t>Enas Maher Mohamed Sanad</t>
  </si>
  <si>
    <t>Karim Mohamed Abdelmtawkel Hussien</t>
  </si>
  <si>
    <t>Bishoy Samy Melek Daniel</t>
  </si>
  <si>
    <t>Diaa Sherif Ibrahim Sayed</t>
  </si>
  <si>
    <t xml:space="preserve">Salma Mamdouh Ibrahim Ibrahim </t>
  </si>
  <si>
    <t>Reem Hesham Ibrahim Eldeeb</t>
  </si>
  <si>
    <t>Mohamed Fouad Ibrahim Elbagoury</t>
  </si>
  <si>
    <t>Mahmoud Ezzeldin Mahmoud Elsayed</t>
  </si>
  <si>
    <t>Raghda Tarek Saleh Abdelghany</t>
  </si>
  <si>
    <t>Hesham Samy Salem Shafie</t>
  </si>
  <si>
    <t>Ahmed Samir Ibrahim Saleh</t>
  </si>
  <si>
    <t>Salma Emadeldin Kamal Abdelhakim</t>
  </si>
  <si>
    <t>01152014789</t>
  </si>
  <si>
    <t>01009845992</t>
  </si>
  <si>
    <t>01211642335</t>
  </si>
  <si>
    <t>01206245191</t>
  </si>
  <si>
    <t>01141963840</t>
  </si>
  <si>
    <t>01110069680</t>
  </si>
  <si>
    <t>01001052089</t>
  </si>
  <si>
    <t>01284677043</t>
  </si>
  <si>
    <t>01272315041</t>
  </si>
  <si>
    <t>01147784338</t>
  </si>
  <si>
    <t>01025009170</t>
  </si>
  <si>
    <t>01010014454</t>
  </si>
  <si>
    <t>01149309744</t>
  </si>
  <si>
    <t>01159088992</t>
  </si>
  <si>
    <t>01115122656</t>
  </si>
  <si>
    <t>01025771252</t>
  </si>
  <si>
    <t>01112285947</t>
  </si>
  <si>
    <t>01282667759</t>
  </si>
  <si>
    <t>Hinar Ahmed Hussein Fawzy</t>
  </si>
  <si>
    <t>Abdallah Anwar Mosharaf Ahmed</t>
  </si>
  <si>
    <t>Ahmed Fathy Ali Abdo</t>
  </si>
  <si>
    <t>Ossama Ali Mahmoud Ali</t>
  </si>
  <si>
    <t>Ahd Mohamed Hamdy Abdelhafez</t>
  </si>
  <si>
    <t>Abdelrahman Mohamed Fathy Mohamed</t>
  </si>
  <si>
    <t>Marina Edward Khalil Galouaa</t>
  </si>
  <si>
    <t>Ebram Emad Sobhy Sadek</t>
  </si>
  <si>
    <t>Omar Abdelmohsen Mohamed Elsaghir</t>
  </si>
  <si>
    <t>Manar Salah Sayed Mohamed</t>
  </si>
  <si>
    <t>Mariam Abdelmagid Sayed Morsy</t>
  </si>
  <si>
    <t>Mariam Mohamed Hassan Mahmoud</t>
  </si>
  <si>
    <t>01063225454</t>
  </si>
  <si>
    <t>01019977321</t>
  </si>
  <si>
    <t>01004582583</t>
  </si>
  <si>
    <t>01065108128</t>
  </si>
  <si>
    <t>01128759080</t>
  </si>
  <si>
    <t>01140461615</t>
  </si>
  <si>
    <t>01124923270</t>
  </si>
  <si>
    <t>01201822732</t>
  </si>
  <si>
    <t>01222448000</t>
  </si>
  <si>
    <t>01024333067</t>
  </si>
  <si>
    <t>01119041499</t>
  </si>
  <si>
    <t>01011687558</t>
  </si>
  <si>
    <t>Abdelrazek Said</t>
  </si>
  <si>
    <t>555-00126191</t>
  </si>
  <si>
    <t>Amr MoheyEldin Gouda Abbas Aly Shahin</t>
  </si>
  <si>
    <t>Asmaa Elsayed Mohamed Hassanein</t>
  </si>
  <si>
    <t>Catherine Gamil Nageh Ghandour</t>
  </si>
  <si>
    <t>ElShaimaa Moustafa AbdelRahman AboNasir</t>
  </si>
  <si>
    <t>Ghalion Abdo Metry khalil</t>
  </si>
  <si>
    <t>Haidy Atef Mohamed Ali Elsayed</t>
  </si>
  <si>
    <t>Khaled Raafat Hosney Mohamed</t>
  </si>
  <si>
    <t>Merna Gamal Zaki ElBotran</t>
  </si>
  <si>
    <t>Moamen Osama Mohamed Ramdan Mohamed</t>
  </si>
  <si>
    <t>Mohamed Gamal Ahmed Saliem</t>
  </si>
  <si>
    <t>Mohamed Hesham Mohamed Eliwa</t>
  </si>
  <si>
    <t>Mohamed Talaat Mahmoud Madkour</t>
  </si>
  <si>
    <t>Moustafa Ahmed AbdelRazek Katnaa Mahmoud</t>
  </si>
  <si>
    <t>Nadine AbdelRahman Mohamed Ibrahim</t>
  </si>
  <si>
    <t>Noha Tarek Mohamed Abdelbaky AbdelLatif</t>
  </si>
  <si>
    <t>Omnia Mohamed Hany Mohamed Mahmoud</t>
  </si>
  <si>
    <t>Tarek Akram Mohamed Wassif Othman</t>
  </si>
  <si>
    <t>Youssef Ahmed Ibrahim Agami</t>
  </si>
  <si>
    <t>01140269823</t>
  </si>
  <si>
    <t>01009977875</t>
  </si>
  <si>
    <t>01120664365</t>
  </si>
  <si>
    <t>01211603584</t>
  </si>
  <si>
    <t>01207820192</t>
  </si>
  <si>
    <t>01146833240</t>
  </si>
  <si>
    <t>01140128897</t>
  </si>
  <si>
    <t>01148608900</t>
  </si>
  <si>
    <t>01140041150</t>
  </si>
  <si>
    <t>01142015748</t>
  </si>
  <si>
    <t>01115481104</t>
  </si>
  <si>
    <t>01011441212</t>
  </si>
  <si>
    <t>01020766539</t>
  </si>
  <si>
    <t>01100842441</t>
  </si>
  <si>
    <t>01207233328</t>
  </si>
  <si>
    <t>01111601175</t>
  </si>
  <si>
    <t>01090690905</t>
  </si>
  <si>
    <t>01145951567</t>
  </si>
  <si>
    <t>Abdelrahman Hesham Rihan Ismaeil</t>
  </si>
  <si>
    <t>Ahmed Mohamed Ali Mahmoud Gadou</t>
  </si>
  <si>
    <t>Ahmed Mostafa Mohamed ahmed Ibrahim</t>
  </si>
  <si>
    <t>Aya Samy Abdallah Mohamed</t>
  </si>
  <si>
    <t>Bana Girmy Gebrehiwet welde</t>
  </si>
  <si>
    <t>K0082503</t>
  </si>
  <si>
    <t>Hafez Ali AbdelHafez Ali</t>
  </si>
  <si>
    <t>Kareem Shehab ZainElAbdeen Mohamed</t>
  </si>
  <si>
    <t>Maged Shawky Mohamed AbdelMawla</t>
  </si>
  <si>
    <t>Mahmoud Mohamed ElAmin AbdelRahim</t>
  </si>
  <si>
    <t>Manasseh Jowakino Yanga</t>
  </si>
  <si>
    <t>R00095293</t>
  </si>
  <si>
    <t>Mariam Atef Mohamed Azzam</t>
  </si>
  <si>
    <t>Moataz Fouad Eltohamy Moustafa ElMadawy</t>
  </si>
  <si>
    <t>Mostafa Tarek Ibrahim Mohamed</t>
  </si>
  <si>
    <t>Paula Sameh Naguib Aiad</t>
  </si>
  <si>
    <t>Remon Ramzy Marid Mikhail</t>
  </si>
  <si>
    <t>Shady Gamal Zaki Bakhait</t>
  </si>
  <si>
    <t>Sondos HossamEldin Mohamed Ibrahim</t>
  </si>
  <si>
    <t>Taha Mohamed Mahmoud ElSaify</t>
  </si>
  <si>
    <t>Wafaa Ashraf SalahEldin Abdalkawy</t>
  </si>
  <si>
    <t>01111583673</t>
  </si>
  <si>
    <t>01062962571</t>
  </si>
  <si>
    <t>01003817068</t>
  </si>
  <si>
    <t>01017704445</t>
  </si>
  <si>
    <t>01283172457</t>
  </si>
  <si>
    <t>01119524252</t>
  </si>
  <si>
    <t>01142409619</t>
  </si>
  <si>
    <t>01009040253</t>
  </si>
  <si>
    <t>01009678736</t>
  </si>
  <si>
    <t>01069732578</t>
  </si>
  <si>
    <t>01003520966</t>
  </si>
  <si>
    <t>01098512399</t>
  </si>
  <si>
    <t>01158917254</t>
  </si>
  <si>
    <t>01221451819</t>
  </si>
  <si>
    <t>01208199271</t>
  </si>
  <si>
    <t>01000467570</t>
  </si>
  <si>
    <t>01271581458</t>
  </si>
  <si>
    <t>01121268447</t>
  </si>
  <si>
    <t>01153510923</t>
  </si>
  <si>
    <t>01153312588</t>
  </si>
  <si>
    <t>Tamer Ahmed Mohamed Hamza</t>
  </si>
  <si>
    <t>Engy  Saeed youssef AbdelKareem Soliman</t>
  </si>
  <si>
    <t>Adham Obada AbdelRahman Reda</t>
  </si>
  <si>
    <t>Nada Tito Asaad Mohamed Hassan</t>
  </si>
  <si>
    <t>Sara Samir Mohamed Essawy</t>
  </si>
  <si>
    <t>Beshoy Galal Kerels RezkAllah</t>
  </si>
  <si>
    <t>Mohamed Omar AbdelRahman Ahmed</t>
  </si>
  <si>
    <t>Mohamed Sayed Hassan Soliman</t>
  </si>
  <si>
    <t>Mahmoud Essam Mohamed ElMatwally</t>
  </si>
  <si>
    <t>Ashraf Alaa Saber Mohamed</t>
  </si>
  <si>
    <t>Ahmed Abdallah AbdelLatif  ElTantawy</t>
  </si>
  <si>
    <t>Nouran Ehab Mahmoud Mohamed Moustafa</t>
  </si>
  <si>
    <t xml:space="preserve">Mohamed Megahed Abbas Megahed </t>
  </si>
  <si>
    <t>Mohamed Ahmed Adly AbdelHamid</t>
  </si>
  <si>
    <t>Mohamed Yehia SalahEldin Ahmed</t>
  </si>
  <si>
    <t>Mohamed Atef Deraz Mohamed</t>
  </si>
  <si>
    <t>Ahmed Samy AbdulSattar ElTabakh</t>
  </si>
  <si>
    <t>01282007840</t>
  </si>
  <si>
    <t>01110775245</t>
  </si>
  <si>
    <t>01227842271</t>
  </si>
  <si>
    <t>01112900976</t>
  </si>
  <si>
    <t>01060775551</t>
  </si>
  <si>
    <t>01226736757</t>
  </si>
  <si>
    <t>01003708720</t>
  </si>
  <si>
    <t>01112955043</t>
  </si>
  <si>
    <t>01149024101</t>
  </si>
  <si>
    <t>01061860008</t>
  </si>
  <si>
    <t>01011830904</t>
  </si>
  <si>
    <t>01158387729</t>
  </si>
  <si>
    <t>01119405848</t>
  </si>
  <si>
    <t>01015388707</t>
  </si>
  <si>
    <t>01190966882</t>
  </si>
  <si>
    <t>01010018191</t>
  </si>
  <si>
    <t>01111626525</t>
  </si>
  <si>
    <t>Mira Adel Eskander Maseeha</t>
  </si>
  <si>
    <t>AbdelRahman Sayed Abdo Mohamed ElSayed</t>
  </si>
  <si>
    <t>Ehab Abdulgawwad Mohamed AbdelRahman</t>
  </si>
  <si>
    <t>Ahmad Ayman Mounir AbdelAziz</t>
  </si>
  <si>
    <t>Michael Nazih Ragheb Barsoum Gergis Aryan</t>
  </si>
  <si>
    <t>Ahmed Mohsen Bayumy Mohamed</t>
  </si>
  <si>
    <t>Amir Nagy Michel Kamel</t>
  </si>
  <si>
    <t>Sara  Abebe Daniel Abate</t>
  </si>
  <si>
    <t>555-0700C</t>
  </si>
  <si>
    <t>01225070476</t>
  </si>
  <si>
    <t>01158291629</t>
  </si>
  <si>
    <t>01010089567</t>
  </si>
  <si>
    <t>01146446067</t>
  </si>
  <si>
    <t>01228811862</t>
  </si>
  <si>
    <t>01091887205</t>
  </si>
  <si>
    <t>01208617030</t>
  </si>
  <si>
    <t>01123984728</t>
  </si>
  <si>
    <t>Mahmoud Ehab AbdelGhaffar Mohamed Seyam</t>
  </si>
  <si>
    <t>Yousra Samir Mokhtar Shaaban</t>
  </si>
  <si>
    <t>Diaa Aly Galal Mohamed</t>
  </si>
  <si>
    <t>Mahmoud AbdelMaged Abeid Barbary</t>
  </si>
  <si>
    <t>Lobna Mohamed Lamy ElMalah</t>
  </si>
  <si>
    <t>Yasmine Mohamed Hussien Mahmoud ElKhateeb</t>
  </si>
  <si>
    <t>Ahmed Yousry Othman Mostafa</t>
  </si>
  <si>
    <t>Mahmoud Othman AbdelAal Gomaa</t>
  </si>
  <si>
    <t>Omar Atef Tawfik AbdelHamid</t>
  </si>
  <si>
    <t>Fares Nabil Arafa Hassan Fatouh</t>
  </si>
  <si>
    <t>Samah AbdelAziz Ahmed AbdelTawab</t>
  </si>
  <si>
    <t>01111765532</t>
  </si>
  <si>
    <t>01008815158</t>
  </si>
  <si>
    <t>01114689925</t>
  </si>
  <si>
    <t>01023865450</t>
  </si>
  <si>
    <t>01025598991</t>
  </si>
  <si>
    <t>01129286314</t>
  </si>
  <si>
    <t>01062457498</t>
  </si>
  <si>
    <t>01011880846</t>
  </si>
  <si>
    <t>01127159546</t>
  </si>
  <si>
    <t>01060838395</t>
  </si>
  <si>
    <t>01093160734</t>
  </si>
  <si>
    <t>Expedia OPM</t>
  </si>
  <si>
    <t>Saad Shabaan Mohamed Oukal</t>
  </si>
  <si>
    <t>TPA's Allocation: Freedom</t>
  </si>
  <si>
    <t/>
  </si>
  <si>
    <t>TPA's Allocation: Expedia</t>
  </si>
  <si>
    <t>Ahmed Yehia Sayed Ahmed Hamd</t>
  </si>
  <si>
    <t>Ali Mohamed Ali Radwan</t>
  </si>
  <si>
    <t xml:space="preserve">SalahEldin Sobhy Salah Zaki Attwa </t>
  </si>
  <si>
    <t>Trainer</t>
  </si>
  <si>
    <t>Trainers</t>
  </si>
  <si>
    <t>Megahed</t>
  </si>
  <si>
    <t>Peter</t>
  </si>
  <si>
    <t>Abanoob</t>
  </si>
  <si>
    <t>AAA</t>
  </si>
  <si>
    <t>Shady</t>
  </si>
  <si>
    <t>Kurdi</t>
  </si>
  <si>
    <t>Dalia</t>
  </si>
  <si>
    <t>Asmaa</t>
  </si>
  <si>
    <t>Hoda</t>
  </si>
  <si>
    <t>Hala</t>
  </si>
  <si>
    <t>Taghreed</t>
  </si>
  <si>
    <t>Anwar</t>
  </si>
  <si>
    <t>Wave Count / Trainer</t>
  </si>
  <si>
    <t>C</t>
  </si>
  <si>
    <t>F</t>
  </si>
  <si>
    <t>P</t>
  </si>
  <si>
    <t>G</t>
  </si>
  <si>
    <t>V</t>
  </si>
  <si>
    <t>Du / Allocation was W105</t>
  </si>
  <si>
    <t>Reem Mohamed Magdy Mohamed</t>
  </si>
  <si>
    <t>Mostafa Mohamed Fahmy Ali</t>
  </si>
  <si>
    <t>Alhassan Mohamed Abelhady Abdelhafez</t>
  </si>
  <si>
    <t>Mostafa Gamal Mostafa Tokhy</t>
  </si>
  <si>
    <t>Mostafa Ramadan Mahmoud Mohamed</t>
  </si>
  <si>
    <t>Heba Samir Mohamed Abdo</t>
  </si>
  <si>
    <t>Reem Ragab Mohamed Elsheikh</t>
  </si>
  <si>
    <t>Hager Anwar Mekky Hassan</t>
  </si>
  <si>
    <t>Salma Ibrahim Samy Mohamed</t>
  </si>
  <si>
    <t>Ayatullah ElmoatazBedinallah Saber Gomaa</t>
  </si>
  <si>
    <t>Merna Essam Elsaeed Elgohary</t>
  </si>
  <si>
    <t>Mohamed Farid Fathi Sayed</t>
  </si>
  <si>
    <t>Nada Nasser Mohamed Saber</t>
  </si>
  <si>
    <t>Nader Edward Elzakm Hanna</t>
  </si>
  <si>
    <t>Amgad Alaa Salah Ahmed</t>
  </si>
  <si>
    <t>Maha Talaat Ismail Mahmoud</t>
  </si>
  <si>
    <t>Hesham Ahmed Nabil Abdelaziz</t>
  </si>
  <si>
    <t>01068668899</t>
  </si>
  <si>
    <t>01091575501</t>
  </si>
  <si>
    <t>01023774605</t>
  </si>
  <si>
    <t>01122138624</t>
  </si>
  <si>
    <t>01032015174</t>
  </si>
  <si>
    <t>01000290626</t>
  </si>
  <si>
    <t>01068377256</t>
  </si>
  <si>
    <t>01014000567</t>
  </si>
  <si>
    <t>01116059470</t>
  </si>
  <si>
    <t>01064965858</t>
  </si>
  <si>
    <t>01028284533</t>
  </si>
  <si>
    <t>01066960267</t>
  </si>
  <si>
    <t>01110007345</t>
  </si>
  <si>
    <t>01272211792</t>
  </si>
  <si>
    <t>01141651873</t>
  </si>
  <si>
    <t>01122446299</t>
  </si>
  <si>
    <t>01126518867</t>
  </si>
  <si>
    <t>CC</t>
  </si>
  <si>
    <t>Mai</t>
  </si>
  <si>
    <t>Omar</t>
  </si>
  <si>
    <t>Amany</t>
  </si>
  <si>
    <t>German - TPA's Allocation: "Nearshore"</t>
  </si>
  <si>
    <t>OnAir</t>
  </si>
  <si>
    <t>TPA's Allocation: "Freedom"</t>
  </si>
  <si>
    <t>TPA's Allocation: "Nearshore"</t>
  </si>
  <si>
    <t>Rehana Refaat Hassan Mohamed</t>
  </si>
  <si>
    <t>Abdelrahman Mamdouh Mohamed Abdallah</t>
  </si>
  <si>
    <t>Mahmoud Mohamed Adel Ahmed</t>
  </si>
  <si>
    <t>Ali Hassan Ali Hassan Shalaby</t>
  </si>
  <si>
    <t>P00158644</t>
  </si>
  <si>
    <t>Amira Nabil Galaleldin Fouad</t>
  </si>
  <si>
    <t>Naglaa Abdelaziz Mahmoud Ahmed</t>
  </si>
  <si>
    <t>Rana Salah Mahmoud Abdelrehim</t>
  </si>
  <si>
    <t>Rana Yasser Abdelsalam Elhussiny</t>
  </si>
  <si>
    <t>Ibrahim Ali Abdelgalil Sherata</t>
  </si>
  <si>
    <t>Islam Shaaban Hassan Ahmed</t>
  </si>
  <si>
    <t>Ahmed Gamal Ibrahim Aboelela</t>
  </si>
  <si>
    <t>Yasmine Yasser Hussein Ahmed</t>
  </si>
  <si>
    <t>Eman Hassan Elsayed Hassan</t>
  </si>
  <si>
    <t>Sara Mohamed Abdelmoniem Lashin</t>
  </si>
  <si>
    <t>Viorna Ashraf Nazmy Fawzy</t>
  </si>
  <si>
    <t>A2-W2</t>
  </si>
  <si>
    <t>01000652605</t>
  </si>
  <si>
    <t>01157358822</t>
  </si>
  <si>
    <t>01000733230</t>
  </si>
  <si>
    <t>01000055210</t>
  </si>
  <si>
    <t>01225930024</t>
  </si>
  <si>
    <t>01129035158</t>
  </si>
  <si>
    <t>01000861722</t>
  </si>
  <si>
    <t>01140822911</t>
  </si>
  <si>
    <t>01001689943</t>
  </si>
  <si>
    <t>01005820317</t>
  </si>
  <si>
    <t>01555222103</t>
  </si>
  <si>
    <t>01067422556</t>
  </si>
  <si>
    <t>01114305282</t>
  </si>
  <si>
    <t>01273914488</t>
  </si>
  <si>
    <t>01149411164</t>
  </si>
  <si>
    <t>01208050067</t>
  </si>
  <si>
    <t>Nourhan Tarek Saad Ismail</t>
  </si>
  <si>
    <t>01000686522</t>
  </si>
  <si>
    <t>Zaytoon</t>
  </si>
  <si>
    <t>NearShore</t>
  </si>
  <si>
    <t>Hired in Expedia</t>
  </si>
  <si>
    <t>Hired in Glovo</t>
  </si>
  <si>
    <t>WU/UK</t>
  </si>
  <si>
    <t>Two WFRs: One 11th and 2nd is 25th</t>
  </si>
  <si>
    <t>Ahmed Eid Fahmy Abdelrehim</t>
  </si>
  <si>
    <t>Hossam Hassan Emiera Salem</t>
  </si>
  <si>
    <t>Mohamed Ahmed Kamal Mohamed Elmasry</t>
  </si>
  <si>
    <t>Kerollos Maged Makram Saad</t>
  </si>
  <si>
    <t>Pola Wadie Bochra Morcos</t>
  </si>
  <si>
    <t>Mohamed Abdelaaty Mohamed Ibrahim</t>
  </si>
  <si>
    <t>Ahmed Abdellah Fathy Mostafa</t>
  </si>
  <si>
    <t>Ahmed Fathi Abdelghany Ismail</t>
  </si>
  <si>
    <t>Bassem Ahmed Mohamed Ahmed Salem</t>
  </si>
  <si>
    <t>Majd Masri Zada</t>
  </si>
  <si>
    <t>011788879</t>
  </si>
  <si>
    <t>01064485144</t>
  </si>
  <si>
    <t>01148106106</t>
  </si>
  <si>
    <t>01022929738</t>
  </si>
  <si>
    <t>01207668813</t>
  </si>
  <si>
    <t>01270129528</t>
  </si>
  <si>
    <t>01227400919</t>
  </si>
  <si>
    <t>01027845669</t>
  </si>
  <si>
    <t>01013602644</t>
  </si>
  <si>
    <t>01003534201</t>
  </si>
  <si>
    <t>01099613558</t>
  </si>
  <si>
    <t>Norhan</t>
  </si>
  <si>
    <t>Donia Khaled Mohamed Ahmed</t>
  </si>
  <si>
    <t>01097776625</t>
  </si>
  <si>
    <t>B1 Program</t>
  </si>
  <si>
    <t xml:space="preserve">Allocation </t>
  </si>
  <si>
    <t>ECA</t>
  </si>
  <si>
    <t>Left on Exit day / Better offer</t>
  </si>
  <si>
    <t>Bassma Medhat Mohamed Kamel</t>
  </si>
  <si>
    <t>Omar Ahmed Youssef Mohamed</t>
  </si>
  <si>
    <t>Habiba Ashraf Mohamed Fathi</t>
  </si>
  <si>
    <t>Mohamed Yehia Abdelaziz Nour</t>
  </si>
  <si>
    <t>Banan Adel Abbas Shalaby</t>
  </si>
  <si>
    <t>Mohamed Ali Salih Ali</t>
  </si>
  <si>
    <t>P03329333</t>
  </si>
  <si>
    <t>Omar Khaled Ahmed Abdelmaged</t>
  </si>
  <si>
    <t>Ahmed Hossam Abdelmoniem Ahmed</t>
  </si>
  <si>
    <t>Hossameldin Mourad Abdallah Mahmoud</t>
  </si>
  <si>
    <t>Fayza Shaaban Nasr Ahmed</t>
  </si>
  <si>
    <t>Monica Wagdy Aziz Aboelyamen</t>
  </si>
  <si>
    <t>Mohamed Refaat Salah Ali Sheta</t>
  </si>
  <si>
    <t>Fady Makram Beshara Saad</t>
  </si>
  <si>
    <t>Mostafa Samy Elsayed Mostafa</t>
  </si>
  <si>
    <t>29512252102019</t>
  </si>
  <si>
    <t>Ahmed Essam Abdelraouf Hamad</t>
  </si>
  <si>
    <t>Mostafa Samir Mostafa Zaki</t>
  </si>
  <si>
    <t>29612040104792</t>
  </si>
  <si>
    <t>Ali Abdelrahman Ahmed Ibrahim</t>
  </si>
  <si>
    <t>29012012602798</t>
  </si>
  <si>
    <t>Mohamed Elsayed Abosamra Abosamra</t>
  </si>
  <si>
    <t>28901031203735</t>
  </si>
  <si>
    <t>01116625893</t>
  </si>
  <si>
    <t>01064416640</t>
  </si>
  <si>
    <t>01203059999</t>
  </si>
  <si>
    <t>01115740666</t>
  </si>
  <si>
    <t>01120998383</t>
  </si>
  <si>
    <t>01114418379</t>
  </si>
  <si>
    <t>01111566557</t>
  </si>
  <si>
    <t>01156722322</t>
  </si>
  <si>
    <t>01018667075</t>
  </si>
  <si>
    <t>01224359668</t>
  </si>
  <si>
    <t>01211995520</t>
  </si>
  <si>
    <t>01270771982</t>
  </si>
  <si>
    <t>01143700099</t>
  </si>
  <si>
    <t>01119599745</t>
  </si>
  <si>
    <t>01020147191</t>
  </si>
  <si>
    <t>01067395497</t>
  </si>
  <si>
    <t>01200214823</t>
  </si>
  <si>
    <t>Tasneem Osama Mohamed Elsantawy</t>
  </si>
  <si>
    <t xml:space="preserve">Fatma Ali Zienelabdin Youssef </t>
  </si>
  <si>
    <t>Toka Ayman Mahmoud Mohamed</t>
  </si>
  <si>
    <t>Hossam Ahmed Mohamed Mahmoud</t>
  </si>
  <si>
    <t>Alaa Ahmed Elsayed Awad</t>
  </si>
  <si>
    <t>Tamer Samir Mohamed Ali</t>
  </si>
  <si>
    <t>Mohamed Khaled Mohamed Sobhy</t>
  </si>
  <si>
    <t>Omar Said Mahmoud Mohamed</t>
  </si>
  <si>
    <t>Shaimaa Ezzat Saad Gadallah</t>
  </si>
  <si>
    <t>Khaled Nehad Hassan Abdelmegid</t>
  </si>
  <si>
    <t>Eslam Adel Said Mohamed</t>
  </si>
  <si>
    <t>Pola Nagy Fouad Astfanous</t>
  </si>
  <si>
    <t>Mina Samir Gabra Makar</t>
  </si>
  <si>
    <t>Mennatullah Hamdy Elsayed Mohamed</t>
  </si>
  <si>
    <t>A2-W3</t>
  </si>
  <si>
    <t>01063977712</t>
  </si>
  <si>
    <t>01002034696</t>
  </si>
  <si>
    <t>01156541417</t>
  </si>
  <si>
    <t>01064324216</t>
  </si>
  <si>
    <t>01012601821</t>
  </si>
  <si>
    <t>01006388176</t>
  </si>
  <si>
    <t>01013432530</t>
  </si>
  <si>
    <t>01091545210</t>
  </si>
  <si>
    <t>01154877911</t>
  </si>
  <si>
    <t>01060601422</t>
  </si>
  <si>
    <t>01117097768</t>
  </si>
  <si>
    <t>01289434409</t>
  </si>
  <si>
    <t>01200884268</t>
  </si>
  <si>
    <t>01112326854</t>
  </si>
  <si>
    <t>Bassem</t>
  </si>
  <si>
    <t>Mahmoud Saber Saleh Mohamed</t>
  </si>
  <si>
    <t>01550084160</t>
  </si>
  <si>
    <t>WU-ME</t>
  </si>
  <si>
    <t>Comp. Nearshore</t>
  </si>
  <si>
    <t>B1 Program / W108 (Megahed)</t>
  </si>
  <si>
    <t>Better offer / On-B</t>
  </si>
  <si>
    <t>Zienab Tarek Fathi Abdelhalim</t>
  </si>
  <si>
    <t>Mazen Mohamed Mahmoud Ahmed</t>
  </si>
  <si>
    <t>Nourhan Mohamed Abdellatif Ali</t>
  </si>
  <si>
    <t>Aya Mohamed Samir Ahmed</t>
  </si>
  <si>
    <t>Youmna Hussein Ahmed Shaheen</t>
  </si>
  <si>
    <t>Marina Eid Naguib Mikhael</t>
  </si>
  <si>
    <t>Doaa Mohamed Abdelrahman Mohamed</t>
  </si>
  <si>
    <t>Abeer Salaheldin Suliman Taha</t>
  </si>
  <si>
    <t>P02372050</t>
  </si>
  <si>
    <t>Omnia Alaaeldin Elsayed Mohamed</t>
  </si>
  <si>
    <t>Dina Demerdash Tawfik Mohamed</t>
  </si>
  <si>
    <t>Mavie Hussam Eldein Mohamed Elhousseny</t>
  </si>
  <si>
    <t>01111648495</t>
  </si>
  <si>
    <t>01004621847</t>
  </si>
  <si>
    <t>01094491494</t>
  </si>
  <si>
    <t>01128069013</t>
  </si>
  <si>
    <t>01140060988</t>
  </si>
  <si>
    <t>01272076220</t>
  </si>
  <si>
    <t>01065586455</t>
  </si>
  <si>
    <t>01008039558</t>
  </si>
  <si>
    <t>01014007022</t>
  </si>
  <si>
    <t>01113642461</t>
  </si>
  <si>
    <t>01148336266</t>
  </si>
  <si>
    <t>Mai Elbadwy</t>
  </si>
  <si>
    <t>B1 Program / W110 (Asmaa)</t>
  </si>
  <si>
    <t>Mohamed Abdelmoniem Abdelmegid Aboutaleb</t>
  </si>
  <si>
    <t>Mostafa Hatem Abdelghany Mosaad Hindam</t>
  </si>
  <si>
    <t>Ahmed Khaled Mohamed Abdelhamid</t>
  </si>
  <si>
    <t>Mostafa Essam Abouelmaaty Mohamed</t>
  </si>
  <si>
    <t>Karim Ali Ali Youssef Selim</t>
  </si>
  <si>
    <t>Ahmed Elsayed Nasr Sharaf Abdelaal</t>
  </si>
  <si>
    <t>Karim Abdellatif Abdelhamid Lotfy</t>
  </si>
  <si>
    <t>Alaa Mohamed Mahmoud Badr</t>
  </si>
  <si>
    <t>Ahmed Hany Mohamed Abdelghafar</t>
  </si>
  <si>
    <t>Hossam Ali Abdelsattar Ali</t>
  </si>
  <si>
    <t>Mohamed Salaheldin Ahmed Mahmoud Ghonim</t>
  </si>
  <si>
    <t>Mostafa Essam Mohamed Elsayed</t>
  </si>
  <si>
    <t>01000045229</t>
  </si>
  <si>
    <t>01110422402</t>
  </si>
  <si>
    <t>01010132382</t>
  </si>
  <si>
    <t>01285180092</t>
  </si>
  <si>
    <t>01065128002</t>
  </si>
  <si>
    <t>01068635749</t>
  </si>
  <si>
    <t>01022983344</t>
  </si>
  <si>
    <t>01004052456</t>
  </si>
  <si>
    <t>01090407353</t>
  </si>
  <si>
    <t xml:space="preserve">Amaney </t>
  </si>
  <si>
    <t>01154533436</t>
  </si>
  <si>
    <t>01002554002</t>
  </si>
  <si>
    <t>W72 / Not a new hire</t>
  </si>
  <si>
    <t>01097044975</t>
  </si>
  <si>
    <t>WU/APAC</t>
  </si>
  <si>
    <t>Dropped-out on Oct 25th</t>
  </si>
  <si>
    <t>NS on Induc. Day / Unreachable</t>
  </si>
  <si>
    <t>Recommended for Grohe / Rejected offer</t>
  </si>
  <si>
    <t>Dropped-out on Oct 30th</t>
  </si>
  <si>
    <t>Not interested / Had masters / On-B</t>
  </si>
  <si>
    <t>Inducation NS / Unreachable / On-B</t>
  </si>
  <si>
    <t>Ex DU / Terminated due to failure to submit the 2 weeks notice</t>
  </si>
  <si>
    <t>TPA's Allocation: "Expedia"</t>
  </si>
  <si>
    <t xml:space="preserve">Amr Saleh Mohamed Soliman </t>
  </si>
  <si>
    <t>Aliaa Amr AbdelKareem Sabry</t>
  </si>
  <si>
    <t>Maha Mahrous Mohamed Ibrahim</t>
  </si>
  <si>
    <t>Mahmoud Atef AbdelGhany Rozaek</t>
  </si>
  <si>
    <t>Adham Mohamed Eid Mohamed Bakr</t>
  </si>
  <si>
    <t>Hager Hassan Emam Ali</t>
  </si>
  <si>
    <t xml:space="preserve">Nourhan Nabil Mohamed Mohamed </t>
  </si>
  <si>
    <t>Amr Magdy Imsaeil Ali Hassan</t>
  </si>
  <si>
    <t>Mai AbdelRahman AbdelKader AbdelRahman</t>
  </si>
  <si>
    <t xml:space="preserve">Ibrahim Sobhy Ibrahim Sayed Ahmed </t>
  </si>
  <si>
    <t>Nourhan Magdy Ali Hassanin</t>
  </si>
  <si>
    <t>Mohamed AbdelFattah Mohamed Gad Ali</t>
  </si>
  <si>
    <t>Mahmoud Ahmed Taha Mohamed</t>
  </si>
  <si>
    <t>Nouran Mahrous Zaki AboElYazeed</t>
  </si>
  <si>
    <t>Ahmed Dahee AbdelGhany Ahmed</t>
  </si>
  <si>
    <t xml:space="preserve">Ahmed Elsayed Mohamed Mahmoud </t>
  </si>
  <si>
    <t>01143833942</t>
  </si>
  <si>
    <t>01008441417</t>
  </si>
  <si>
    <t>01019647414</t>
  </si>
  <si>
    <t>01009919040</t>
  </si>
  <si>
    <t>01127484366</t>
  </si>
  <si>
    <t>01005476008</t>
  </si>
  <si>
    <t>01206086788</t>
  </si>
  <si>
    <t>01113337649</t>
  </si>
  <si>
    <t>01274739337</t>
  </si>
  <si>
    <t>01060657033</t>
  </si>
  <si>
    <t>01094030562</t>
  </si>
  <si>
    <t>01148802072</t>
  </si>
  <si>
    <t>01157002803</t>
  </si>
  <si>
    <t>01126227705</t>
  </si>
  <si>
    <t>01100394285</t>
  </si>
  <si>
    <t>01091180665</t>
  </si>
  <si>
    <t>Mohamed Ahmed Hussien Ahmed</t>
  </si>
  <si>
    <t>Mohamed Mohamed Bedair ElFtatry</t>
  </si>
  <si>
    <t>Saeed Shabaan AbdElkader AbdElAleem</t>
  </si>
  <si>
    <t xml:space="preserve">Omar Tarek Lotfy Ahmed </t>
  </si>
  <si>
    <t>Hesham Karam Baiomy Elsayed</t>
  </si>
  <si>
    <t>Omar Hassan Ahmed El Sawy</t>
  </si>
  <si>
    <t>Mahitab Mosbah Khalil Ali</t>
  </si>
  <si>
    <t>Ahmed Soliman Attia Farag Ouaf</t>
  </si>
  <si>
    <t>Nouran Khalil Mahmoud Ali</t>
  </si>
  <si>
    <t>Dina Essam Mohamed Nabih AbdelHamid</t>
  </si>
  <si>
    <t>Madonna Wassef Eissa Shenouda</t>
  </si>
  <si>
    <t>Aya Khaled Sayed Ali</t>
  </si>
  <si>
    <t>Amr Nabil SaadEldin Atta Youssef</t>
  </si>
  <si>
    <t>Shaimaa Galal AbdelRahman Mahmoud Zain</t>
  </si>
  <si>
    <t>Mohamed Ibrahim Mohamed Mahmoud Shaker</t>
  </si>
  <si>
    <t>Rita Youssef Ibrahim Attallah</t>
  </si>
  <si>
    <t>Yousef El Badawy Yousef Hassan</t>
  </si>
  <si>
    <t>Yara Abdel Moneim Mohamed Abdo</t>
  </si>
  <si>
    <t>Hisham Ahmed Hussein Hussein Ali</t>
  </si>
  <si>
    <t>Islam Ahmed Baseet Ibrahim</t>
  </si>
  <si>
    <t>Ehab Magdy Mohamed Abu ElHassan</t>
  </si>
  <si>
    <t>Mohamed Zakaria Taha Hashem</t>
  </si>
  <si>
    <t>Ahmed Samir Abdelaziz Ibrahim</t>
  </si>
  <si>
    <t>Karim Mahmoud Ali Awad</t>
  </si>
  <si>
    <t>Ramy Hassan Roshdy Abdelaziz</t>
  </si>
  <si>
    <t>Ahmed Mohamed Waheed ElDin Gouda</t>
  </si>
  <si>
    <t xml:space="preserve">Ahmed Mahmoud Abdel Rahman Mahmoud </t>
  </si>
  <si>
    <t>Ali Moutassem Abdalla Alyab</t>
  </si>
  <si>
    <t>Ayman Farid Abdel Maaboud Ghoneim</t>
  </si>
  <si>
    <t>Hadeer Ahmed Mahmoud Saeed El Shenawy</t>
  </si>
  <si>
    <t>Haitham Saeed Moussa Galal</t>
  </si>
  <si>
    <t>Hassan Yasser Hassan Abu El Ela Arafa</t>
  </si>
  <si>
    <t>Hoda Abdullah mahmoud Moussa</t>
  </si>
  <si>
    <t xml:space="preserve">Mariam Tamer Samy Abdel Kader </t>
  </si>
  <si>
    <t>Merna Mounir Haleem Wahba Gerges</t>
  </si>
  <si>
    <t>Mohamed Bayoumy Mahmoud Mohamed</t>
  </si>
  <si>
    <t>Mohamed Mahran Saad Saad Komber</t>
  </si>
  <si>
    <t>Muhammad Mustapha Hussien Muhammad</t>
  </si>
  <si>
    <t>Omar Hashem Gad Eid</t>
  </si>
  <si>
    <t>Omneya Mostafa Ahmed Mohamed</t>
  </si>
  <si>
    <t>Osama Ahmed Hassan Rizk Okasha Ali Okasha</t>
  </si>
  <si>
    <t xml:space="preserve">Sara Tarek Awad Osman Madany </t>
  </si>
  <si>
    <t>Shereen Abdelmoneim Mohamed Zaki</t>
  </si>
  <si>
    <t>Ziad Wael Yehia Mortada</t>
  </si>
  <si>
    <t>Adel Ali Abo El Magd El Awam</t>
  </si>
  <si>
    <t>Hussain Ali Abdul Hasan</t>
  </si>
  <si>
    <t>Mohamed Hassan AbdelMonem Ibrahim Khamis</t>
  </si>
  <si>
    <t xml:space="preserve">Khaled Salaheldin Saad Morsi </t>
  </si>
  <si>
    <t xml:space="preserve">Ahmed Mahmoud AbdelNasser Mohamed </t>
  </si>
  <si>
    <t xml:space="preserve">Hadeel Helmy Hassan Zaki </t>
  </si>
  <si>
    <t xml:space="preserve">Ahmed Ali Youssef Zaki </t>
  </si>
  <si>
    <t>Mohamed Essam Hussein Heiba Fahmy</t>
  </si>
  <si>
    <t>Mohamed El Sayed Abdeen Mohamed</t>
  </si>
  <si>
    <t xml:space="preserve">Noha Mohamed Ali Mohamed </t>
  </si>
  <si>
    <t xml:space="preserve">Khaled Hassan Gooda Hassan </t>
  </si>
  <si>
    <t>Mahmoud Yunis Khalil Ahmed</t>
  </si>
  <si>
    <t xml:space="preserve">Karim Mahmoud Mohamed AbuElEneen </t>
  </si>
  <si>
    <t xml:space="preserve">Hesham Nasr Mohamed ElDesoky Mohamed Hassanein </t>
  </si>
  <si>
    <t>Mostafa Omar Mohamed Youssef ElShamy</t>
  </si>
  <si>
    <t xml:space="preserve">Nabwala Jackiline </t>
  </si>
  <si>
    <t>Karim Magdy Ismail El Sayed</t>
  </si>
  <si>
    <t>Alaa Emad Abdel Salam Abdel Rehim</t>
  </si>
  <si>
    <t xml:space="preserve">Mohamed Shawky Mohamed Abdel Baset </t>
  </si>
  <si>
    <t>Manar Diaa El Din Bakr Abdel Hameed</t>
  </si>
  <si>
    <t xml:space="preserve">Ahmed Mahmoud Kamel Abdel Salam Mohamed </t>
  </si>
  <si>
    <t>Moustafa Mohamed Fares Hassan</t>
  </si>
  <si>
    <t>Nermin Hussein Selim Solyman</t>
  </si>
  <si>
    <t>Islam Hassan Othman Ibrahim</t>
  </si>
  <si>
    <t>Mohamed Mahmoud Mohamed Ezz El Din</t>
  </si>
  <si>
    <t>Mohamed Samy Mohamed Hussein</t>
  </si>
  <si>
    <t>Nayra Fathy Abdel Aziz Abdel Megid</t>
  </si>
  <si>
    <t>Ahmed Hassan Hamed Ibrahim</t>
  </si>
  <si>
    <t>Taghreed Yousry Attia Soliman</t>
  </si>
  <si>
    <t>Ahmed BadrElDin Ahmed Hussein Khorshed</t>
  </si>
  <si>
    <t>Ahmed SalahEl Din AbdelHameed Basheer</t>
  </si>
  <si>
    <t>Akram Hussein AbdelMegid Mohamed AbdelAal</t>
  </si>
  <si>
    <t>Basem Amr AbdElRahman Ali</t>
  </si>
  <si>
    <t xml:space="preserve">Hana Abu Bakir Osman Ali </t>
  </si>
  <si>
    <t>Ibrahim Gamal Abdu Ahmed Arafa</t>
  </si>
  <si>
    <t>Islam Mohamed Adel AbdElGaffar Mohamed Nassar</t>
  </si>
  <si>
    <t>Mahmoud Amin Mahmoud Mohamed</t>
  </si>
  <si>
    <t>Marina Sami Eissa Elias</t>
  </si>
  <si>
    <t>Osama Ahmed Gamal El Dein Abduo Ahmed</t>
  </si>
  <si>
    <t>Radwa Mohamed Ahmed Atia Kortam</t>
  </si>
  <si>
    <t xml:space="preserve">Sara Ezzat Nashed Gerges </t>
  </si>
  <si>
    <t>Shaimaa Mahmoud Mohamed Abd El Maksoud</t>
  </si>
  <si>
    <t xml:space="preserve">Ahmed Magdy Ali Ahmed </t>
  </si>
  <si>
    <t>Albert Kamil Saad Besada</t>
  </si>
  <si>
    <t>Mina Nabil Aziz Samaan</t>
  </si>
  <si>
    <t>Mohamed Eid Ahmed Azouz Ibrahim</t>
  </si>
  <si>
    <t>Mohamed Emad El Din Metwally Sayed</t>
  </si>
  <si>
    <t>Mohammed Ahmed Mohamed El-Taher</t>
  </si>
  <si>
    <t>Mostafa Mohammed Salah El Din Atta Mohamed</t>
  </si>
  <si>
    <t>Nada Ahmed Abdel Hameed Abdallah</t>
  </si>
  <si>
    <t>Sawsan El Sayed Attia El Sayed</t>
  </si>
  <si>
    <t>Youssef Alaa El Din Medhat Abdel Aziz Ali</t>
  </si>
  <si>
    <t>Youssef Mohamed Ibrahim Mohamed</t>
  </si>
  <si>
    <t>Emad Zaghloul Mohamed Abdel Monem</t>
  </si>
  <si>
    <t>Norhan Hussein Abdel Maksood Moussa</t>
  </si>
  <si>
    <t>Amir Mohamed Sayed Hassan</t>
  </si>
  <si>
    <t>Abanoub Fadl Qassed Iskandarany</t>
  </si>
  <si>
    <t xml:space="preserve">Ahmed Mostafa Gamal El Din Mohamed </t>
  </si>
  <si>
    <t>David Alfred Lado  David</t>
  </si>
  <si>
    <t>Alyaa Mohamed Gad Allah Ahmed</t>
  </si>
  <si>
    <t>Bassel Salim Mostafa Masalikhi</t>
  </si>
  <si>
    <t xml:space="preserve">Mohamed Gamal Ragab Abdel Moteleb </t>
  </si>
  <si>
    <t>Mostafa Hamdy Abd El Wahab Hegab</t>
  </si>
  <si>
    <t>Nour Hesham Mohamed Amin Mahmoud Shedeed</t>
  </si>
  <si>
    <t>Ahmed Abdallah Abo El Makarem</t>
  </si>
  <si>
    <t>Abdelrahman Khalaf Ahmed Farghaly</t>
  </si>
  <si>
    <t>Mohamed Ahmed Abdel Kader Abdel Halim</t>
  </si>
  <si>
    <t>Ahmed Abdel Ghaffar Afefee Saad Hammad</t>
  </si>
  <si>
    <t xml:space="preserve">Ahmed Shaker El Sayed Ahmed Abdallah </t>
  </si>
  <si>
    <t>Mohamed Abdel Fattah Saeed Abdou Zaalouk</t>
  </si>
  <si>
    <t>Reham Hany Abdel Kader Rageh El Tahawy</t>
  </si>
  <si>
    <t>Ahmed Essam Eldeen</t>
  </si>
  <si>
    <t>Khaled Gamal Abdelnasser Fouad Allam</t>
  </si>
  <si>
    <t>Wael Youssef Youssef Ahmed El Sahaby</t>
  </si>
  <si>
    <t>Sayed Fahmy Teleb Salama</t>
  </si>
  <si>
    <t>Ahmed Eid Taha Abdellatif</t>
  </si>
  <si>
    <t>Fatma Ahmed Ibrahim El Sayed</t>
  </si>
  <si>
    <t>Mahmoud Shaaban Nozhi AbdelQawi</t>
  </si>
  <si>
    <t>Somaya Hesham Youssef Hussein ElShazly</t>
  </si>
  <si>
    <t>John Nabil Saber Attalah</t>
  </si>
  <si>
    <t>Halima Mohamed Youssef Ahmed</t>
  </si>
  <si>
    <t>01123917622</t>
  </si>
  <si>
    <t>01111735397</t>
  </si>
  <si>
    <t>01223525984</t>
  </si>
  <si>
    <t>01005879160</t>
  </si>
  <si>
    <t>01000935721</t>
  </si>
  <si>
    <t>01066938844</t>
  </si>
  <si>
    <t>01098868811</t>
  </si>
  <si>
    <t>01228661581</t>
  </si>
  <si>
    <t>01015713770</t>
  </si>
  <si>
    <t>01113991446</t>
  </si>
  <si>
    <t>01025230505</t>
  </si>
  <si>
    <t>01100036653</t>
  </si>
  <si>
    <t>01099907111</t>
  </si>
  <si>
    <t>01091100182</t>
  </si>
  <si>
    <t xml:space="preserve"> Yes</t>
  </si>
  <si>
    <t>P03165429</t>
  </si>
  <si>
    <t>01150630712</t>
  </si>
  <si>
    <t>01068873516</t>
  </si>
  <si>
    <t>01011908647</t>
  </si>
  <si>
    <t>01000682562</t>
  </si>
  <si>
    <t>01110326222</t>
  </si>
  <si>
    <t>01100451198</t>
  </si>
  <si>
    <t>01092223063</t>
  </si>
  <si>
    <t>01284013001</t>
  </si>
  <si>
    <t>01028317013</t>
  </si>
  <si>
    <t>01097939491</t>
  </si>
  <si>
    <t>01112188428</t>
  </si>
  <si>
    <t>01119678024</t>
  </si>
  <si>
    <t>01091905009</t>
  </si>
  <si>
    <t>01096380673</t>
  </si>
  <si>
    <t>01092439897</t>
  </si>
  <si>
    <t>01125192029</t>
  </si>
  <si>
    <t>01100791516</t>
  </si>
  <si>
    <t>01026026210</t>
  </si>
  <si>
    <t>A9304377</t>
  </si>
  <si>
    <t>01207049292</t>
  </si>
  <si>
    <t>01100065180 </t>
  </si>
  <si>
    <t>01158641589</t>
  </si>
  <si>
    <t>01095099710</t>
  </si>
  <si>
    <t>01007119940</t>
  </si>
  <si>
    <t>01094350626</t>
  </si>
  <si>
    <t>01004589400</t>
  </si>
  <si>
    <t>01119279099</t>
  </si>
  <si>
    <t>01003461369</t>
  </si>
  <si>
    <t>01116908648</t>
  </si>
  <si>
    <t>01285004986</t>
  </si>
  <si>
    <t>01004503324</t>
  </si>
  <si>
    <t>01151052252</t>
  </si>
  <si>
    <t>01028005080</t>
  </si>
  <si>
    <t>B1072538</t>
  </si>
  <si>
    <t>01289457483</t>
  </si>
  <si>
    <t>01113737876</t>
  </si>
  <si>
    <t>01099530589</t>
  </si>
  <si>
    <t>01023878739</t>
  </si>
  <si>
    <t>01146566282</t>
  </si>
  <si>
    <t>01146578915</t>
  </si>
  <si>
    <t>01007017946</t>
  </si>
  <si>
    <t>P00010774</t>
  </si>
  <si>
    <t>01016920921</t>
  </si>
  <si>
    <t>01091128643</t>
  </si>
  <si>
    <t>01090711551</t>
  </si>
  <si>
    <t>01022917178</t>
  </si>
  <si>
    <t>01096155199</t>
  </si>
  <si>
    <t>01114201543</t>
  </si>
  <si>
    <t>01001050251</t>
  </si>
  <si>
    <t>01006833347</t>
  </si>
  <si>
    <t>01006370312</t>
  </si>
  <si>
    <t>01012098629</t>
  </si>
  <si>
    <t>01114062660</t>
  </si>
  <si>
    <t>P02653166</t>
  </si>
  <si>
    <t>01115574734</t>
  </si>
  <si>
    <t>01092426052</t>
  </si>
  <si>
    <t>01001206714</t>
  </si>
  <si>
    <t>01099842981</t>
  </si>
  <si>
    <t>01281177835</t>
  </si>
  <si>
    <t>01012974000</t>
  </si>
  <si>
    <t>01288446824</t>
  </si>
  <si>
    <t>01159884233</t>
  </si>
  <si>
    <t>01140300107</t>
  </si>
  <si>
    <t>01093839267</t>
  </si>
  <si>
    <t>01200334536</t>
  </si>
  <si>
    <t>01068602828</t>
  </si>
  <si>
    <t>01224011740</t>
  </si>
  <si>
    <t>01066792630</t>
  </si>
  <si>
    <t>01112666249</t>
  </si>
  <si>
    <t>01009338367</t>
  </si>
  <si>
    <t>01149000540</t>
  </si>
  <si>
    <t>01025770075</t>
  </si>
  <si>
    <t>01008312102</t>
  </si>
  <si>
    <t>01092876183</t>
  </si>
  <si>
    <t>01004250976</t>
  </si>
  <si>
    <t>01226115989</t>
  </si>
  <si>
    <t>01148880883</t>
  </si>
  <si>
    <t>01110118368</t>
  </si>
  <si>
    <t>01200277932</t>
  </si>
  <si>
    <t xml:space="preserve">Drop Out </t>
  </si>
  <si>
    <t>01203724794</t>
  </si>
  <si>
    <t>R00004161</t>
  </si>
  <si>
    <t>01004113810</t>
  </si>
  <si>
    <t>01129100195</t>
  </si>
  <si>
    <t>LR0268278</t>
  </si>
  <si>
    <t>01121836660</t>
  </si>
  <si>
    <t>01228505001</t>
  </si>
  <si>
    <t>01066298457</t>
  </si>
  <si>
    <t>01111004272</t>
  </si>
  <si>
    <t>01017921959</t>
  </si>
  <si>
    <t>01009875911 </t>
  </si>
  <si>
    <t xml:space="preserve"> 01141773424 </t>
  </si>
  <si>
    <t>01285499103 </t>
  </si>
  <si>
    <t> 01114522058</t>
  </si>
  <si>
    <t>01276066604</t>
  </si>
  <si>
    <t>01100032857</t>
  </si>
  <si>
    <t>01022926693</t>
  </si>
  <si>
    <t>01112884979</t>
  </si>
  <si>
    <t>01222168021</t>
  </si>
  <si>
    <t>01110306102</t>
  </si>
  <si>
    <t>01118790203</t>
  </si>
  <si>
    <t>01287485076</t>
  </si>
  <si>
    <t>01009518135</t>
  </si>
  <si>
    <t>01097449741</t>
  </si>
  <si>
    <t>01225692316</t>
  </si>
  <si>
    <t>01014744237</t>
  </si>
  <si>
    <t>Drop Out</t>
  </si>
  <si>
    <t>Didn't like the project/allocation</t>
  </si>
  <si>
    <t>Left because of the exams / Can do part-time / Will be done this June</t>
  </si>
  <si>
    <t>Wants a callback on Feb 2nd because he's not in Cairo</t>
  </si>
  <si>
    <t>His mom was sick and he had to leave - Wants to rejoin</t>
  </si>
  <si>
    <t>Not interested to rejoin</t>
  </si>
  <si>
    <t>In the army till Dec of 19</t>
  </si>
  <si>
    <t>Might be available to work in Mar.</t>
  </si>
  <si>
    <t>Mohamed Adel Mohamed Helmy</t>
  </si>
  <si>
    <t>01090069417</t>
  </si>
  <si>
    <t>Abdelrahman Adel Said Abdelhamid</t>
  </si>
  <si>
    <t>01117217238</t>
  </si>
  <si>
    <t>Direct Hiring</t>
  </si>
  <si>
    <t>Ahmed Bassiouny Mahmoud Mohamed</t>
  </si>
  <si>
    <t>01146406499</t>
  </si>
  <si>
    <t>Rania Said Seifelnasr Mohamed</t>
  </si>
  <si>
    <t>01212464415</t>
  </si>
  <si>
    <t>Salaheldin Atef Salaheldin Fadel</t>
  </si>
  <si>
    <t>01207169262</t>
  </si>
  <si>
    <t>Mohamed Taha Mohamed Taha</t>
  </si>
  <si>
    <t>01014570808</t>
  </si>
  <si>
    <t>Mohamed Salaheldin Ahmed Mahmoud Ghoniem</t>
  </si>
  <si>
    <t>28207182101957</t>
  </si>
  <si>
    <t>Perihan Hesham Mahmoud Samir</t>
  </si>
  <si>
    <t>01018706668</t>
  </si>
  <si>
    <t>Kholoud Reda Abdelhalim Sayed</t>
  </si>
  <si>
    <t>01205477378</t>
  </si>
  <si>
    <t>Mohamed Ragab Abdelmoniem Elsayed</t>
  </si>
  <si>
    <t>01126192043</t>
  </si>
  <si>
    <t xml:space="preserve">Sara Adam Ali Darwish </t>
  </si>
  <si>
    <t>01017888566</t>
  </si>
  <si>
    <t>Mariam Mohamed Kamal Heshmat</t>
  </si>
  <si>
    <t>01156037363</t>
  </si>
  <si>
    <t>Sondos</t>
  </si>
  <si>
    <t>Rania Osama Atrees Saad</t>
  </si>
  <si>
    <t>01094066151</t>
  </si>
  <si>
    <t>Mouaz Abdallah Mahmoud Abdallah</t>
  </si>
  <si>
    <t>01117650204</t>
  </si>
  <si>
    <t>Dina Asaad Mahmoud Abdelhamid</t>
  </si>
  <si>
    <t>01066331806</t>
  </si>
  <si>
    <t>Mahmoud Khaled Mahmoud Ali</t>
  </si>
  <si>
    <t>Mohamed Abdelmoniem Ahmed Ammar</t>
  </si>
  <si>
    <t>Eman Ismail Saleh Abdo</t>
  </si>
  <si>
    <t>Nouran Nasser Mohamed Mohamed Nassar</t>
  </si>
  <si>
    <t>Ahmed Ali Ibrahim Mohamed</t>
  </si>
  <si>
    <t>Sandra Luis Aziz Katla Gergis</t>
  </si>
  <si>
    <t>Toka Mohamed Kamal Elhanafy</t>
  </si>
  <si>
    <t>Ismail Ahmed Mohamed Mohamed Zied</t>
  </si>
  <si>
    <t>Yousra Gamal Soliman Morsy</t>
  </si>
  <si>
    <t>Toka Badry Ahmed Eldesouky</t>
  </si>
  <si>
    <t>Yousra Salah Mohamed Almatary</t>
  </si>
  <si>
    <t>Adel Ali Mubarak Adhban</t>
  </si>
  <si>
    <t>Lobna Mansour Mohamed Gamaleldin</t>
  </si>
  <si>
    <t>Sawsan Ibrahim Abdelfattah Mohamed</t>
  </si>
  <si>
    <t>A2-W4</t>
  </si>
  <si>
    <t>01124201870</t>
  </si>
  <si>
    <t>01116266514</t>
  </si>
  <si>
    <t>Amr</t>
  </si>
  <si>
    <t>01159283969</t>
  </si>
  <si>
    <t>01018460043</t>
  </si>
  <si>
    <t>01020199811</t>
  </si>
  <si>
    <t>01225350614</t>
  </si>
  <si>
    <t>01149914732</t>
  </si>
  <si>
    <t>01017035397</t>
  </si>
  <si>
    <t>01095897607</t>
  </si>
  <si>
    <t>01125914954</t>
  </si>
  <si>
    <t>01028733008</t>
  </si>
  <si>
    <t>07301480</t>
  </si>
  <si>
    <t>01017992891</t>
  </si>
  <si>
    <t>01001670788</t>
  </si>
  <si>
    <t>01011091997</t>
  </si>
  <si>
    <t>Nouran Shoieb</t>
  </si>
  <si>
    <t>Nouran Mohamed Abdelaal Khalil</t>
  </si>
  <si>
    <t>01069384917</t>
  </si>
  <si>
    <t>Osama Samir Mohamed Mohamed Bayoumi</t>
  </si>
  <si>
    <t>01146124144</t>
  </si>
  <si>
    <t>Yasmine Mohamed Naguib Abdelhalim</t>
  </si>
  <si>
    <t>01002185005</t>
  </si>
  <si>
    <t>Passant Magdy Ali Ibrahim</t>
  </si>
  <si>
    <t>01011670798</t>
  </si>
  <si>
    <t>Bavly Mounir Ayad Youssef</t>
  </si>
  <si>
    <t>01229455161</t>
  </si>
  <si>
    <t>Mostafa Elsayed Saad Elsayed</t>
  </si>
  <si>
    <t>01012013919</t>
  </si>
  <si>
    <t>Ahmed Mohamed Hatem Abdelmoniem</t>
  </si>
  <si>
    <t>29601011421311</t>
  </si>
  <si>
    <t>01202079367</t>
  </si>
  <si>
    <t>Yasmine Youssry Gouda Elsayed</t>
  </si>
  <si>
    <t>01116756364</t>
  </si>
  <si>
    <t>Farid</t>
  </si>
  <si>
    <t>Aya Mohamed Ahmed Fouad</t>
  </si>
  <si>
    <t>01208733007</t>
  </si>
  <si>
    <t>Ahmed Atef Refaey Khater</t>
  </si>
  <si>
    <t>01283352319</t>
  </si>
  <si>
    <t>Salma Adel Mohamed Hussien Salem</t>
  </si>
  <si>
    <t>01128234322</t>
  </si>
  <si>
    <t>Nhlah Abdullah Hames Alawgari</t>
  </si>
  <si>
    <t>00021358</t>
  </si>
  <si>
    <t>01067380620</t>
  </si>
  <si>
    <t>Samar Salah Mohamed Mohamed Elbeltagy</t>
  </si>
  <si>
    <t>01000101957</t>
  </si>
  <si>
    <t>Ahmed Hussein Mohamed Fathi</t>
  </si>
  <si>
    <t>01142179255</t>
  </si>
  <si>
    <t xml:space="preserve">Amr </t>
  </si>
  <si>
    <t>Muna Abdulaziz Suliman Musa</t>
  </si>
  <si>
    <t>555-00140661</t>
  </si>
  <si>
    <t>01115335707</t>
  </si>
  <si>
    <t>Blacklisted | Attitude</t>
  </si>
  <si>
    <t>Wave</t>
  </si>
  <si>
    <t>-</t>
  </si>
  <si>
    <t>Abanob</t>
  </si>
  <si>
    <t>Hebatallah Adham Attia Waliuallah</t>
  </si>
  <si>
    <t>Mahmoud</t>
  </si>
  <si>
    <t xml:space="preserve">Sherihan </t>
  </si>
  <si>
    <t>HOL</t>
  </si>
  <si>
    <t>Megahed + Dalia</t>
  </si>
  <si>
    <t>Marina Samy Eissa</t>
  </si>
  <si>
    <t>Hossam Refaei Mohamed</t>
  </si>
  <si>
    <t>Mina Rezk</t>
  </si>
  <si>
    <t>Ahmed Mohamed zaki</t>
  </si>
  <si>
    <t>Ahmed mahmoud Ahmed El Aghoury</t>
  </si>
  <si>
    <t>Mohamed Hassan Elsabah</t>
  </si>
  <si>
    <t>Atef Gamal Fouad Ali</t>
  </si>
  <si>
    <t>Mohamed Mahmoud Abdelhamid Soliman</t>
  </si>
  <si>
    <t xml:space="preserve">Sama Mohamed Asbah Mahhmoud </t>
  </si>
  <si>
    <t>Ahmed Mohamed Lotfy Abdo</t>
  </si>
  <si>
    <t>Hesham Ali Hussein Abozaid</t>
  </si>
  <si>
    <t>Abdelrahman Nabil Mohamed Abdelmaksoud</t>
  </si>
  <si>
    <t>Mohamed Said Abdelaziz Mohamed</t>
  </si>
  <si>
    <t>Khaled Tarek Sayed Ahmed Ibrahim</t>
  </si>
  <si>
    <t>29806250104671</t>
  </si>
  <si>
    <t>Hafiz Magdi Abbas Mudawi</t>
  </si>
  <si>
    <t>P01975074</t>
  </si>
  <si>
    <t>01032259691</t>
  </si>
  <si>
    <t>01223798709</t>
  </si>
  <si>
    <t>01208253340</t>
  </si>
  <si>
    <t>01094815699</t>
  </si>
  <si>
    <t>01091256117</t>
  </si>
  <si>
    <t>01002691532</t>
  </si>
  <si>
    <t>01011659416</t>
  </si>
  <si>
    <t>01027262992</t>
  </si>
  <si>
    <t>01154648444</t>
  </si>
  <si>
    <t>Amani</t>
  </si>
  <si>
    <t>B1 Program / W114 (Asmaa)</t>
  </si>
  <si>
    <t>B1 Program / W111 (Taghreed)</t>
  </si>
  <si>
    <t>Better offer related to his major</t>
  </si>
  <si>
    <t>Was to be contacted on Nov 22nd / On-B | TPA "No answer"</t>
  </si>
  <si>
    <t>2nd Intv with OnAir | Accepted | Got a better offer and left</t>
  </si>
  <si>
    <t>Pending | Reported to On-B team | Major/Career path related | She will contact Suqr, because she has no time-frame</t>
  </si>
  <si>
    <t>No answer</t>
  </si>
  <si>
    <t>Pending</t>
  </si>
  <si>
    <t>She has not been contacted since TPA's allocation</t>
  </si>
  <si>
    <t>Location+Time restrictions | Mohandseen/Max 10 PM | WU APAC | Dismissed due to restriction</t>
  </si>
  <si>
    <t>Ex DU / Rejected from Ops - Was sent in WFR REQ too | Ops had a change of heart</t>
  </si>
  <si>
    <t>Hired</t>
  </si>
  <si>
    <t>Domestic</t>
  </si>
  <si>
    <t>Blacklisted | He's not interested in rejoining</t>
  </si>
  <si>
    <t>Hala Talaat Abdelkader Abdelwahab</t>
  </si>
  <si>
    <t>Kirollos Ayad Sayed Noor</t>
  </si>
  <si>
    <t>Fouad Osama Fouad Mohamed Khalifa</t>
  </si>
  <si>
    <t>Ahmed Abdelaal Abbas Said</t>
  </si>
  <si>
    <t>Amr Abdelfattah Ahmed Mohamed</t>
  </si>
  <si>
    <t>Sama Ahmed Sayed Mohamed</t>
  </si>
  <si>
    <t>Ahmed Alaa Abdelsalam Abdelaziz</t>
  </si>
  <si>
    <t>Mina Aboelkhier Ghattas Tawadros</t>
  </si>
  <si>
    <t>Toka Amgad Abdelmogheth Ali</t>
  </si>
  <si>
    <t>Nader Emad Fouad Youssef</t>
  </si>
  <si>
    <t>Areej Essam Mohamed Mohamed</t>
  </si>
  <si>
    <t>Sherif Ashraf Muhamed Ahmed</t>
  </si>
  <si>
    <t>Tamer Mohamed Kamal Shaaban</t>
  </si>
  <si>
    <t>Mona Ibrahim Elshenawy Elmansy</t>
  </si>
  <si>
    <t>Mohamed Ali Mabrouk Mohamed</t>
  </si>
  <si>
    <t>Malak Ahmed Ghilan Amran</t>
  </si>
  <si>
    <t>Saleh Khaled Ibrahim Abdelbaky</t>
  </si>
  <si>
    <t>Graduate</t>
  </si>
  <si>
    <t>Gap Semester</t>
  </si>
  <si>
    <t>01063778671</t>
  </si>
  <si>
    <t>01224212050</t>
  </si>
  <si>
    <t>01100160842</t>
  </si>
  <si>
    <t>01067607297</t>
  </si>
  <si>
    <t>01001252160</t>
  </si>
  <si>
    <t>01032813108</t>
  </si>
  <si>
    <t>01555144341</t>
  </si>
  <si>
    <t>01024853317</t>
  </si>
  <si>
    <t>01144309518</t>
  </si>
  <si>
    <t>01004673173</t>
  </si>
  <si>
    <t>01128048488</t>
  </si>
  <si>
    <t>01033068067</t>
  </si>
  <si>
    <t>01007704447</t>
  </si>
  <si>
    <t>01099052297</t>
  </si>
  <si>
    <t>01060234893</t>
  </si>
  <si>
    <t>01110020859</t>
  </si>
  <si>
    <t>01067622815</t>
  </si>
  <si>
    <t>MUST</t>
  </si>
  <si>
    <t>Not interested | Not recommended to rejoin</t>
  </si>
  <si>
    <t>Left due to family issues | Her father refused to have her stay til 2 AM | Not recommended to rejoin</t>
  </si>
  <si>
    <t>Will join PK training tomorrow | Wants morning training | Not recommended to rejoin</t>
  </si>
  <si>
    <t>Lamis Salah Elsayed Metwally</t>
  </si>
  <si>
    <t>01149380310</t>
  </si>
  <si>
    <t xml:space="preserve">Mohamed Hussein Mohamed Shaker </t>
  </si>
  <si>
    <t>01000553879</t>
  </si>
  <si>
    <t>Fatma Refaat Mahmoud Hamam</t>
  </si>
  <si>
    <t>01033496667</t>
  </si>
  <si>
    <t>Mahmoud Elsayed Shaaban Mohamed</t>
  </si>
  <si>
    <t>01069728595</t>
  </si>
  <si>
    <t>Mohamed Saber Elsayed Elsayed Rakha</t>
  </si>
  <si>
    <t>01015583769</t>
  </si>
  <si>
    <t>Hebatullah Reda Sayed Youssef</t>
  </si>
  <si>
    <t>01115684422</t>
  </si>
  <si>
    <t>Nourhan Gamal Mahmoud Amin</t>
  </si>
  <si>
    <t>01022031199</t>
  </si>
  <si>
    <t>Saher Mohammed Sobhy Tawfeek</t>
  </si>
  <si>
    <t>01118410002</t>
  </si>
  <si>
    <t>Khaled Mostafa Mohamed Mohamed</t>
  </si>
  <si>
    <t>01289993013</t>
  </si>
  <si>
    <t>Mohanad Hossameldin Mohamed Bassam</t>
  </si>
  <si>
    <t>01019362293</t>
  </si>
  <si>
    <t>Ahmed Abdelfattah Mohamed Galal</t>
  </si>
  <si>
    <t>01111075933</t>
  </si>
  <si>
    <t>Hossam Abdelhamid Tawfik Ahmed</t>
  </si>
  <si>
    <t>01110236378</t>
  </si>
  <si>
    <t>Reham Mohamed Abdelbaset Ahmed</t>
  </si>
  <si>
    <t>01097325551</t>
  </si>
  <si>
    <t>Abdelrahman Mohamed Ibrahim Hassan</t>
  </si>
  <si>
    <t>01066101700</t>
  </si>
  <si>
    <t>Ahmed Ragab Abdelaaty Abdallah</t>
  </si>
  <si>
    <t>01145233251</t>
  </si>
  <si>
    <t>Taymoor</t>
  </si>
  <si>
    <t>Radwa Khaled Salah Anan</t>
  </si>
  <si>
    <t>Drop out</t>
  </si>
  <si>
    <t>01229800082</t>
  </si>
  <si>
    <t>No WFR</t>
  </si>
  <si>
    <t>Simulation or Testing Failure TR</t>
  </si>
  <si>
    <t>Performance / Terminating calls / Regulations Violation OP</t>
  </si>
  <si>
    <t>Performance / Terminating calls / Regulations Violation OP | Terminated</t>
  </si>
  <si>
    <t>Performance/Regulation Violation TR | Entered as ECA FR | Terminated</t>
  </si>
  <si>
    <t>He must've left | Hired again by TP Recruitment / Joined WU APAC | Performance/Regulation Violation TR | Terminated</t>
  </si>
  <si>
    <t>Du Ent. | No WFR</t>
  </si>
  <si>
    <t>Didn't rejoin</t>
  </si>
  <si>
    <t>Abdallah Hassan Yassin Abdelrahman Shebeta</t>
  </si>
  <si>
    <t>01003656200</t>
  </si>
  <si>
    <t>Hanan Amer Ali Amer</t>
  </si>
  <si>
    <t>01229455962</t>
  </si>
  <si>
    <t>Ahmed Fawzy Hamed Aboelnaga</t>
  </si>
  <si>
    <t>01017186496</t>
  </si>
  <si>
    <t>Mohamed Arafat Tawfik Mosaad Shehata</t>
  </si>
  <si>
    <t>01119430640</t>
  </si>
  <si>
    <t>Sara Taha Ahmed Hussein</t>
  </si>
  <si>
    <t xml:space="preserve">Gap year </t>
  </si>
  <si>
    <t>01142209170</t>
  </si>
  <si>
    <t>Sally Mohyeldin Abdelsattar Gendy</t>
  </si>
  <si>
    <t>01118189592</t>
  </si>
  <si>
    <t>Alaa Hosny Ahmed Abdelghafar</t>
  </si>
  <si>
    <t>01066467445</t>
  </si>
  <si>
    <t>Soha Nabil Mohamed Abdellatif Ismail</t>
  </si>
  <si>
    <t>01064476307</t>
  </si>
  <si>
    <t>Omar Aboelkassem Mohamed Elsayed Ahmed</t>
  </si>
  <si>
    <t>01145583544</t>
  </si>
  <si>
    <t>B1 Program / W117 (Sondos)</t>
  </si>
  <si>
    <t>Left after induction</t>
  </si>
  <si>
    <t>No answer | Unreachable</t>
  </si>
  <si>
    <t>Unreachable</t>
  </si>
  <si>
    <t>Abdelrahman Mohamed Mohamed Salah</t>
  </si>
  <si>
    <t>01147580712</t>
  </si>
  <si>
    <t>Mohamed Elsayed Mohamed Elsayed Helal</t>
  </si>
  <si>
    <t>01110302400</t>
  </si>
  <si>
    <t>Mahmoud Ahmed Mohamed Ahmed Mostafa</t>
  </si>
  <si>
    <t>01010855927</t>
  </si>
  <si>
    <t>Ahmed Abdelhamid Samy Hassan</t>
  </si>
  <si>
    <t>01094174346</t>
  </si>
  <si>
    <t>Ahmed Ibrahim Mahmoud Mohsen</t>
  </si>
  <si>
    <t>01098522580</t>
  </si>
  <si>
    <t>Dina Adel Shaaban Elmahdy</t>
  </si>
  <si>
    <t>01146646201</t>
  </si>
  <si>
    <t>Nader Nagy Mohamed Ahmed Ragab</t>
  </si>
  <si>
    <t>01280444637</t>
  </si>
  <si>
    <t>Mai Abdallah Youssef Abdallah Shamout</t>
  </si>
  <si>
    <t>01152712999</t>
  </si>
  <si>
    <t>Alaa Sabry Mahmoud Ibrahim</t>
  </si>
  <si>
    <t>01125584055</t>
  </si>
  <si>
    <t>Ahmed Mohamed Elsayed Mohamed Eliwa</t>
  </si>
  <si>
    <t>01068635186</t>
  </si>
  <si>
    <t>Eslam Samy Ismail Morsy</t>
  </si>
  <si>
    <t>01033977924</t>
  </si>
  <si>
    <t>Mohamed Adel Mohamed Rabie</t>
  </si>
  <si>
    <t>01552550088</t>
  </si>
  <si>
    <t>Noureldin Ahmed Hany Hassan Ahmed</t>
  </si>
  <si>
    <t>01024596111</t>
  </si>
  <si>
    <t xml:space="preserve">Mahmoud Mohamed Hamdy Abdelaziz </t>
  </si>
  <si>
    <t>01116257050</t>
  </si>
  <si>
    <t>Mohamed Hassan Mohamed Fouad Hassan</t>
  </si>
  <si>
    <t>01000210402</t>
  </si>
  <si>
    <t>TPA's Allocation: "Domestic"</t>
  </si>
  <si>
    <t>Du Ent.</t>
  </si>
  <si>
    <t>Failed Sim | Rejoined Du Ent. on the 17th of Feb.</t>
  </si>
  <si>
    <t>B1 Program / W114 (Asmaa) | TPA's Allocation: "Comp. Freedom"</t>
  </si>
  <si>
    <t>Pending | TPA's Allocation: "Comp. Freedom"</t>
  </si>
  <si>
    <t>Nancy</t>
  </si>
  <si>
    <t>Ahmad</t>
  </si>
  <si>
    <t>Inducation NS / On-B | 2nd Ops "Freedom" | 3rd Ops "ECA" | TPA's Allocation: "Nearshore"</t>
  </si>
  <si>
    <t>Simulation or Testing Failure TR / Rejoined ECA again on the 19th of Feb.</t>
  </si>
  <si>
    <t>TPA's Allocation: "Comp. Expedia"</t>
  </si>
  <si>
    <t>No answer | Pending Glovo test on the 4th of Mar. at 10PM | NS / Not recommended to rejoin</t>
  </si>
  <si>
    <t>Exit closing | Blacklisted / Denied allowance</t>
  </si>
  <si>
    <t>Glovo</t>
  </si>
  <si>
    <t>Left Du | Rejoined Glovo on the 6th of Mar.</t>
  </si>
  <si>
    <t>Ahmed Mohamed Abdelfattah Abdelkawy</t>
  </si>
  <si>
    <t xml:space="preserve">Undergrad </t>
  </si>
  <si>
    <t>01555351622</t>
  </si>
  <si>
    <t>Dina Mohyeldin Ahmed Mohamed Hassan</t>
  </si>
  <si>
    <t>01005743038</t>
  </si>
  <si>
    <t>Youstina Agaiby Labib Hanin</t>
  </si>
  <si>
    <t>01202596732</t>
  </si>
  <si>
    <t>Youssef Mohamed Hamed Galal</t>
  </si>
  <si>
    <t>01067651405</t>
  </si>
  <si>
    <t>Hamsa Mahmoud Mohamed Abdelhay Leila</t>
  </si>
  <si>
    <t>01021456011</t>
  </si>
  <si>
    <t>Mostafa Bahaaeldin Mostafa Ahmed Shemis</t>
  </si>
  <si>
    <t>01111286467</t>
  </si>
  <si>
    <t>Mohamed Shahat Mohyeldin Mohsen</t>
  </si>
  <si>
    <t>01021085050</t>
  </si>
  <si>
    <t>Ismail Hassanin Mohamed Hassanin</t>
  </si>
  <si>
    <t>01093539967</t>
  </si>
  <si>
    <t>CIC</t>
  </si>
  <si>
    <t>Aya Ammar Zaki Ibrahim Elbatran</t>
  </si>
  <si>
    <t>01019549062</t>
  </si>
  <si>
    <t>Nahla Azmy Abdelaziz Hefnawy</t>
  </si>
  <si>
    <t>01022646636</t>
  </si>
  <si>
    <t>Michel Fawzy Attia Rezk</t>
  </si>
  <si>
    <t>01221954292</t>
  </si>
  <si>
    <t>Abdelrahman Tharwat Elsayed Eltahan</t>
  </si>
  <si>
    <t>01021841800</t>
  </si>
  <si>
    <t>Fady Alaa Fawzy Matta</t>
  </si>
  <si>
    <t>01223289749</t>
  </si>
  <si>
    <t>Ahmed Gamal Ali Teleb</t>
  </si>
  <si>
    <t>01002581190</t>
  </si>
  <si>
    <t>Ahmed Mohamed Youssef Abdelbaset</t>
  </si>
  <si>
    <t>01147124844</t>
  </si>
  <si>
    <t>Nourhan Mahous</t>
  </si>
  <si>
    <t>Bassem Ehab Abdelaziz Omar</t>
  </si>
  <si>
    <t>01001387576</t>
  </si>
  <si>
    <t>Mostafa Ahmed Ahd Mohamed El Hossainy</t>
  </si>
  <si>
    <t>01020064219</t>
  </si>
  <si>
    <t>Not interested | Not recommended to rejoin | Denied allowance</t>
  </si>
  <si>
    <t>Better offer / Voda UK | No recommended to rejoin | Denied allowance</t>
  </si>
  <si>
    <t>Refused to rejoin | Not recommended |Denied allowance</t>
  </si>
  <si>
    <t>Joined Voda | Not recommended to rejoin | Denied allowance</t>
  </si>
  <si>
    <t xml:space="preserve">Ahmed Ezzeldin Mahmoud Abdelrahman </t>
  </si>
  <si>
    <t>01064530519</t>
  </si>
  <si>
    <t>Abdalrahman Alameen Ismail</t>
  </si>
  <si>
    <t>01030551335</t>
  </si>
  <si>
    <t>Adel Mohamed Sherif Hassanin</t>
  </si>
  <si>
    <t>01019878592</t>
  </si>
  <si>
    <t>Muhab Adel Ahmed Ahmed Sholah</t>
  </si>
  <si>
    <t>01003881181</t>
  </si>
  <si>
    <t>Nada Hassan Saad Abdelhamid</t>
  </si>
  <si>
    <t>01110445543</t>
  </si>
  <si>
    <t>Nourhan Hesham Hassan Mohamed Elgenidy</t>
  </si>
  <si>
    <t>01030731254</t>
  </si>
  <si>
    <t>Hamdy Mohamed Aborawash Ahmed</t>
  </si>
  <si>
    <t>01003679429</t>
  </si>
  <si>
    <t>Abdelrahman Mohamed Hassan Abdelaziz</t>
  </si>
  <si>
    <t>Undergrad</t>
  </si>
  <si>
    <t>01009084842</t>
  </si>
  <si>
    <t>Mahmoud Hesham Mohamed Mohamed Hashem</t>
  </si>
  <si>
    <t>01100331918</t>
  </si>
  <si>
    <t>Mohamed Mohsen Abdelkerim Hassan Bahr</t>
  </si>
  <si>
    <t>01129463590</t>
  </si>
  <si>
    <t>Nourhan Mahrouz</t>
  </si>
  <si>
    <t>Yasmine Hosny Mosaad Elsayed Ghazzy</t>
  </si>
  <si>
    <t>01100115512</t>
  </si>
  <si>
    <t>Ahmed Mohamed Mohamed Fathi</t>
  </si>
  <si>
    <t>01279796403</t>
  </si>
  <si>
    <t>Marwa BadrEl Din AbdElGhafar Ismail</t>
  </si>
  <si>
    <t>Huda Tahir Ababorr</t>
  </si>
  <si>
    <t>EP1442432</t>
  </si>
  <si>
    <t>01156610024</t>
  </si>
  <si>
    <t>Yehia Mohamed Mohamed Ahmed</t>
  </si>
  <si>
    <t>01009724723</t>
  </si>
  <si>
    <t>Reem Ahmed Mohamed Ibrahim</t>
  </si>
  <si>
    <t>01027162456</t>
  </si>
  <si>
    <t>Abdelrahman Desouky Nasr Zidan</t>
  </si>
  <si>
    <t>01023099006</t>
  </si>
  <si>
    <t>Abdallah Hassan Sayed Abdelaal</t>
  </si>
  <si>
    <t>01006970856</t>
  </si>
  <si>
    <t>Mahmoud Ashraf Mahmoud Sayed</t>
  </si>
  <si>
    <t>01033075307</t>
  </si>
  <si>
    <t>Ahmed Mohamed Hussein Hassan</t>
  </si>
  <si>
    <t>01062748692</t>
  </si>
  <si>
    <t>Roba Samy Ahmed Mohamed</t>
  </si>
  <si>
    <t>01001598380</t>
  </si>
  <si>
    <t>Samy Fawzy Samy Hanna</t>
  </si>
  <si>
    <t>01202818292</t>
  </si>
  <si>
    <t>Ahmed Mohamed Saleh Mahmoud</t>
  </si>
  <si>
    <t>01062079713</t>
  </si>
  <si>
    <t>Hager Atef Gamal Desouky</t>
  </si>
  <si>
    <t>01129140208</t>
  </si>
  <si>
    <t>Roba Samy Abdellatif Mansour</t>
  </si>
  <si>
    <t>01061585544</t>
  </si>
  <si>
    <t>Hassan Abdelbaset Hassan Moustafa</t>
  </si>
  <si>
    <t>01100056175</t>
  </si>
  <si>
    <t>Zeineldin Khaled Bekhit Tawfeek</t>
  </si>
  <si>
    <t>01009500011</t>
  </si>
  <si>
    <t>Mostafa Magdy Hafez Eltawdy</t>
  </si>
  <si>
    <t>01027071005</t>
  </si>
  <si>
    <t>Khaled Mohamed Abdallah Amer</t>
  </si>
  <si>
    <t>01060001184</t>
  </si>
  <si>
    <t>Abeer Eid Ahmed Hussein</t>
  </si>
  <si>
    <t>01147405481</t>
  </si>
  <si>
    <t>Adnan Nasser Mansoor</t>
  </si>
  <si>
    <t>03118247</t>
  </si>
  <si>
    <t>01227616810</t>
  </si>
  <si>
    <t>Khaled Abdelsattar Salama Masry</t>
  </si>
  <si>
    <t>01007855188</t>
  </si>
  <si>
    <t>Ezz</t>
  </si>
  <si>
    <t>Al Fursan /Not interested | She got another offer/job</t>
  </si>
  <si>
    <t>Failed Glovo test | Al Fursan /RTS /El Sabee'h (7)</t>
  </si>
  <si>
    <t>Pending Fursan / Not interested | Wants offshore only</t>
  </si>
  <si>
    <t>Failed Glovo test | Not interested /Better offer</t>
  </si>
  <si>
    <t>Failed Glovo test | Pending Fursan/ Rejects calls</t>
  </si>
  <si>
    <t>Failed Glovo test | Al Fursan /RTS /6th of Oct</t>
  </si>
  <si>
    <t>DU / No WFR yet</t>
  </si>
  <si>
    <t>DU / Not interested to join anymore</t>
  </si>
  <si>
    <t>DU / Not interested</t>
  </si>
  <si>
    <t>DU/ RTS/ Tuesday | No WFR yet</t>
  </si>
  <si>
    <t>TPA's Allocation: "Nearshore" | Failed TICO test twice</t>
  </si>
  <si>
    <t>Eslam Emad Adel Fahmy Abdelrahman</t>
  </si>
  <si>
    <t>01013477609</t>
  </si>
  <si>
    <t>Omnia Ragab Ahmed Hafez</t>
  </si>
  <si>
    <t>01018543484</t>
  </si>
  <si>
    <t>Omar Hamed Abdelaziz Hamed</t>
  </si>
  <si>
    <t>01003844445</t>
  </si>
  <si>
    <t>Hana Youeil Kamel Gad</t>
  </si>
  <si>
    <t>01277027599</t>
  </si>
  <si>
    <t>Salsabil Nabil Quisny Mohamed</t>
  </si>
  <si>
    <t>01229441691</t>
  </si>
  <si>
    <t>Meram Maged Mahmoud Hussein Douhan</t>
  </si>
  <si>
    <t>P00148380</t>
  </si>
  <si>
    <t>01017172447</t>
  </si>
  <si>
    <t>Heba Mahmoud Abdelhafez Mohamed</t>
  </si>
  <si>
    <t>01015662075</t>
  </si>
  <si>
    <t>Mariam Osama Abdelrahman Mohamed</t>
  </si>
  <si>
    <t>01020071952</t>
  </si>
  <si>
    <t>Ismail Marie Abdallah Ismail</t>
  </si>
  <si>
    <t>01112638789</t>
  </si>
  <si>
    <t>Nouran Khaled Farouk Omran</t>
  </si>
  <si>
    <t>01129928601</t>
  </si>
  <si>
    <t>Mayada Ashraf Mohamed Aboelmagd</t>
  </si>
  <si>
    <t>01060658644</t>
  </si>
  <si>
    <t>Rehab Mohamed Abbas Gouda</t>
  </si>
  <si>
    <t>01111558998</t>
  </si>
  <si>
    <t>Sara Abdelrahman Mohamed Mahmoud Abdelaal</t>
  </si>
  <si>
    <t>01066225459</t>
  </si>
  <si>
    <t>Nourhan Fathi Mohammed Sakr</t>
  </si>
  <si>
    <t>01011209647</t>
  </si>
  <si>
    <t>DU</t>
  </si>
  <si>
    <t>Failed Glovo test | Al Fursan /RTS | DU</t>
  </si>
  <si>
    <t>Rana Abdelnasser Ahmed Hassan</t>
  </si>
  <si>
    <t>01008270875</t>
  </si>
  <si>
    <t>Mennatullah Alaaeldin Mohamed Shoukry</t>
  </si>
  <si>
    <t>01061326391</t>
  </si>
  <si>
    <t>Omima Nabih Abdelhady Elalfy</t>
  </si>
  <si>
    <t>01007641070</t>
  </si>
  <si>
    <t>Renad Hussein Mokhles Hussein</t>
  </si>
  <si>
    <t>01010572170</t>
  </si>
  <si>
    <t>Farida Ayman Youssef Mahmoud</t>
  </si>
  <si>
    <t>01125762051</t>
  </si>
  <si>
    <t>Mahmoud Abdallah Ashour Ahmed Marie</t>
  </si>
  <si>
    <t>Gap year</t>
  </si>
  <si>
    <t>Ahmed Osama Mohamed Said Alanany</t>
  </si>
  <si>
    <t>01004791123</t>
  </si>
  <si>
    <t>Omnia Yasser Abdelmoniem Mohamed Elashry</t>
  </si>
  <si>
    <t>01116747727</t>
  </si>
  <si>
    <t>Ahmed Ayman Mohamed Rashad</t>
  </si>
  <si>
    <t>01014312495</t>
  </si>
  <si>
    <t>Hasnaa Mohamed Hamza Abdelhady</t>
  </si>
  <si>
    <t>01127969909</t>
  </si>
  <si>
    <t>Mohamed Moussa Solyman Abdalla</t>
  </si>
  <si>
    <t>P00120506</t>
  </si>
  <si>
    <t>01033247742</t>
  </si>
  <si>
    <t>Enas Abdelaaty Yehia Elhefny</t>
  </si>
  <si>
    <t>01181866848</t>
  </si>
  <si>
    <t>Ahmed Ahmed Mohamed Keshta</t>
  </si>
  <si>
    <t>01111285472</t>
  </si>
  <si>
    <t>Ahmed Samir Abdelfattah Mansour</t>
  </si>
  <si>
    <t>01147577071</t>
  </si>
  <si>
    <t>A2-W5</t>
  </si>
  <si>
    <t xml:space="preserve"> Nearshore</t>
  </si>
  <si>
    <t>TPA's Allocation "Rejoin"</t>
  </si>
  <si>
    <t>Moamen Mohsen Ahmed Zaki</t>
  </si>
  <si>
    <t>01005257198</t>
  </si>
  <si>
    <t>Mohamed Ali Abdelrahman Abdelrahman</t>
  </si>
  <si>
    <t>Dropped out</t>
  </si>
  <si>
    <t>01203672721</t>
  </si>
  <si>
    <t>Ashrakat Medhat Mohamed Moussa</t>
  </si>
  <si>
    <t>01122422703</t>
  </si>
  <si>
    <t>Ahmed Sadek Mohamed Ibrahim</t>
  </si>
  <si>
    <t>01097807297</t>
  </si>
  <si>
    <t>Mohanad Mohamed Ibrahim Ibrahim</t>
  </si>
  <si>
    <t>01153340035</t>
  </si>
  <si>
    <t>Moustafa Hassan Saleh Mahmoud Elbarbary</t>
  </si>
  <si>
    <t>01061119281</t>
  </si>
  <si>
    <t>Taymor</t>
  </si>
  <si>
    <t>Jenoor Ehab Hassanin Mohamed Abbas</t>
  </si>
  <si>
    <t>01120862210</t>
  </si>
  <si>
    <t>Mazen Ayman Turkey Ahmed</t>
  </si>
  <si>
    <t>01111127617</t>
  </si>
  <si>
    <t>Walkin</t>
  </si>
  <si>
    <t>Mourad Abdelaziz Mohamed Mokhtar</t>
  </si>
  <si>
    <t>01066802438</t>
  </si>
  <si>
    <t>Ahmed Essam Ibrahim Ahmed</t>
  </si>
  <si>
    <t>01118971813</t>
  </si>
  <si>
    <t>Omar Mokhtar Mansour Mohamed Halawa</t>
  </si>
  <si>
    <t>01113289024</t>
  </si>
  <si>
    <t>Farah Ahmed Shehada Ibrahim Zaareb</t>
  </si>
  <si>
    <t>01203798017</t>
  </si>
  <si>
    <t>Eman Fayez Younes Elshenawy</t>
  </si>
  <si>
    <t>01061415018</t>
  </si>
  <si>
    <t>Ahmed Mohamed Medhat Ahmed Elswify</t>
  </si>
  <si>
    <t>01006202190</t>
  </si>
  <si>
    <t>Comments</t>
  </si>
  <si>
    <t>Unreachable | Al Fursan /RTS /Shubra | Last update was Mar 20th</t>
  </si>
  <si>
    <t>Dismissed from PK due to a vision problem</t>
  </si>
  <si>
    <t>TPA's Allocation "Rejoin" | Induction "No show"</t>
  </si>
  <si>
    <t>Ahmed Abdelnasser Ahmed Youssef</t>
  </si>
  <si>
    <t>01019091146</t>
  </si>
  <si>
    <t>Mostafa Ali Abdelkader Tolimat</t>
  </si>
  <si>
    <t>01092272376</t>
  </si>
  <si>
    <t>Mohamed Abozaid Mohamed Ismail</t>
  </si>
  <si>
    <t>01026478364</t>
  </si>
  <si>
    <t>Abdelrahman Ahmed Elsayed Elsayed</t>
  </si>
  <si>
    <t>01153922023</t>
  </si>
  <si>
    <t>Christina Tharwat Helmy Fares</t>
  </si>
  <si>
    <t>01274511138</t>
  </si>
  <si>
    <t>Amr Rashad Mohamed Abdelhamid</t>
  </si>
  <si>
    <t>01099067909</t>
  </si>
  <si>
    <t>Ahmed Abdelbaset Ahmed Elsabry</t>
  </si>
  <si>
    <t>01159399487</t>
  </si>
  <si>
    <t>Mohamed Mahdy Aboelela Abdelrehim</t>
  </si>
  <si>
    <t>01120841496</t>
  </si>
  <si>
    <t>Ahmed Sayed Mohamed Hassan</t>
  </si>
  <si>
    <t>01153025844</t>
  </si>
  <si>
    <t>Malak Ashraf Abdelmohsen Amer</t>
  </si>
  <si>
    <t>01148475406</t>
  </si>
  <si>
    <t>Nourhan Sobhy Abdellatif Mansour</t>
  </si>
  <si>
    <t>01009226866</t>
  </si>
  <si>
    <t>Nouran Shoib</t>
  </si>
  <si>
    <t>Mohamed Abdelrazek Mohamed Hassan</t>
  </si>
  <si>
    <t>01019708492</t>
  </si>
  <si>
    <t>Comp. WU</t>
  </si>
  <si>
    <t>No call / No show on exit day</t>
  </si>
  <si>
    <t>Dismissed from TPA yet he had WFR for Expedia</t>
  </si>
  <si>
    <t>Contact Number</t>
  </si>
  <si>
    <t>Simulation or Testing Failure TR | Eligible for Rehire</t>
  </si>
  <si>
    <t>Du | Simulation or Testing Failure TR | Eligible for Rehire</t>
  </si>
  <si>
    <t>Du Ent. | Simulation or Testing Failure TR | Transferred to iSoft on Mar 31st of 19</t>
  </si>
  <si>
    <t>Failed TICO test - Pending on re-test / Failed again | Eligible for Rehire</t>
  </si>
  <si>
    <t>WU/UK Induction: Had swimming classes and couldn't commit | ECA/ Failed TICO test 3 times | Eligible for Rehire</t>
  </si>
  <si>
    <t>Rejects calls | Pending Glovo test results / Failed | Al Fursan /RTS /El Qatamya | Du / Induction NS</t>
  </si>
  <si>
    <t>Glovo / Not interested</t>
  </si>
  <si>
    <t>RTS | Removed / Needs fixed days off &amp; can't stay after 7pm</t>
  </si>
  <si>
    <t>UG with 2 subjects &amp; he has traveling plans / Removed</t>
  </si>
  <si>
    <t>Attended induction</t>
  </si>
  <si>
    <t>Induction NS</t>
  </si>
  <si>
    <t>Glovo (Exception)</t>
  </si>
  <si>
    <t>Dropped out the rejoin class</t>
  </si>
  <si>
    <t>Mina Sameh Halim Awadallah</t>
  </si>
  <si>
    <t>01228790620</t>
  </si>
  <si>
    <t>Aya Mahmoud Samy Abdelmoniem Saleh</t>
  </si>
  <si>
    <t>01002799419</t>
  </si>
  <si>
    <t>Mohamed Ahmed Helmy Awad Shalaby</t>
  </si>
  <si>
    <t>01066417527</t>
  </si>
  <si>
    <t>Mohamed Sayed Hussein Nosier</t>
  </si>
  <si>
    <t>01011255252</t>
  </si>
  <si>
    <t>Ahmed Mahmoud Ahmed Younes</t>
  </si>
  <si>
    <t>01003576587</t>
  </si>
  <si>
    <t>Mennatullah Magdy Ahmed Morsy</t>
  </si>
  <si>
    <t>01009296753</t>
  </si>
  <si>
    <t>Hadeer Mohamed Abdelazim Ibrahim</t>
  </si>
  <si>
    <t>01010941888</t>
  </si>
  <si>
    <t>Emad Mostafa Abdelsalam Abdelhady</t>
  </si>
  <si>
    <t>01156682270</t>
  </si>
  <si>
    <t>Zienab Samir Mohamed Saleh Omar</t>
  </si>
  <si>
    <t>01123333695</t>
  </si>
  <si>
    <t>Mohab Nabil Ahmed Shehata Eldeabes</t>
  </si>
  <si>
    <t>01156455573</t>
  </si>
  <si>
    <t>Eslam Rashad Ali Elsayed</t>
  </si>
  <si>
    <t>01003680496</t>
  </si>
  <si>
    <t>Manar Said Soliman Said</t>
  </si>
  <si>
    <t>01125867017</t>
  </si>
  <si>
    <t>Ahmed Abbas Mohamed Farouk</t>
  </si>
  <si>
    <t>01005554436</t>
  </si>
  <si>
    <t>Abdelmalik Djouama</t>
  </si>
  <si>
    <t>01202386519</t>
  </si>
  <si>
    <t>Sherbiny</t>
  </si>
  <si>
    <t>Asmaa Ayman Ahmed Elnabawy</t>
  </si>
  <si>
    <t>01158195392</t>
  </si>
  <si>
    <t>Mahmoud Karem Mohamed Elmaamly</t>
  </si>
  <si>
    <t>01090075187</t>
  </si>
  <si>
    <t>Mohamed Salaheldin Sultan Hassan</t>
  </si>
  <si>
    <t>01092951196</t>
  </si>
  <si>
    <t>Mahmoud Emad Mahmoud Mohamed</t>
  </si>
  <si>
    <t>01027273258</t>
  </si>
  <si>
    <t>Sara Sayed Saber Mohamed</t>
  </si>
  <si>
    <t>01092086974</t>
  </si>
  <si>
    <t xml:space="preserve">Yasmine Kurdy Mahmoud Abdelrahman </t>
  </si>
  <si>
    <t>01140244141</t>
  </si>
  <si>
    <t>Sherif Osama Ahmed Farid</t>
  </si>
  <si>
    <t>01014104449</t>
  </si>
  <si>
    <t>Ahmed Salah Ali Badawy</t>
  </si>
  <si>
    <t>01120355308</t>
  </si>
  <si>
    <t>Sherif Ramadan Hamadi Mohamed</t>
  </si>
  <si>
    <t>01117911436</t>
  </si>
  <si>
    <t>Awad Osman Awad Osman</t>
  </si>
  <si>
    <t>P04159216</t>
  </si>
  <si>
    <t>Amr Abdeldaim Mohamed Abdeldaim</t>
  </si>
  <si>
    <t>Heba Adel Sadek Seidhom</t>
  </si>
  <si>
    <t>01128029073</t>
  </si>
  <si>
    <t>01550091772</t>
  </si>
  <si>
    <t>01222244362</t>
  </si>
  <si>
    <t xml:space="preserve">Ahmed Abbas Abdelazim Ahmed </t>
  </si>
  <si>
    <t>01069481171</t>
  </si>
  <si>
    <t>Haitham Mohamed Madbouly Mohamed</t>
  </si>
  <si>
    <t>01120219977</t>
  </si>
  <si>
    <t>Open day</t>
  </si>
  <si>
    <t>Nada Khedr Abdelazim Ahmed</t>
  </si>
  <si>
    <t>01110937214</t>
  </si>
  <si>
    <t>Mona Mahmoud Mohamed Abdelzaher</t>
  </si>
  <si>
    <t>01023427222</t>
  </si>
  <si>
    <t xml:space="preserve">Nourhan Ali Mahrous Mahmoud </t>
  </si>
  <si>
    <t>01117411215</t>
  </si>
  <si>
    <t>Mahmoud Samir Mohamed Saleh</t>
  </si>
  <si>
    <t>01156666740</t>
  </si>
  <si>
    <t>Sara Mokhtar Qurany Aboelela</t>
  </si>
  <si>
    <t>01270455577</t>
  </si>
  <si>
    <t>Mohamed Hatem Hosny Sayed</t>
  </si>
  <si>
    <t>01000782912</t>
  </si>
  <si>
    <t>Omar Ahmed Hussein Ahmed</t>
  </si>
  <si>
    <t>01118562299</t>
  </si>
  <si>
    <t>A2-W6</t>
  </si>
  <si>
    <t>Kirollos Samir Youssef Saeid</t>
  </si>
  <si>
    <t>01000561574</t>
  </si>
  <si>
    <t>no</t>
  </si>
  <si>
    <t>Mohamed Abdelbadea Mohamed Mohamed</t>
  </si>
  <si>
    <t>01005511482</t>
  </si>
  <si>
    <t>Ali Abdelkhalea Abdallah Aboelsaad</t>
  </si>
  <si>
    <t>01006762862</t>
  </si>
  <si>
    <t>Mohamed Gomaa Mohamed Elwardany</t>
  </si>
  <si>
    <t>01065577107</t>
  </si>
  <si>
    <t>Du Enterprise</t>
  </si>
  <si>
    <t>Maged Sobhy Ragheb Gergis</t>
  </si>
  <si>
    <t>01002423044</t>
  </si>
  <si>
    <t>yes</t>
  </si>
  <si>
    <t xml:space="preserve">Nariman Magdy Mohamed Abdallah </t>
  </si>
  <si>
    <t>01096045191</t>
  </si>
  <si>
    <t xml:space="preserve">Mohamed Salaheldin Hosny Hafez </t>
  </si>
  <si>
    <t>01025342749</t>
  </si>
  <si>
    <t>Adham Magdy Mourad Abdelhamid</t>
  </si>
  <si>
    <t>01027727508</t>
  </si>
  <si>
    <t>Raghda Essam Sayed Abdelaziz</t>
  </si>
  <si>
    <t>01100583388</t>
  </si>
  <si>
    <t>Yasmine Khaled Abdelhalim Ismail</t>
  </si>
  <si>
    <t>01067584865</t>
  </si>
  <si>
    <t>Moaz Ahmed Ezzo Ahmed</t>
  </si>
  <si>
    <t>01145601846</t>
  </si>
  <si>
    <t>Left / Didn't join R35</t>
  </si>
  <si>
    <t>TP Related Issue TR / Eligible for Rehire Apr 19th</t>
  </si>
  <si>
    <t>Attended induction - Operation / No show</t>
  </si>
  <si>
    <t>Glovo / Downsizing OP</t>
  </si>
  <si>
    <t>TPA's Allocation "Rejoin" / Family/Personal Issue TR</t>
  </si>
  <si>
    <t>TPA's Allocation "Freedom" on Mar 20th of 19 / Family/Personal Issue TR</t>
  </si>
  <si>
    <t>Du / Family/Personal Issue TR</t>
  </si>
  <si>
    <t>Abdallah Loai Mohamed Dawy</t>
  </si>
  <si>
    <t>01200657875</t>
  </si>
  <si>
    <t>Sherbiny </t>
  </si>
  <si>
    <t>Youmna Ghazaly Abdelaal Ghazaly</t>
  </si>
  <si>
    <t>01159448840</t>
  </si>
  <si>
    <t>Omar Khaled Salaheldin Shoukry</t>
  </si>
  <si>
    <t>Gap Year </t>
  </si>
  <si>
    <t>01009344564</t>
  </si>
  <si>
    <t>Mohamed Roushdy Ali Hussein Eldor</t>
  </si>
  <si>
    <t>01014444850</t>
  </si>
  <si>
    <t>Eslam Hossam Ragab Abdelhamid</t>
  </si>
  <si>
    <t>01118286028</t>
  </si>
  <si>
    <t>Nourhan Mahrous </t>
  </si>
  <si>
    <t>Rawan Mohamed Abdelkhalea Abdelwahed</t>
  </si>
  <si>
    <t>01005529496</t>
  </si>
  <si>
    <t>Norhan Mahrous</t>
  </si>
  <si>
    <t>Ehab Sekotory Ismail Mohamed Elmahdy</t>
  </si>
  <si>
    <t>Mohamed Hany Hassan Hussein</t>
  </si>
  <si>
    <t>01005148852</t>
  </si>
  <si>
    <t>Karim Mohamed Mohamed Ibrahim</t>
  </si>
  <si>
    <t>01006403988</t>
  </si>
  <si>
    <t>Ahmed Mohamed Mohamed Gomaa Abdelsalam</t>
  </si>
  <si>
    <t>01062944904</t>
  </si>
  <si>
    <t>Ayman Abdallah Abdelhamid Khalil Waziery</t>
  </si>
  <si>
    <t>01024477267</t>
  </si>
  <si>
    <t xml:space="preserve">Mohamed Hussien Abdelrahman Ahmed Mostfa  </t>
  </si>
  <si>
    <t>01128678429</t>
  </si>
  <si>
    <t xml:space="preserve">Osama Ibrahim Seraj Aman </t>
  </si>
  <si>
    <t>K0185364</t>
  </si>
  <si>
    <t>Drop out </t>
  </si>
  <si>
    <t>01094231725</t>
  </si>
  <si>
    <t>Not interested / On-B / (Not sure how he ended up in WU - May 20th)</t>
  </si>
  <si>
    <t>Du Ent. / Not ready / Joined WU</t>
  </si>
  <si>
    <t>TPA's Allocation "Rejoin" / Simulation or Testing Failure TR / Joined Du Ent on May 12th</t>
  </si>
  <si>
    <t>01147565750</t>
  </si>
  <si>
    <t>Mina Wasfy Fathallah Shoukry</t>
  </si>
  <si>
    <t>01228638631</t>
  </si>
  <si>
    <t>Ahmed Nabil Abdelhafiz Ahmed</t>
  </si>
  <si>
    <t xml:space="preserve">Dropped out </t>
  </si>
  <si>
    <t>01204893001</t>
  </si>
  <si>
    <t>Marco Emad Fathallah Farid</t>
  </si>
  <si>
    <t>01017369300</t>
  </si>
  <si>
    <t>Nouran Effat Ramadan Mohamed</t>
  </si>
  <si>
    <t>01128613943</t>
  </si>
  <si>
    <t>Mahmoud Ibrahim Wahby Omar</t>
  </si>
  <si>
    <t>01011081441</t>
  </si>
  <si>
    <t>Sherine Sayed Ibrahim Sayed</t>
  </si>
  <si>
    <t>01095666948</t>
  </si>
  <si>
    <t>Ahmed Sayed Abdallah Hassanin</t>
  </si>
  <si>
    <t>01200531889</t>
  </si>
  <si>
    <t>Mohamed Sayed Ahmed Ibrahim Raafat</t>
  </si>
  <si>
    <t>01140911197</t>
  </si>
  <si>
    <t>Mostafa Ismail Mostafa Kira</t>
  </si>
  <si>
    <t>01122343455</t>
  </si>
  <si>
    <t>Mohamed Mourad Mohamed Mohamed Ahmed Ali</t>
  </si>
  <si>
    <t>01141926207</t>
  </si>
  <si>
    <t>Abdelrahman Samir Hassan Abdelnaby</t>
  </si>
  <si>
    <t>01015712771</t>
  </si>
  <si>
    <t>Mostafa Mohamed Emam Emam</t>
  </si>
  <si>
    <t>01030225924</t>
  </si>
  <si>
    <t>David Tarek Samir Mounir</t>
  </si>
  <si>
    <t>01555205737</t>
  </si>
  <si>
    <t>Osama Mahmoud Mohamed Mahmoud</t>
  </si>
  <si>
    <t>01022446915</t>
  </si>
  <si>
    <t>Ahmed Said Ibrahim Hassan Khalil</t>
  </si>
  <si>
    <t>01111286701</t>
  </si>
  <si>
    <t>Peter Victor Adly Arsanious</t>
  </si>
  <si>
    <t>01210098194</t>
  </si>
  <si>
    <t>Amr Mohamed Ibrahim Eldesouky Mohamed</t>
  </si>
  <si>
    <t>01012490955</t>
  </si>
  <si>
    <t>Osama Mohamed Elmorsy Abdou</t>
  </si>
  <si>
    <t>01063383035</t>
  </si>
  <si>
    <t>Glovo / Getting married and traveling / Removed by on-boarding team | Joined SBD</t>
  </si>
  <si>
    <t>Joined SBD</t>
  </si>
  <si>
    <t>Comp. Du Enterprise</t>
  </si>
  <si>
    <t>Left rejoiner class</t>
  </si>
  <si>
    <t>Du</t>
  </si>
  <si>
    <t>Dina Abdelhamid Mohamed Fawzy</t>
  </si>
  <si>
    <t>01125400296</t>
  </si>
  <si>
    <t>Ahmed Ezzat Sabry Mohamed</t>
  </si>
  <si>
    <t>01021835739</t>
  </si>
  <si>
    <t>TPA Open Day</t>
  </si>
  <si>
    <t>Marwa Gaafar Ali Hamed</t>
  </si>
  <si>
    <t>01140867714</t>
  </si>
  <si>
    <t>Mohamed Ashraf Abdelghafar Mubarak</t>
  </si>
  <si>
    <t>01016703988</t>
  </si>
  <si>
    <t>Mahmoud Abdelfattah Mahmoud Ezzat</t>
  </si>
  <si>
    <t xml:space="preserve">01141678133 </t>
  </si>
  <si>
    <t>Ahmed Mohamed Nabil Abdelmegid</t>
  </si>
  <si>
    <t>01113740033</t>
  </si>
  <si>
    <t>TPA Open day</t>
  </si>
  <si>
    <t>Mostafa Elsayed Abdelsalam Ahmed Soliman</t>
  </si>
  <si>
    <t>01009650136</t>
  </si>
  <si>
    <t xml:space="preserve">Fadwa Mohamed Mohamed Sayed </t>
  </si>
  <si>
    <t>01030783153</t>
  </si>
  <si>
    <t>Bassem Farouk Mohamed Elsherbiny</t>
  </si>
  <si>
    <t>01020511811</t>
  </si>
  <si>
    <t>sherbiny</t>
  </si>
  <si>
    <t>Ahmed Mostafa Mahmoud Mohamed</t>
  </si>
  <si>
    <t>01558011529</t>
  </si>
  <si>
    <t>Azza Nasser Mohamed Shawky Elwalily</t>
  </si>
  <si>
    <t>01000450085</t>
  </si>
  <si>
    <t>Failed Glovo test | DU / Not ready | Unreachable</t>
  </si>
  <si>
    <t>Not interested</t>
  </si>
  <si>
    <t>Glovo / Induction NS / Will join on the 18th of Apr | Unreachable</t>
  </si>
  <si>
    <t>Accepted Nahdi</t>
  </si>
  <si>
    <t>Not interested / Mohandseen only</t>
  </si>
  <si>
    <t>Not fluent in Arabic</t>
  </si>
  <si>
    <t>Accepted Agtheia</t>
  </si>
  <si>
    <t>Rejoined LLS by TA on Jun 3rd</t>
  </si>
  <si>
    <t>Omar Hanafy Abdelaziz Mahmoud</t>
  </si>
  <si>
    <t>01122295302</t>
  </si>
  <si>
    <t>Omar Haitham Zakaria Ali</t>
  </si>
  <si>
    <t>01095795390</t>
  </si>
  <si>
    <t>Ahmed Shaaban Ali Abdallah</t>
  </si>
  <si>
    <t>01100444879</t>
  </si>
  <si>
    <t>Yara Hossam Ahmed Ghareeb</t>
  </si>
  <si>
    <t>01022868226</t>
  </si>
  <si>
    <t>Eslam Khedr Sebaey Khedr</t>
  </si>
  <si>
    <t>01100474615</t>
  </si>
  <si>
    <t>Mohamed Ahmed Hassan Ahmed Fayad</t>
  </si>
  <si>
    <t>01288866421</t>
  </si>
  <si>
    <t>Tammam Mohamed Tammam Mohamed</t>
  </si>
  <si>
    <t>01127210324</t>
  </si>
  <si>
    <t>Shehab Mohamed Hamouda Ibrahim</t>
  </si>
  <si>
    <t>01112033183</t>
  </si>
  <si>
    <t>Aya Hamdy Hussein Elsayed</t>
  </si>
  <si>
    <t>01066401837</t>
  </si>
  <si>
    <t>Mayar Adel Abdelalim Shaheen</t>
  </si>
  <si>
    <t>01060865320</t>
  </si>
  <si>
    <t>Ahmed Shaaban Elsayed Sayed</t>
  </si>
  <si>
    <t>01144818163</t>
  </si>
  <si>
    <t>Ahmed Emad Talaat Fathallah</t>
  </si>
  <si>
    <t>01143552005</t>
  </si>
  <si>
    <t>Sara Khaled Mohamed Metwaly</t>
  </si>
  <si>
    <t>01112856474</t>
  </si>
  <si>
    <t>Khaled Mohamed Mohamed Ali Attia</t>
  </si>
  <si>
    <t>01118419384</t>
  </si>
  <si>
    <t>Olivia Nagy Wahba Soliman</t>
  </si>
  <si>
    <t>01223629134</t>
  </si>
  <si>
    <t>Mohamed Shehata Abdelmegid Moharam</t>
  </si>
  <si>
    <t>TPA open day</t>
  </si>
  <si>
    <t>01149683886</t>
  </si>
  <si>
    <t>Michael Adel Farid Gendy</t>
  </si>
  <si>
    <t>01022917664</t>
  </si>
  <si>
    <t>Donia</t>
  </si>
  <si>
    <t>Ahmed Mohamed Ahmed Hassan Rashed</t>
  </si>
  <si>
    <t>01028875346</t>
  </si>
  <si>
    <t>Mohamed Gamal Metwally Mohamed Arafa</t>
  </si>
  <si>
    <t>01157549027</t>
  </si>
  <si>
    <t>Nada Khaled Mostafa Farag Elsayed</t>
  </si>
  <si>
    <t>01016895649</t>
  </si>
  <si>
    <t>Eslam Mohamed Abdo Hassan</t>
  </si>
  <si>
    <t>01007901264</t>
  </si>
  <si>
    <t>Fathi Sayed Ahmed Amin Elabd</t>
  </si>
  <si>
    <t>01200818136</t>
  </si>
  <si>
    <t>Mohamed Gamal Sadek Zalat</t>
  </si>
  <si>
    <t>01126272936</t>
  </si>
  <si>
    <t>Aya</t>
  </si>
  <si>
    <t>Sciadi Marcandelli</t>
  </si>
  <si>
    <t>YB2611024</t>
  </si>
  <si>
    <t>01028271938</t>
  </si>
  <si>
    <t>Ahmed Samy Abosree Abdelhamid Khafaga</t>
  </si>
  <si>
    <t>Bassem Hussein Ahmed Ali</t>
  </si>
  <si>
    <t>01008402960</t>
  </si>
  <si>
    <t>01003005244</t>
  </si>
  <si>
    <t>Total Allocation / Grad</t>
  </si>
  <si>
    <t>Du &amp; Other nearshore</t>
  </si>
  <si>
    <t>Freedom &amp; Du Ent.</t>
  </si>
  <si>
    <t>ECA &amp; OPM</t>
  </si>
  <si>
    <t>In</t>
  </si>
  <si>
    <t>Out</t>
  </si>
  <si>
    <t>Not hired</t>
  </si>
  <si>
    <t>Nov Analysis</t>
  </si>
  <si>
    <t>Domestic / A2 Proj</t>
  </si>
  <si>
    <t>Dec Analysis</t>
  </si>
  <si>
    <t>Jan Analysis</t>
  </si>
  <si>
    <t>Feb Analysis</t>
  </si>
  <si>
    <t>Mar Analysis</t>
  </si>
  <si>
    <t>A2 to B1 Proj</t>
  </si>
  <si>
    <t>Apr Analysis</t>
  </si>
  <si>
    <t>May Analysis</t>
  </si>
  <si>
    <t>Reham</t>
  </si>
  <si>
    <t>R39</t>
  </si>
  <si>
    <t>Ola</t>
  </si>
  <si>
    <t>Ahmed Sameh Ahmed Amin</t>
  </si>
  <si>
    <t>Dropped Out</t>
  </si>
  <si>
    <t>01026915159</t>
  </si>
  <si>
    <t>Ahmed Sayed Gaber Fadlallah</t>
  </si>
  <si>
    <t>01144450825</t>
  </si>
  <si>
    <t>Abdelaziz Mahmoud Abdelaziz Ali Elbahrawy</t>
  </si>
  <si>
    <t>01147051599</t>
  </si>
  <si>
    <t>zaytoun</t>
  </si>
  <si>
    <t>Muhab Mamdouh Eldesouky Alieldin</t>
  </si>
  <si>
    <t>01150660921</t>
  </si>
  <si>
    <t>Ayman Rashed Abbas Amin Nassar</t>
  </si>
  <si>
    <t>01006600668</t>
  </si>
  <si>
    <t>Hager Youssry Mohamed Ibrahim</t>
  </si>
  <si>
    <t>01552434345</t>
  </si>
  <si>
    <t>Amgad Salaheldin Hassaballah Mohamed</t>
  </si>
  <si>
    <t>01221927627</t>
  </si>
  <si>
    <t>Asmaa Attia Mohamed Elazab Elmwafy</t>
  </si>
  <si>
    <t>01033888087</t>
  </si>
  <si>
    <t>Khaled Ahmed Abdelhamid Abdallah</t>
  </si>
  <si>
    <t>01028151515</t>
  </si>
  <si>
    <t>Mahmoud Talaat Hamed Ali Elmoghazy</t>
  </si>
  <si>
    <t>01000670032</t>
  </si>
  <si>
    <t>Mohamed Hassanin Abdelgawad Hassanin Elmozy</t>
  </si>
  <si>
    <t>01093836919  </t>
  </si>
  <si>
    <t>Mahmoud Safwat Mahmoud Dohan</t>
  </si>
  <si>
    <t>P00177648</t>
  </si>
  <si>
    <t>01030522648</t>
  </si>
  <si>
    <t>Khaled Sayed Sorour Abdelmoaty</t>
  </si>
  <si>
    <t>01121388557</t>
  </si>
  <si>
    <t>Ahmed Mostafa Khalil Hassan Elattar</t>
  </si>
  <si>
    <t>01157445300</t>
  </si>
  <si>
    <t>A2-W7</t>
  </si>
  <si>
    <t>A2-W8</t>
  </si>
  <si>
    <t>Ahmed Tharwat Abdelsadek Abdelrasol</t>
  </si>
  <si>
    <t>01117316490</t>
  </si>
  <si>
    <t>Ahmed Mahmoud Ahmed Khafaga</t>
  </si>
  <si>
    <t>01008903738</t>
  </si>
  <si>
    <t>Asmaa Said Ahmed Mohamed Desouky</t>
  </si>
  <si>
    <t>01124894666</t>
  </si>
  <si>
    <t>Abobakr Mohamed Rashed Abdelnaeim Elnemr</t>
  </si>
  <si>
    <t>01155277801</t>
  </si>
  <si>
    <t>Faten Ahmed Ahmed Mohamed</t>
  </si>
  <si>
    <t>01023439966</t>
  </si>
  <si>
    <t>Mohamed Hassan Abdelfattah Mohamed</t>
  </si>
  <si>
    <t>01068113671</t>
  </si>
  <si>
    <t>Ahmed Haridy Bendary Ahmed</t>
  </si>
  <si>
    <t>01146608451</t>
  </si>
  <si>
    <t>Nourhan Ashraf Hassan Aboelela</t>
  </si>
  <si>
    <t>01280122707</t>
  </si>
  <si>
    <t>Soha Hamdy Bakry Ghareeb</t>
  </si>
  <si>
    <t>01003273035</t>
  </si>
  <si>
    <t>Eslam Adel Ibrahim Ahmed Ali</t>
  </si>
  <si>
    <t>1111667129</t>
  </si>
  <si>
    <t>Mahmoud Gamal Mahmoud Ahmed</t>
  </si>
  <si>
    <t>1102770408</t>
  </si>
  <si>
    <t>Hager Atef Mohamed Mohamed Moussa</t>
  </si>
  <si>
    <t>Abdelrehim Mohamed Elsayed Ismail</t>
  </si>
  <si>
    <t>1002027042</t>
  </si>
  <si>
    <t>Mohamed Eid Helal Zayed</t>
  </si>
  <si>
    <t>1000879186</t>
  </si>
  <si>
    <t>Fatma Essam Kamel Othman</t>
  </si>
  <si>
    <t>1010449894</t>
  </si>
  <si>
    <t>Mahmoud Mustafa Bakry Soliman</t>
  </si>
  <si>
    <t>01003509860</t>
  </si>
  <si>
    <t>Pola Magdy Erian Hanna</t>
  </si>
  <si>
    <t xml:space="preserve">Domestic </t>
  </si>
  <si>
    <t>Left and was recruited again by TA to join ECA on Jun 26st</t>
  </si>
  <si>
    <t>Seif Sayed Hosny Elsayed Nagy</t>
  </si>
  <si>
    <t>01094019041</t>
  </si>
  <si>
    <t>Amr Mustafa Farouk Mohamed</t>
  </si>
  <si>
    <t>01112293265</t>
  </si>
  <si>
    <t>Sandrin Aziz Attallah Habil</t>
  </si>
  <si>
    <t>01271082592</t>
  </si>
  <si>
    <t>Ahmed Mohamed Ahmed Zaki</t>
  </si>
  <si>
    <t>01091810223</t>
  </si>
  <si>
    <t>Passant Medhat Abdelwareth Awad</t>
  </si>
  <si>
    <t>01119555755</t>
  </si>
  <si>
    <t>Shadia Ayman Yehia Attia</t>
  </si>
  <si>
    <t>01065360416</t>
  </si>
  <si>
    <t>Mariam Hossameldin Mohamed Elsayed Elaskary</t>
  </si>
  <si>
    <t>01126716871</t>
  </si>
  <si>
    <t>Mennatullah Monib Kamel Mery Oghlou</t>
  </si>
  <si>
    <t>01028546070</t>
  </si>
  <si>
    <t>Mohamed Roshdy Abdelgayed Mohamed</t>
  </si>
  <si>
    <t>01202795376</t>
  </si>
  <si>
    <t>Mennatullah Mabrouk Gazy Mabrouk</t>
  </si>
  <si>
    <t>01145960450</t>
  </si>
  <si>
    <t xml:space="preserve">TPA Open Day </t>
  </si>
  <si>
    <t>Samia Tarek Abdallah Elsayed Afify</t>
  </si>
  <si>
    <t>01223425761</t>
  </si>
  <si>
    <t>Mohamed Mohsen Radwan Ahmed</t>
  </si>
  <si>
    <t>01126860308</t>
  </si>
  <si>
    <t>Ahmed Adel Mostafa Mohamed Kashef</t>
  </si>
  <si>
    <t>01280488577</t>
  </si>
  <si>
    <t>Sohila Maher Lotfy Hosny Ali</t>
  </si>
  <si>
    <t>01014090203</t>
  </si>
  <si>
    <t>01282457168</t>
  </si>
  <si>
    <t>Mariam Samir Awad Salib</t>
  </si>
  <si>
    <t>Hager Mostafa Mohamed Zaki</t>
  </si>
  <si>
    <t>01554909803</t>
  </si>
  <si>
    <t>01008316832</t>
  </si>
  <si>
    <t>Not interested in Nearshore</t>
  </si>
  <si>
    <t>Hamis Mohamed Ali Mahmoud</t>
  </si>
  <si>
    <t>Abdulrahman Jamal</t>
  </si>
  <si>
    <t>Mohamed Khaled Abdelbary Ibrahim</t>
  </si>
  <si>
    <t>Nouf Salaheldin Mahmoud</t>
  </si>
  <si>
    <t>555-00228920</t>
  </si>
  <si>
    <t>Shereen</t>
  </si>
  <si>
    <t>Bishoy Nader Rady Gayed</t>
  </si>
  <si>
    <t>open day</t>
  </si>
  <si>
    <t>Esraa Abdelmoniem Mohamed Khalifa</t>
  </si>
  <si>
    <t>Ahmed Abozied Mohamed Abdelfattah</t>
  </si>
  <si>
    <t>Abdelrahman Ramadan Mohamed Abdelhady</t>
  </si>
  <si>
    <t>Selwan Abdallah Abdellatif Abdallah Omar</t>
  </si>
  <si>
    <t>Abdallah Salah Moussa Hassan Elbarbary</t>
  </si>
  <si>
    <t>Mahmoud Mohamed Elsaid Ahmed Elsharkawy</t>
  </si>
  <si>
    <t>Mohamed Ahmed Aboelsoud Osman</t>
  </si>
  <si>
    <t>Ibrahim Hassan Ibrahim Morsy</t>
  </si>
  <si>
    <t>01092446034</t>
  </si>
  <si>
    <t>01024185513</t>
  </si>
  <si>
    <t>01030152950</t>
  </si>
  <si>
    <t>01111484158</t>
  </si>
  <si>
    <t>01277903144</t>
  </si>
  <si>
    <t>01127277008</t>
  </si>
  <si>
    <t>01111476094</t>
  </si>
  <si>
    <t>01551948436</t>
  </si>
  <si>
    <t>01022971856</t>
  </si>
  <si>
    <t>01225116539</t>
  </si>
  <si>
    <t>01020605903</t>
  </si>
  <si>
    <t>01152920154</t>
  </si>
  <si>
    <t>01001242172</t>
  </si>
  <si>
    <t xml:space="preserve">Ahmed Ibrahim Barakat Abdelrahman </t>
  </si>
  <si>
    <t xml:space="preserve">Drop out </t>
  </si>
  <si>
    <t>01030404810</t>
  </si>
  <si>
    <t>Ghemer Jemal Ahmed Mohamed Saleh</t>
  </si>
  <si>
    <t>K0122913</t>
  </si>
  <si>
    <t>01115766960</t>
  </si>
  <si>
    <t>Glovo / Downsizing OP | Will join Nahdi | Rejoined Glovo on Jun 12th</t>
  </si>
  <si>
    <t>Mahmoud Hassan Mohamed Hafez</t>
  </si>
  <si>
    <t>01032861605</t>
  </si>
  <si>
    <t>Roaia Mahmoud Amin Zekry</t>
  </si>
  <si>
    <t>01060221665</t>
  </si>
  <si>
    <t>Nourhan Mohamed Hussein Abdelaziz</t>
  </si>
  <si>
    <t>01156670505</t>
  </si>
  <si>
    <t>Eslam Elsayed Mahdy Ahmed Elaraby</t>
  </si>
  <si>
    <t>Hassan Tarek Kamal Eissa</t>
  </si>
  <si>
    <t>01149526183</t>
  </si>
  <si>
    <t>Mohamed Abdelraouf Mohamed Abden Mansy</t>
  </si>
  <si>
    <t>01060441669</t>
  </si>
  <si>
    <t>taymoor</t>
  </si>
  <si>
    <t>Taghreed Shoukr Nasreldin Shoukr</t>
  </si>
  <si>
    <t>01022604234</t>
  </si>
  <si>
    <t>Eslam Mostafa Elsayed Aboelil</t>
  </si>
  <si>
    <t>01007860422</t>
  </si>
  <si>
    <t xml:space="preserve">Mohamed Waheed Sayed Ahmed </t>
  </si>
  <si>
    <t>01157940958</t>
  </si>
  <si>
    <t>Alaa Sayed Ahmed Megahed</t>
  </si>
  <si>
    <t>01118321323</t>
  </si>
  <si>
    <t>Samar Hesham Mahmoud Mohamed</t>
  </si>
  <si>
    <t>01065091339</t>
  </si>
  <si>
    <t>Adham Hesham Helmy Ali</t>
  </si>
  <si>
    <t>01272825466</t>
  </si>
  <si>
    <t>Nayra Ashraf Said Ahmed</t>
  </si>
  <si>
    <t>01158674445</t>
  </si>
  <si>
    <t>Mohamed Tawfik Abdallah Ahmed</t>
  </si>
  <si>
    <t>Mohamed Mostafa Abbas Sayed</t>
  </si>
  <si>
    <t>shehab</t>
  </si>
  <si>
    <t>01116872728</t>
  </si>
  <si>
    <t>01010309963</t>
  </si>
  <si>
    <t>A2-W9</t>
  </si>
  <si>
    <t>Refused to rejoin | Allocated to Du</t>
  </si>
  <si>
    <t>Radwa Said Ahmed Mohamed Abdallah</t>
  </si>
  <si>
    <t>01110484040</t>
  </si>
  <si>
    <t>Ahmed Hamed Mahmoud Sayed</t>
  </si>
  <si>
    <t>01122773270</t>
  </si>
  <si>
    <t>Sara Zakaria Mahmoud Fahmy</t>
  </si>
  <si>
    <t>01111950883</t>
  </si>
  <si>
    <t xml:space="preserve">Ahmed Mahmoud Mohamed Farag </t>
  </si>
  <si>
    <t>01144388003</t>
  </si>
  <si>
    <t xml:space="preserve">TPA Open day </t>
  </si>
  <si>
    <t>Ahmed Said Abdelhalim Attia</t>
  </si>
  <si>
    <t>01151269837</t>
  </si>
  <si>
    <t>Hager Ayman Kamal Abdelaziz</t>
  </si>
  <si>
    <t>01006753310</t>
  </si>
  <si>
    <t xml:space="preserve">Reham Fathi Elsayed Mostafa </t>
  </si>
  <si>
    <t>01100570183</t>
  </si>
  <si>
    <t>Hafiz</t>
  </si>
  <si>
    <t>Omar Hossam Moghazy Elmorshedy</t>
  </si>
  <si>
    <t>01003203385</t>
  </si>
  <si>
    <t>Mohamed Abdallah Mahmoud Abdelhay</t>
  </si>
  <si>
    <t>01064559882</t>
  </si>
  <si>
    <t>Abdelrahman Tarek Ahmed Farid</t>
  </si>
  <si>
    <t>01116939866</t>
  </si>
  <si>
    <t>Alaa Ahmed Farag Ismail</t>
  </si>
  <si>
    <t>01125558803</t>
  </si>
  <si>
    <t>Moamen Maged Youssef Hamed</t>
  </si>
  <si>
    <t>01110123653</t>
  </si>
  <si>
    <t>Aya Adel Mohamed Sayed</t>
  </si>
  <si>
    <t>01021902975</t>
  </si>
  <si>
    <t>Ahmed Emad Mohamed Ali Hassan</t>
  </si>
  <si>
    <t>01142082289</t>
  </si>
  <si>
    <t>Awab Gamal Ali Ismail Elshantory</t>
  </si>
  <si>
    <t>01094456959</t>
  </si>
  <si>
    <t>Mohamed Abdelhamid Abdelghany Barakat</t>
  </si>
  <si>
    <t>Moamen Mahmoud Mohamed Elsayed</t>
  </si>
  <si>
    <t>01114139684</t>
  </si>
  <si>
    <t>Left and was recruited again by TA to join Immarsat on Jul 8th</t>
  </si>
  <si>
    <t>Wasn't hired after allocation and was recruited again for ECA on the 14th of Jul</t>
  </si>
  <si>
    <t>Sara Moustafa Mohamed Ibrahim Elwy</t>
  </si>
  <si>
    <t>01157016276</t>
  </si>
  <si>
    <t>Mohamed Ashraf Mohamed Elsayed</t>
  </si>
  <si>
    <t>01094786005</t>
  </si>
  <si>
    <t>Ahmed Magdy Elsaid Ibrahim</t>
  </si>
  <si>
    <t>01002462397</t>
  </si>
  <si>
    <t>Arsany Wagdy Ibrahim Mina</t>
  </si>
  <si>
    <t>01278006197</t>
  </si>
  <si>
    <t>Asmaa Ismail Abdelhamid Awadallah</t>
  </si>
  <si>
    <t>01118003021</t>
  </si>
  <si>
    <t>Belal Abdelrahman Elsayed Sakr</t>
  </si>
  <si>
    <t>01016446584</t>
  </si>
  <si>
    <t>Salma Adel Abdelaziz Mohamed</t>
  </si>
  <si>
    <t>01141970930</t>
  </si>
  <si>
    <t>Basma Khalifa Abdo Haroun</t>
  </si>
  <si>
    <t>01111482825</t>
  </si>
  <si>
    <t>Marina Elamir Gaber Mohareb</t>
  </si>
  <si>
    <t>01279420361</t>
  </si>
  <si>
    <t>Abdelrahman Ahmed Ibrahim Ahmed</t>
  </si>
  <si>
    <t>01098949310</t>
  </si>
  <si>
    <t>Heba Shoukry Lotfy Elqousha</t>
  </si>
  <si>
    <t>Ahmed Mohamed Mohamed Abdelmoniem Bazaza</t>
  </si>
  <si>
    <t>01122589461</t>
  </si>
  <si>
    <t>Walid Hossameldin Gharib Saber</t>
  </si>
  <si>
    <t>01110897332</t>
  </si>
  <si>
    <t>mariam</t>
  </si>
  <si>
    <t>Ramy Yehia Emam Hamed</t>
  </si>
  <si>
    <t>01158575523</t>
  </si>
  <si>
    <t>Amira Mohab Fahmy Said Bakr</t>
  </si>
  <si>
    <t>01141001888</t>
  </si>
  <si>
    <t>Mostafa Tharwat Mostafa Mohamed Fathi</t>
  </si>
  <si>
    <t>01159651114</t>
  </si>
  <si>
    <t>Omar Tarek Elsayed Abdelkawy</t>
  </si>
  <si>
    <t>01154620219</t>
  </si>
  <si>
    <t>Karem Mahmoud Menshawy Abdelhady</t>
  </si>
  <si>
    <t>01145670300</t>
  </si>
  <si>
    <t>Omar Mohamed Metwally Mohamed</t>
  </si>
  <si>
    <t>01118485280</t>
  </si>
  <si>
    <t>Sara Mazen Mahmoud Ali Mahrous</t>
  </si>
  <si>
    <t>01125455799</t>
  </si>
  <si>
    <t>Youssef Amr Fouad Antar</t>
  </si>
  <si>
    <t>01007630058</t>
  </si>
  <si>
    <t>Ahmed Ayman Mohamed Hassanin</t>
  </si>
  <si>
    <t>01126284105</t>
  </si>
  <si>
    <t>Ahmed Nasser Emam Khalil</t>
  </si>
  <si>
    <t>01112060974</t>
  </si>
  <si>
    <t>Ramy Bassem Mohamed Makhlof</t>
  </si>
  <si>
    <t>01123268282</t>
  </si>
  <si>
    <t>eman</t>
  </si>
  <si>
    <t>Ahmed Abdelaziz Mahmoud Hafez</t>
  </si>
  <si>
    <t>01004284546</t>
  </si>
  <si>
    <t>Mohamed Ahmed Mohamed Abdallah</t>
  </si>
  <si>
    <t>01069291554</t>
  </si>
  <si>
    <t>Ahmed Yehia Abdelfattah Sabry</t>
  </si>
  <si>
    <t>01125573782</t>
  </si>
  <si>
    <t>Mennatullah Samir Mohamed Elmahdy</t>
  </si>
  <si>
    <t>01128614420</t>
  </si>
  <si>
    <t>Hossameldin Mostafa Noureldin Ammar</t>
  </si>
  <si>
    <t>01025062901</t>
  </si>
  <si>
    <t>Marwa Ibrahim Abbas Eldebiky</t>
  </si>
  <si>
    <t>01062182006</t>
  </si>
  <si>
    <t>A2-W10</t>
  </si>
  <si>
    <t>Ahmed Ibrahim Barakat Abdelrahman Ghoniem</t>
  </si>
  <si>
    <t>Abeer Ali Mostafa</t>
  </si>
  <si>
    <t>Youstina Latif Aziz Mikhael</t>
  </si>
  <si>
    <t>01283660453</t>
  </si>
  <si>
    <t>Fadwa Yehia Mohamed Hafez</t>
  </si>
  <si>
    <t>01110223001</t>
  </si>
  <si>
    <t>Youssef Sherif Hanafy Mahmoud</t>
  </si>
  <si>
    <t>01140044079</t>
  </si>
  <si>
    <t>Omar Nasser Shaaban Abdelfattah</t>
  </si>
  <si>
    <t>01112161644</t>
  </si>
  <si>
    <t>Hafeez</t>
  </si>
  <si>
    <t>Marwan Sherif Mohamed Belal</t>
  </si>
  <si>
    <t>01000278142</t>
  </si>
  <si>
    <t>Hossam Ali Ahmed Raslan</t>
  </si>
  <si>
    <t>01119810648</t>
  </si>
  <si>
    <t>Nourelhoda Youssry Elsayed Abdelaziz</t>
  </si>
  <si>
    <t>01094841665</t>
  </si>
  <si>
    <t>Nehal Magdy Mohamed Mahmoud</t>
  </si>
  <si>
    <t>01024641273</t>
  </si>
  <si>
    <t>Nour Reda Abdelkawy Tayel</t>
  </si>
  <si>
    <t>01016388130</t>
  </si>
  <si>
    <t>Nada Mohamed Mohamed Sayed</t>
  </si>
  <si>
    <t>01126617795</t>
  </si>
  <si>
    <t>Ibrahim Yaro Bichi Musa</t>
  </si>
  <si>
    <t>A09331472</t>
  </si>
  <si>
    <t>01156889157</t>
  </si>
  <si>
    <t>01002027042</t>
  </si>
  <si>
    <t>Failed Ring | Transferred to WU UK</t>
  </si>
  <si>
    <t>WU UK</t>
  </si>
  <si>
    <t>Left and recruitted again by TA for Agtheia on Jun the 19th</t>
  </si>
  <si>
    <t>Du | Refused the offer</t>
  </si>
  <si>
    <t>EA</t>
  </si>
  <si>
    <t>Initially interviewed again and accepted Du</t>
  </si>
  <si>
    <t>Glovo | Rehired LinePlus on Jul 21st</t>
  </si>
  <si>
    <t>LinePlus</t>
  </si>
  <si>
    <t>Recruited by TA on Jun the 18th for Du Ent.</t>
  </si>
  <si>
    <t>Rehired on Jun 30th</t>
  </si>
  <si>
    <t>Haitham Kamal Farag Saleh</t>
  </si>
  <si>
    <t>Fatma Mohamed Shehata Mohamdin</t>
  </si>
  <si>
    <t>Mohamed Samir Elsayed Mohamed</t>
  </si>
  <si>
    <t>reem</t>
  </si>
  <si>
    <t>Mohamed Mostafa Mohamed Diab</t>
  </si>
  <si>
    <t>Asmaa Nasser Ibrahim</t>
  </si>
  <si>
    <t>K0241106</t>
  </si>
  <si>
    <t>Warda Zaki Hussein Aboelhassan</t>
  </si>
  <si>
    <t>Reem Ahmed Mohamed Refaat</t>
  </si>
  <si>
    <t>Salsabil Abdo Ahmed Salhin</t>
  </si>
  <si>
    <t>Sherif Mohamed Abdelfattah Mohamed</t>
  </si>
  <si>
    <t>Ferdos Yousif Ata Abdel wahab</t>
  </si>
  <si>
    <t>K0329426</t>
  </si>
  <si>
    <t>Zienab Salah Abdelaziz Abdelrehim</t>
  </si>
  <si>
    <t>Abeer Ali Mostafa Ibrahim Ali</t>
  </si>
  <si>
    <t>24213</t>
  </si>
  <si>
    <t>24222</t>
  </si>
  <si>
    <t>24224</t>
  </si>
  <si>
    <t>01279176606</t>
  </si>
  <si>
    <t>01158416422</t>
  </si>
  <si>
    <t>01027350532</t>
  </si>
  <si>
    <t>01001203753</t>
  </si>
  <si>
    <t>01066319522</t>
  </si>
  <si>
    <t>01142570342</t>
  </si>
  <si>
    <t>01122021201</t>
  </si>
  <si>
    <t>01116608830</t>
  </si>
  <si>
    <t>01023453397</t>
  </si>
  <si>
    <t>01114512368</t>
  </si>
  <si>
    <t>01148520723</t>
  </si>
  <si>
    <t>01112312938</t>
  </si>
  <si>
    <t>Mostafa Ismail Selim Abdelsalam</t>
  </si>
  <si>
    <t>01094619273</t>
  </si>
  <si>
    <t>Yasmine Ali Shafie Ali</t>
  </si>
  <si>
    <t>01145522963</t>
  </si>
  <si>
    <t>Fatma Mohamed Abdelaziz Mahmoud</t>
  </si>
  <si>
    <t>01011644238</t>
  </si>
  <si>
    <t>mina</t>
  </si>
  <si>
    <t>Ahmed Seifelnasr Metwally Seifelnasr</t>
  </si>
  <si>
    <t>01118956336</t>
  </si>
  <si>
    <t>Bishoy Attia Mansour Attia</t>
  </si>
  <si>
    <t>01221698515</t>
  </si>
  <si>
    <t>Amira Salaheldin Ahmed Abdelnaby</t>
  </si>
  <si>
    <t>01111550683</t>
  </si>
  <si>
    <t>Cathrine Petcho Hanna Matias</t>
  </si>
  <si>
    <t>01288697913</t>
  </si>
  <si>
    <t>Karim Ahmed Hassan Kamel</t>
  </si>
  <si>
    <t>01146822480</t>
  </si>
  <si>
    <t>Noha Fathi Abdelazim Awad</t>
  </si>
  <si>
    <t>01128111545</t>
  </si>
  <si>
    <t>Abdelrahman Mohamed Abdelhamid Ahmed</t>
  </si>
  <si>
    <t>01122747847</t>
  </si>
  <si>
    <t>Mayar Ayman Mohamed Rashad</t>
  </si>
  <si>
    <t>01111989302</t>
  </si>
  <si>
    <t>Mohamed Mahran Abdelrehim Hussein</t>
  </si>
  <si>
    <t>01121141418</t>
  </si>
  <si>
    <t>Hatem Mohamed Ragaey Mohamed Elmerghany</t>
  </si>
  <si>
    <t>01004596879</t>
  </si>
  <si>
    <t>Marwa Abobakr Abdelazim Mohamed</t>
  </si>
  <si>
    <t>01007831703</t>
  </si>
  <si>
    <t>Rehab Mohamed Azab Ali Aazab</t>
  </si>
  <si>
    <t>01019600719</t>
  </si>
  <si>
    <t>A2-W11</t>
  </si>
  <si>
    <t>Ahmed Mostafa Mahmoud Ibrahim</t>
  </si>
  <si>
    <t>01110334639</t>
  </si>
  <si>
    <t>Rejoin</t>
  </si>
  <si>
    <t>Left and rehired by TA on Aug the 6th</t>
  </si>
  <si>
    <t>Left and hired again by for Elite on Aug the 6th</t>
  </si>
  <si>
    <t>01159856392</t>
  </si>
  <si>
    <t>01119200211</t>
  </si>
  <si>
    <t>Eslam Hassan Fekry Abdelsalam</t>
  </si>
  <si>
    <t>01067215078</t>
  </si>
  <si>
    <t>Mohamed Azzam Ahmed Tolba</t>
  </si>
  <si>
    <t>01155880136</t>
  </si>
  <si>
    <t>Youssef Shaher Ali Abdelkader</t>
  </si>
  <si>
    <t>01144467999</t>
  </si>
  <si>
    <t>Mona Mahmoud Mohamed Alameldin</t>
  </si>
  <si>
    <t>01006336743</t>
  </si>
  <si>
    <t>Youssef Yehia Ibrahim Hassan Elfoly</t>
  </si>
  <si>
    <t>01284845750</t>
  </si>
  <si>
    <t>Walk In</t>
  </si>
  <si>
    <t>Ahmed Hussein Ali Eltantawy</t>
  </si>
  <si>
    <t>01207203341</t>
  </si>
  <si>
    <t>Doaa Bahaa Abdelrahman Ahmed</t>
  </si>
  <si>
    <t>01027699760</t>
  </si>
  <si>
    <t>Anwar Khaled Anwar Hassan</t>
  </si>
  <si>
    <t>01156785274</t>
  </si>
  <si>
    <t>Mina Victor Helmy Fouad</t>
  </si>
  <si>
    <t>01277144624</t>
  </si>
  <si>
    <t>Arwa Aboelkassem Hussein Abdelrazek</t>
  </si>
  <si>
    <t>01028811809</t>
  </si>
  <si>
    <t>Amin Mohamed Emam Amin</t>
  </si>
  <si>
    <t>01148608592</t>
  </si>
  <si>
    <t>Ahmed Sayed Mehany Mansour</t>
  </si>
  <si>
    <t>01153588015</t>
  </si>
  <si>
    <t>Engy Hassan Mahmoud Mahmoud Ouf</t>
  </si>
  <si>
    <t>01158157429</t>
  </si>
  <si>
    <t>Amirah</t>
  </si>
  <si>
    <t>Madonna Ibrahim Ywakim Basta</t>
  </si>
  <si>
    <t>01211823369</t>
  </si>
  <si>
    <t>Esraa Mansour Mohamed Hussein</t>
  </si>
  <si>
    <t>01152614050</t>
  </si>
  <si>
    <t>Mourad Adhanom Tesfu</t>
  </si>
  <si>
    <t>555-00200821</t>
  </si>
  <si>
    <t>01159818239</t>
  </si>
  <si>
    <t>A2-W12</t>
  </si>
  <si>
    <t>TPA Admin</t>
  </si>
  <si>
    <t>Left Du / Not interested</t>
  </si>
  <si>
    <t>Unreachable / Wrong number</t>
  </si>
  <si>
    <t>Time restrictions / Travel plans</t>
  </si>
  <si>
    <t>01090785634</t>
  </si>
  <si>
    <t>Doesn't speak Arabic</t>
  </si>
  <si>
    <t>Omar Ahmed Mahmoud Abdelaziz</t>
  </si>
  <si>
    <t>01140082691</t>
  </si>
  <si>
    <t>Jamal</t>
  </si>
  <si>
    <t>Yasmine Adel Labib Amin</t>
  </si>
  <si>
    <t>01020555066</t>
  </si>
  <si>
    <t>Ahmed Hossameldin Abdelwahab Kenawy</t>
  </si>
  <si>
    <t>01550099040</t>
  </si>
  <si>
    <t>Ahmed Ibrahim Mohamed Gamea</t>
  </si>
  <si>
    <t>01010631062</t>
  </si>
  <si>
    <t>Sherif Ezzat Ali Abdelrahman</t>
  </si>
  <si>
    <t>01277781838</t>
  </si>
  <si>
    <t>Esraa Karam Taha Mohamed Kamel</t>
  </si>
  <si>
    <t>01023556257</t>
  </si>
  <si>
    <t>Mostafa Allam Ahmed Tamam</t>
  </si>
  <si>
    <t>01111369450</t>
  </si>
  <si>
    <t>Ahmed Mahmoud Mohamed Hassanin</t>
  </si>
  <si>
    <t>01151121192</t>
  </si>
  <si>
    <t>Sara Elsayed Mohamed Elsayed Allam</t>
  </si>
  <si>
    <t>01027396498</t>
  </si>
  <si>
    <t>Reham Ibrahim Hassan Ahmed</t>
  </si>
  <si>
    <t>01142885675</t>
  </si>
  <si>
    <t>Abdallah Omar Ahmed Omar</t>
  </si>
  <si>
    <t>01021119075</t>
  </si>
  <si>
    <t>Yassin Fouad Ahmed Abdallah Merzban</t>
  </si>
  <si>
    <t>01001525675</t>
  </si>
  <si>
    <t>Abdelrahman Tarek Eilwy Shoman</t>
  </si>
  <si>
    <t>01014627613</t>
  </si>
  <si>
    <t xml:space="preserve">Nourhan </t>
  </si>
  <si>
    <t>Asmaa Salama Attia Abdelkerim</t>
  </si>
  <si>
    <t>01095772966</t>
  </si>
  <si>
    <t>Salma</t>
  </si>
  <si>
    <t>A2-W13</t>
  </si>
  <si>
    <t>Comp. B1 Program</t>
  </si>
  <si>
    <t>Sherine Ashraf Kamar eldawla Hamed</t>
  </si>
  <si>
    <t>Ahmed Abdelrahman Ali Mohamed</t>
  </si>
  <si>
    <t>Mohamed Reda Hanafy Mahmoud Orabi</t>
  </si>
  <si>
    <t>Hafsa Nabawy Abdallah Abdelaal</t>
  </si>
  <si>
    <t>Safaa Kobaisy Gomaa Mohamed</t>
  </si>
  <si>
    <t>Ahmed Ahmed Atef Diab</t>
  </si>
  <si>
    <t>Gapping</t>
  </si>
  <si>
    <t>Ahmed Mostafa Abdelaziz Mohamed Mostafa</t>
  </si>
  <si>
    <t>Ahmed Badr Ismail Othman</t>
  </si>
  <si>
    <t>Hany Malak Hakim Hakim</t>
  </si>
  <si>
    <t>Mohamed Sokarno Mohamed Ahmed</t>
  </si>
  <si>
    <t>Rana Ehab Mohamed Hamdy Tawfeek</t>
  </si>
  <si>
    <t>Bassem Omar Zaki Bayoumi</t>
  </si>
  <si>
    <t>Mayar Ahmed Badry Bastawy</t>
  </si>
  <si>
    <t>01118048785</t>
  </si>
  <si>
    <t>01061358889</t>
  </si>
  <si>
    <t>01121229926</t>
  </si>
  <si>
    <t>01093331714</t>
  </si>
  <si>
    <t>01010472843</t>
  </si>
  <si>
    <t>01009268997</t>
  </si>
  <si>
    <t>01554289154</t>
  </si>
  <si>
    <t>01285458509</t>
  </si>
  <si>
    <t>01159691002</t>
  </si>
  <si>
    <t>01126825627</t>
  </si>
  <si>
    <t>01120304932</t>
  </si>
  <si>
    <t>01143557273</t>
  </si>
  <si>
    <t>01147879741</t>
  </si>
  <si>
    <t>Left and rehired by TA on Aug 26st</t>
  </si>
  <si>
    <t>Nourhan Mohamed Abdelbary Elbendary</t>
  </si>
  <si>
    <t>Reem Ashraf Ahmed Sayed</t>
  </si>
  <si>
    <t>Yousra Mohamed Gamal Hamed</t>
  </si>
  <si>
    <t>Ahmed Elsayed Abdelaal Assran</t>
  </si>
  <si>
    <t>Mai Abdelwahab Moussa Abdelwahab</t>
  </si>
  <si>
    <t>Haidy Abdelmohsen Hassan Hosny</t>
  </si>
  <si>
    <t>Basma Tarek Ramadan Ragab</t>
  </si>
  <si>
    <t>Ahmed Youssry Mohamed Madboly</t>
  </si>
  <si>
    <t>Asmaa Mohamed Elsayed Mostafa</t>
  </si>
  <si>
    <t>Merna Mohamed Medhat Mahmoud Eltaliawy</t>
  </si>
  <si>
    <t>Mohamed Ramadan Mohamed Elsayed</t>
  </si>
  <si>
    <t xml:space="preserve">Karim Amr Abdallah Abdallah </t>
  </si>
  <si>
    <t>Mennatullah Mohamed Abdelaziz Abdelmegid</t>
  </si>
  <si>
    <t>Nada Gamal Ibrahim Ibrahim Eltahawy</t>
  </si>
  <si>
    <t>Yasser Youssef Said Youssef</t>
  </si>
  <si>
    <t>Yasmine Fawzy Abdelwahed Khalifa</t>
  </si>
  <si>
    <t>01151568440</t>
  </si>
  <si>
    <t>01142227919</t>
  </si>
  <si>
    <t>01113335823</t>
  </si>
  <si>
    <t>01143708561</t>
  </si>
  <si>
    <t>01115712065</t>
  </si>
  <si>
    <t>01016571715</t>
  </si>
  <si>
    <t>01092031399</t>
  </si>
  <si>
    <t>01095553941</t>
  </si>
  <si>
    <t>01090203717</t>
  </si>
  <si>
    <t>01145121003</t>
  </si>
  <si>
    <t>01069275144</t>
  </si>
  <si>
    <t>01002180225</t>
  </si>
  <si>
    <t>01145730375</t>
  </si>
  <si>
    <t>01068870383</t>
  </si>
  <si>
    <t>01121456424</t>
  </si>
  <si>
    <t>01157710366</t>
  </si>
  <si>
    <t>Marian Magdy Fouad Ghattas</t>
  </si>
  <si>
    <t>01287337087</t>
  </si>
  <si>
    <t>A2-W14</t>
  </si>
  <si>
    <t>Shahd Mohamed</t>
  </si>
  <si>
    <t>Not interested / Better offer</t>
  </si>
  <si>
    <t>Suzan Hassan Tawfeek Mohamed Khedr</t>
  </si>
  <si>
    <t>Omar Mamdouh Sayed Mohamed</t>
  </si>
  <si>
    <t>Ahmed Alaaeldin Abdelkader Elmatbouly</t>
  </si>
  <si>
    <t>Mahitab Magdy Hassanin Hassan</t>
  </si>
  <si>
    <t>Abdelrahman Tarek Fadl Ibrahim</t>
  </si>
  <si>
    <t>Omar Hassan Salaheldin Ahmed</t>
  </si>
  <si>
    <t>Youmna Ayman Shebl Diab</t>
  </si>
  <si>
    <t>Mariam Mohamed Elbadr Fathi</t>
  </si>
  <si>
    <t>Nayera Fathi Lotfy Abdelmegid</t>
  </si>
  <si>
    <t>Nada Hamada Mohamed Shawky</t>
  </si>
  <si>
    <t>Mark Samir Halim Fawzy</t>
  </si>
  <si>
    <t>Ahmed Mohamed Farouk Abdallah</t>
  </si>
  <si>
    <t>01092901416</t>
  </si>
  <si>
    <t>01111567779</t>
  </si>
  <si>
    <t>01027666573</t>
  </si>
  <si>
    <t>01128797885</t>
  </si>
  <si>
    <t>01152206760</t>
  </si>
  <si>
    <t>01015953212</t>
  </si>
  <si>
    <t>01066900432</t>
  </si>
  <si>
    <t>01032280023</t>
  </si>
  <si>
    <t>01141013677</t>
  </si>
  <si>
    <t>01115456147</t>
  </si>
  <si>
    <t>01021647260</t>
  </si>
  <si>
    <t>01140813872</t>
  </si>
  <si>
    <t>Shady Mohamed Abdeldayem Eissa</t>
  </si>
  <si>
    <t>01101110247</t>
  </si>
  <si>
    <t>Christine Essam Azer Neamallah</t>
  </si>
  <si>
    <t>01281247090</t>
  </si>
  <si>
    <t>Caroline Samir Shafik Kerollos</t>
  </si>
  <si>
    <t>01015850631</t>
  </si>
  <si>
    <t>Ahmed Amir Mohamed Aborawash</t>
  </si>
  <si>
    <t>01114297218</t>
  </si>
  <si>
    <t>Ahmed Faek Arafa Mohamed Faek</t>
  </si>
  <si>
    <t>01121117185</t>
  </si>
  <si>
    <t>Fadi Hesham Attia Khalil</t>
  </si>
  <si>
    <t>01280385863</t>
  </si>
  <si>
    <t>Mohamed Fadel Mohamed Helal</t>
  </si>
  <si>
    <t>01095256241</t>
  </si>
  <si>
    <t>Mostafa Hussein Sayed Hemida</t>
  </si>
  <si>
    <t>01121964769</t>
  </si>
  <si>
    <t>Hoda Ahmed Mohamed Shehata</t>
  </si>
  <si>
    <t>01146262616</t>
  </si>
  <si>
    <t>Ahmed Elsayed Abdelfattah Attia</t>
  </si>
  <si>
    <t>01021352514</t>
  </si>
  <si>
    <t>Aboelftouh Abdeldayem Aboelftouh Abdeldayem</t>
  </si>
  <si>
    <t>01112575367</t>
  </si>
  <si>
    <t>Rania Galal Elsamman Abdelah</t>
  </si>
  <si>
    <t>01023621316</t>
  </si>
  <si>
    <t>Mina Awad Eissa Zaki</t>
  </si>
  <si>
    <t>01286518667</t>
  </si>
  <si>
    <t>Omar Elsayed Sobhy Mohamed</t>
  </si>
  <si>
    <t>01122123175</t>
  </si>
  <si>
    <t>Mohamed Ahmed Abdelaziz Mohamed Elsayem</t>
  </si>
  <si>
    <t>01152691800</t>
  </si>
  <si>
    <t>Mohamed Mahmoud Khalifa Mohamed</t>
  </si>
  <si>
    <t>01114498474</t>
  </si>
  <si>
    <t>A2-W15</t>
  </si>
  <si>
    <t>A2-W16</t>
  </si>
  <si>
    <t>Summer course / Will call when ready - Removed for exams</t>
  </si>
  <si>
    <t>RTS in Sept. / Interested in EA - Removed for travelling plans</t>
  </si>
  <si>
    <t>EA / No WFR</t>
  </si>
  <si>
    <t>Glovo on Aug 26st / No WFR</t>
  </si>
  <si>
    <t>Joined Glovo on Aug 26st / No WFR</t>
  </si>
  <si>
    <t>Joined Uniliver on Sept the 5th / No WFR</t>
  </si>
  <si>
    <t>In Alex. Will call when she gets back - Not interested</t>
  </si>
  <si>
    <t>RTS mid Sept. - Not interested</t>
  </si>
  <si>
    <t>Accepted Agtheia - Unreachable</t>
  </si>
  <si>
    <t>Du / Induction NS / Not ready | Pending follow-up - Not interested</t>
  </si>
  <si>
    <t>Attended Du induction on the 14th of Apr | Accepted Agtheia - Unreachable</t>
  </si>
  <si>
    <t>Interested in Nahdi - Not interested</t>
  </si>
  <si>
    <t>RTS Aug the 18th - Not interested</t>
  </si>
  <si>
    <t>Glovo (Failed Written) / No WFR</t>
  </si>
  <si>
    <t>Mostafa Abdallah Attia Amin Negm</t>
  </si>
  <si>
    <t>01014386417</t>
  </si>
  <si>
    <t>aya</t>
  </si>
  <si>
    <t>Fadi Heshmat Badea Abdelsayed</t>
  </si>
  <si>
    <t>01272797870</t>
  </si>
  <si>
    <t>Ehsan Nabil Mohamed Abdelrehim</t>
  </si>
  <si>
    <t>01013098602</t>
  </si>
  <si>
    <t>Osama Essameldin Abdelafattah Nofal</t>
  </si>
  <si>
    <t>01032820197</t>
  </si>
  <si>
    <t>Mariam Samir Yacoub Morcos</t>
  </si>
  <si>
    <t>01285600306</t>
  </si>
  <si>
    <t>Eman Hassan Ghazaly Hassan</t>
  </si>
  <si>
    <t>01146627290</t>
  </si>
  <si>
    <t>Amr Ahmed Yasser Abdelmoniem</t>
  </si>
  <si>
    <t>01021219023</t>
  </si>
  <si>
    <t>Mariam</t>
  </si>
  <si>
    <t>Maria Maged Said Gergis</t>
  </si>
  <si>
    <t>01281367752</t>
  </si>
  <si>
    <t>Sandra</t>
  </si>
  <si>
    <t>Eman Mostafa Farag Mahmoud Eldaly</t>
  </si>
  <si>
    <t>01126659490</t>
  </si>
  <si>
    <t>Mennatullah Ibrahim Sayed Gharabawy</t>
  </si>
  <si>
    <t>01127215390</t>
  </si>
  <si>
    <t>Omar Mostafa Fouad Mostafa</t>
  </si>
  <si>
    <t>01009575623</t>
  </si>
  <si>
    <t>No WFR - Contacted by TPA / Inaccurate info was provided by allocation team - Allocation team has "3 months" in comments</t>
  </si>
  <si>
    <t>Grohe</t>
  </si>
  <si>
    <t>Sony MEA</t>
  </si>
  <si>
    <t>Simulation or Testing Failure TR / Rehired for Glovo Kenya on Aug 21st</t>
  </si>
  <si>
    <t>01200887239</t>
  </si>
  <si>
    <t>R41</t>
  </si>
  <si>
    <t>Shahd Mohamed Ahmed Gadallah</t>
  </si>
  <si>
    <t>Rehired in Oppo on the 16th of Sept.</t>
  </si>
  <si>
    <t>Oppo</t>
  </si>
  <si>
    <t>Inaccurate info given by allocation team</t>
  </si>
  <si>
    <t>Not interested - Glovo</t>
  </si>
  <si>
    <t>Esraa Adel Abdelazim Elsayed</t>
  </si>
  <si>
    <t>01125262639</t>
  </si>
  <si>
    <t>Mennatullah Khaled Hussein Abdelrasol</t>
  </si>
  <si>
    <t>01119835021</t>
  </si>
  <si>
    <t>George Ashraf Hanna Boulis</t>
  </si>
  <si>
    <t>01285298442</t>
  </si>
  <si>
    <t>Estabrak Mahmoud Ali Ramadan</t>
  </si>
  <si>
    <t>01550498808</t>
  </si>
  <si>
    <t>Ehab</t>
  </si>
  <si>
    <t>Omar Mohamed Sayed Mohamed</t>
  </si>
  <si>
    <t>01017402435</t>
  </si>
  <si>
    <t xml:space="preserve">Helwan </t>
  </si>
  <si>
    <t>Mostafa Mohamed Mostafa Mohamed</t>
  </si>
  <si>
    <t>01028752605</t>
  </si>
  <si>
    <t>Bedor Salah Abdelkader Ahmed</t>
  </si>
  <si>
    <t>01022104447</t>
  </si>
  <si>
    <t>Donia Mansour Ismail Mohamed</t>
  </si>
  <si>
    <t>01146071999</t>
  </si>
  <si>
    <t>Tarig Abubaker Osman Omran</t>
  </si>
  <si>
    <t>P05965941</t>
  </si>
  <si>
    <t>01064759180</t>
  </si>
  <si>
    <t>Abdulrahman Abdullah Mahdi Almaqtari</t>
  </si>
  <si>
    <t>01012256984</t>
  </si>
  <si>
    <t>Esraa Ahmed Ibrahim Eldesouky</t>
  </si>
  <si>
    <t>01003422380</t>
  </si>
  <si>
    <t>alaa</t>
  </si>
  <si>
    <t>Ahmed Abdelaziz Hassan Hussein</t>
  </si>
  <si>
    <t>01125514638</t>
  </si>
  <si>
    <t>Engy Mohamed Mohamed Fathi</t>
  </si>
  <si>
    <t>01023844988</t>
  </si>
  <si>
    <t>Ahmed Ragab Selim Salem</t>
  </si>
  <si>
    <t>01069726529</t>
  </si>
  <si>
    <t>Sherihan Mohamed Fathi Saber</t>
  </si>
  <si>
    <t>01154086868</t>
  </si>
  <si>
    <t>Sameh Ahmed Abdelsamad Hemida</t>
  </si>
  <si>
    <t>01013898008</t>
  </si>
  <si>
    <t>Sondos Walid Mohamed Soliman</t>
  </si>
  <si>
    <t>01157552494</t>
  </si>
  <si>
    <t>Karim Hamed Mohamed Bergis</t>
  </si>
  <si>
    <t>01011391557</t>
  </si>
  <si>
    <t>TPA's Allocation "Nearshore"</t>
  </si>
  <si>
    <t>UG / A lot of subjects and exams - TPA's Allocation "Nearshore"</t>
  </si>
  <si>
    <t>Rehired again by Shawki on Sep 22nd</t>
  </si>
  <si>
    <t>Rehired again by ER on Sept 22nd</t>
  </si>
  <si>
    <t>OPM</t>
  </si>
  <si>
    <t>Mahitab Maged Othman Said</t>
  </si>
  <si>
    <t>Wessam Tarek Ali Hassan</t>
  </si>
  <si>
    <t>Mohamed Ahmed Aboelnaga Mahmoud</t>
  </si>
  <si>
    <t>Karim Mohamed Abdallah Mohamed Aboeid</t>
  </si>
  <si>
    <t>Zeinab Mahmoud Elsayed Ahmed Abdelrazek</t>
  </si>
  <si>
    <t>01122807937</t>
  </si>
  <si>
    <t>01201001542</t>
  </si>
  <si>
    <t>01019845475</t>
  </si>
  <si>
    <t>01008538409</t>
  </si>
  <si>
    <t>RTS Aug the 18th - EA / No WFR</t>
  </si>
  <si>
    <t>Hired in Expedia by TA on Sept 29th</t>
  </si>
  <si>
    <t>01118200211</t>
  </si>
  <si>
    <t>Sherif Mohamed Ashraf Mahmoud Abbas</t>
  </si>
  <si>
    <t>01011892977</t>
  </si>
  <si>
    <t>Abdallah Ali Mohamed Kotb</t>
  </si>
  <si>
    <t>01159195777</t>
  </si>
  <si>
    <t>SALMA</t>
  </si>
  <si>
    <t>Sereen Hany Mohamed Abdelhafez</t>
  </si>
  <si>
    <t>01026223911</t>
  </si>
  <si>
    <t>Eman Mohamed Ahmed Ragab</t>
  </si>
  <si>
    <t>01001449456</t>
  </si>
  <si>
    <t xml:space="preserve">Alaa </t>
  </si>
  <si>
    <t>Sherihan Saad Ibrahim Aborehab</t>
  </si>
  <si>
    <t>01116060730</t>
  </si>
  <si>
    <t>Radwa Mohsen Ali Mahmoud</t>
  </si>
  <si>
    <t>01155765868</t>
  </si>
  <si>
    <t>Nada Tamer Kamal Ewiss</t>
  </si>
  <si>
    <t>01112511900</t>
  </si>
  <si>
    <t>Ehab Abdelnaby Mohamed Sayed Deraz</t>
  </si>
  <si>
    <t>01009655881</t>
  </si>
  <si>
    <t>Elarqam Mohamed Rezk Abdelnasser Tarhony</t>
  </si>
  <si>
    <t>01014671731</t>
  </si>
  <si>
    <t>Marah Hassan Ramzy Hassan Abaza</t>
  </si>
  <si>
    <t>01116998338</t>
  </si>
  <si>
    <t>Salma Salah Abdallah Ali Eid</t>
  </si>
  <si>
    <t>01033870677</t>
  </si>
  <si>
    <t>Fares Ehab Ahmed Hemida</t>
  </si>
  <si>
    <t>01008783388</t>
  </si>
  <si>
    <t>Mohamed Mostafa Abdelmoniem Ali</t>
  </si>
  <si>
    <t>01064490823</t>
  </si>
  <si>
    <t xml:space="preserve">Nada Sobhy Hafez Hamed </t>
  </si>
  <si>
    <t>01126498092</t>
  </si>
  <si>
    <t>Aya Abdelmoniem Mahmoud Ahmed Waked</t>
  </si>
  <si>
    <t>01092055887</t>
  </si>
  <si>
    <t>Mohamed Farid Abdelwahab Morsy</t>
  </si>
  <si>
    <t>01061067167</t>
  </si>
  <si>
    <t>A2-W17</t>
  </si>
  <si>
    <t>Ahmed Sayed Ramadan Tawfik</t>
  </si>
  <si>
    <t>Amr Elsayed Mohamed Emam</t>
  </si>
  <si>
    <t>Esraa Badran Mohamed Selim</t>
  </si>
  <si>
    <t>Mahmoud Mostafa Ismail Mostafa</t>
  </si>
  <si>
    <t>Rania Atef Aziz Elsayed</t>
  </si>
  <si>
    <t>Gannatullah Moamen Mahmoud Abdelhady</t>
  </si>
  <si>
    <t>Gehan Taher Ibrahim Abdelaal</t>
  </si>
  <si>
    <t>Hadeel Mohamed Hany Mahmoud</t>
  </si>
  <si>
    <t>Mahmoud Mohamed Mahmoud Sharafeldin</t>
  </si>
  <si>
    <t>Mayar Hossameldin Ibrahim Farid</t>
  </si>
  <si>
    <t>Asser</t>
  </si>
  <si>
    <t>01118033361</t>
  </si>
  <si>
    <t>01115249237</t>
  </si>
  <si>
    <t>01029665883</t>
  </si>
  <si>
    <t>01096673246</t>
  </si>
  <si>
    <t>01289356634</t>
  </si>
  <si>
    <t>01123377732</t>
  </si>
  <si>
    <t>01113951178</t>
  </si>
  <si>
    <t>01027000211</t>
  </si>
  <si>
    <t>01202101641</t>
  </si>
  <si>
    <t>01004640499</t>
  </si>
  <si>
    <t>Sulafa Abdelwahab Abubaker Salih</t>
  </si>
  <si>
    <t>P02415954</t>
  </si>
  <si>
    <t>01115368278</t>
  </si>
  <si>
    <t>Hassan Khorshid Hussein Hassan Khorshid</t>
  </si>
  <si>
    <t>01123290613</t>
  </si>
  <si>
    <t>Hadeer</t>
  </si>
  <si>
    <t>Left and rehired by TA on Oct 2nd in WU</t>
  </si>
  <si>
    <t>Hanaa Hany Fawzy Elsayed</t>
  </si>
  <si>
    <t>01112171853</t>
  </si>
  <si>
    <t>Mahmoud Assem Mohamed Hussein</t>
  </si>
  <si>
    <t>01223057500</t>
  </si>
  <si>
    <t>Sherouk Gamal Hamed Aboraia</t>
  </si>
  <si>
    <t>01144548844</t>
  </si>
  <si>
    <t>Amany Nashed Haroun Fouda</t>
  </si>
  <si>
    <t>01015645184</t>
  </si>
  <si>
    <t>Radwa Mohamed Hassan Hussein</t>
  </si>
  <si>
    <t>01149363224</t>
  </si>
  <si>
    <t>Ashraf Alaa Ahmed Taha Elbosaty</t>
  </si>
  <si>
    <t>01125823367</t>
  </si>
  <si>
    <t>Karim</t>
  </si>
  <si>
    <t>Sootie Magdy Saad Sharkawy</t>
  </si>
  <si>
    <t>01211998018</t>
  </si>
  <si>
    <t>Ahmed Gholam Abbas Nour</t>
  </si>
  <si>
    <t>01017556989</t>
  </si>
  <si>
    <t>Enas Ahmed Ibrahim Eldesouky</t>
  </si>
  <si>
    <t>01060200398</t>
  </si>
  <si>
    <t>01060601497</t>
  </si>
  <si>
    <t>Refused to rejoin</t>
  </si>
  <si>
    <t>Hired in Line+ by TA on Oct. 18th</t>
  </si>
  <si>
    <t>Hired in Line+ by TA on Oct. 17th</t>
  </si>
  <si>
    <t>Aghzia</t>
  </si>
  <si>
    <t>Simulation or Testing Failure TR | Eligible for Rehire / Rehired in ECA on Apr 28th / Rehired again in Jun 24th - Failed again - Freedom on Oct. 16th</t>
  </si>
  <si>
    <t>TPA's Allocation "Rejoin" / Left - Not recommended for rehire - Freedom on Oct. 16th</t>
  </si>
  <si>
    <t>Salma Zeinhom Ali Hassan Elarian</t>
  </si>
  <si>
    <t>01016621771</t>
  </si>
  <si>
    <t>Omar Raafat Hassan Ali</t>
  </si>
  <si>
    <t>01128884968</t>
  </si>
  <si>
    <t>Mostafa Khaled Helmy Mohamed Shersh</t>
  </si>
  <si>
    <t>01281947065</t>
  </si>
  <si>
    <t>Sandra Hany Eshak Eskander</t>
  </si>
  <si>
    <t>01207357296</t>
  </si>
  <si>
    <t>Ali Hassan Ali Shosha</t>
  </si>
  <si>
    <t>01065677818</t>
  </si>
  <si>
    <t>Mariam Ahmed Abdelhady Abdelghafar</t>
  </si>
  <si>
    <t>01033387428</t>
  </si>
  <si>
    <t xml:space="preserve">Shawki </t>
  </si>
  <si>
    <t>Mostafa Elsayed Hassan Saleh</t>
  </si>
  <si>
    <t>01001929174</t>
  </si>
  <si>
    <t>Omnia Khaled Hamada Ali</t>
  </si>
  <si>
    <t>01030515495</t>
  </si>
  <si>
    <t>Rehab Salaheldin Mohyeldin Gaafar</t>
  </si>
  <si>
    <t>01154930042</t>
  </si>
  <si>
    <t>Mahmoud Osama Mahrous Madkour</t>
  </si>
  <si>
    <t>01023859562</t>
  </si>
  <si>
    <t>Marwa Mohyeldin Mohyeldin Mohyeldin Moustafa</t>
  </si>
  <si>
    <t>01062955020</t>
  </si>
  <si>
    <t>Nariman Mohamed Soliman Ibrahim</t>
  </si>
  <si>
    <t>01014554099</t>
  </si>
  <si>
    <t>Ghada Hassan Gead Kajo</t>
  </si>
  <si>
    <t>P05783982</t>
  </si>
  <si>
    <t>01554044308</t>
  </si>
  <si>
    <t>A2-W18</t>
  </si>
  <si>
    <t>Rejected by Freedom Ops team on Oct. 21st</t>
  </si>
  <si>
    <t>Ahmed Yousri Mohamed Elshahat</t>
  </si>
  <si>
    <t>01016669844</t>
  </si>
  <si>
    <t>Amal Ahmed Hammad Mohamed</t>
  </si>
  <si>
    <t>01159481674</t>
  </si>
  <si>
    <t>sandra</t>
  </si>
  <si>
    <t>Omar Hassan Ibrahim Mohamed</t>
  </si>
  <si>
    <t>01148101068</t>
  </si>
  <si>
    <t>Mohamed Fahmy Abdelaziz Fahmy</t>
  </si>
  <si>
    <t>01068355598</t>
  </si>
  <si>
    <t>Passant Talaat Elsayed Abdelaaty</t>
  </si>
  <si>
    <t>01091021293</t>
  </si>
  <si>
    <t>Karim Emad Abdo Tawfeek</t>
  </si>
  <si>
    <t>01115854078</t>
  </si>
  <si>
    <t>Passant Tarek Anwar Abdallah</t>
  </si>
  <si>
    <t>01120160076</t>
  </si>
  <si>
    <t>Samar Omar Abdelrabo Shaaban</t>
  </si>
  <si>
    <t>01127112690</t>
  </si>
  <si>
    <t>Mohammed Khaled Mahmoud Abuhamra</t>
  </si>
  <si>
    <t>01015266433</t>
  </si>
  <si>
    <t>Itrip</t>
  </si>
  <si>
    <t>Left and was rehired by TA on Oct 21st in ECA Elite</t>
  </si>
  <si>
    <t>Rehired in Ring on Oct. 24th by TA</t>
  </si>
  <si>
    <t>George Adel Helmy Sahker</t>
  </si>
  <si>
    <t>01032643632</t>
  </si>
  <si>
    <t xml:space="preserve">Hassan Ali Mohamed Ali </t>
  </si>
  <si>
    <t>01028728290</t>
  </si>
  <si>
    <t>Mohamed Rashed Sayed Ali</t>
  </si>
  <si>
    <t>01022116214</t>
  </si>
  <si>
    <t>Wafaa Salah Fathi Abdelfattah</t>
  </si>
  <si>
    <t>01112601291</t>
  </si>
  <si>
    <t>Omar Montaser Mounir Amin</t>
  </si>
  <si>
    <t>01000220230</t>
  </si>
  <si>
    <t>Rahma Makhlof Hassan Mohamed</t>
  </si>
  <si>
    <t>01007588678</t>
  </si>
  <si>
    <t>Mahmoud Tawfeek Attia Tawfeek</t>
  </si>
  <si>
    <t>01110332235</t>
  </si>
  <si>
    <t>Sherouk Ahmed Ali Mohamed</t>
  </si>
  <si>
    <t>01100786028</t>
  </si>
  <si>
    <t>Sara Ahmed Abdallah Sherif</t>
  </si>
  <si>
    <t>01064496402</t>
  </si>
  <si>
    <t>Mariam Mostafa Abdelghafar Dahrog</t>
  </si>
  <si>
    <t>01283668662</t>
  </si>
  <si>
    <t>Reham Ibrahim Ahmed Rashad</t>
  </si>
  <si>
    <t>01200949992</t>
  </si>
  <si>
    <t>Mariam Mahmoud Hassan Mahmoud</t>
  </si>
  <si>
    <t>01065338001</t>
  </si>
  <si>
    <t>Mahmoud Ahmed Kassem Mohamed</t>
  </si>
  <si>
    <t>01064344039</t>
  </si>
  <si>
    <t>Marwa Hassan Hussien Salieh</t>
  </si>
  <si>
    <t>01005561791</t>
  </si>
  <si>
    <t>Yara Abdalla Mohamed Hamed</t>
  </si>
  <si>
    <t>P06165611</t>
  </si>
  <si>
    <t>01129796992</t>
  </si>
  <si>
    <t>Omnia Othman</t>
  </si>
  <si>
    <t xml:space="preserve">Du Ent. / Induction NS | TPA's Allocation "Freedom" | Rehired by TA in OPM on Oct. 29th </t>
  </si>
  <si>
    <t>WFR REQ Sent</t>
  </si>
  <si>
    <t>Not interested / Didn't rejoin - 2nd Intv by Freedom Ops and accepted on Oct 21st / WFR REQ Sent</t>
  </si>
  <si>
    <t>TPA's Allocation "Rejoin" - Accepted by Freedom Ops on Oct. 21st / WFR REQ Sent</t>
  </si>
  <si>
    <t>Not interested / Blacklisted</t>
  </si>
  <si>
    <t>Abdallah Mokhtar Hassan Ramadan</t>
  </si>
  <si>
    <t xml:space="preserve">TP Academy </t>
  </si>
  <si>
    <t>Ahmed Ramadan Salama Rashed</t>
  </si>
  <si>
    <t>Anas Ahmed Elsayed Mohamed</t>
  </si>
  <si>
    <t xml:space="preserve">Gapping </t>
  </si>
  <si>
    <t>Ezzeldin Mohamed Moawad Ali</t>
  </si>
  <si>
    <t>Nermine Nasser Abodeif Brekaa</t>
  </si>
  <si>
    <t>Antonious Magdy Milad Tolba</t>
  </si>
  <si>
    <t>Nada</t>
  </si>
  <si>
    <t>Abdelrahman Nabil Hosny Abdelmotaleb</t>
  </si>
  <si>
    <t>Eman Essam Refaey Seddik</t>
  </si>
  <si>
    <t>Amgad Sobhy Mohamed Atwa</t>
  </si>
  <si>
    <t>Hesham Mostafa Shabana Elsherbiny</t>
  </si>
  <si>
    <t>Khaled Fathi Ahmed Ibrahim</t>
  </si>
  <si>
    <t>Marwa Kamal Mohamed Younes</t>
  </si>
  <si>
    <t>Hend Mohamed Faried Eldesouky</t>
  </si>
  <si>
    <t>Mariam Mohamed Akram Ahmed</t>
  </si>
  <si>
    <t>01142546876</t>
  </si>
  <si>
    <t>01011010991</t>
  </si>
  <si>
    <t>01096912456</t>
  </si>
  <si>
    <t>01003323184</t>
  </si>
  <si>
    <t>01140297601</t>
  </si>
  <si>
    <t>01274656561</t>
  </si>
  <si>
    <t>01002107230</t>
  </si>
  <si>
    <t>01026936747</t>
  </si>
  <si>
    <t>01225253987</t>
  </si>
  <si>
    <t>01097153440</t>
  </si>
  <si>
    <t>01067888557</t>
  </si>
  <si>
    <t>01001147060</t>
  </si>
  <si>
    <t>01020840476</t>
  </si>
  <si>
    <t>01124096229</t>
  </si>
  <si>
    <t>Left and was rehired by ER on Nov 6st</t>
  </si>
  <si>
    <t>Left and rehired on Nov 5th</t>
  </si>
  <si>
    <t>Martina Moheb</t>
  </si>
  <si>
    <t>Mariam Alaa</t>
  </si>
  <si>
    <t>Ahmed Nabil Moussa Mansour</t>
  </si>
  <si>
    <t>Mahmoud Ahmed Abdelkerim Hassan</t>
  </si>
  <si>
    <t>Ibrahim Medhat Ibrahim Hanna</t>
  </si>
  <si>
    <t>Mostafa Mohamed Tarek Ahmed</t>
  </si>
  <si>
    <t xml:space="preserve">Salma </t>
  </si>
  <si>
    <t>Omar Abdelmoniem Saber Abdelmoniem</t>
  </si>
  <si>
    <t>Nancy Ashraf Adel Naguib</t>
  </si>
  <si>
    <t>Ibrahim Fayez Zaki Gergis</t>
  </si>
  <si>
    <t>Mohanad Ashraf Ahmed Fouad</t>
  </si>
  <si>
    <t>01022060627</t>
  </si>
  <si>
    <t>01009141693</t>
  </si>
  <si>
    <t>01021874846</t>
  </si>
  <si>
    <t>01154842576</t>
  </si>
  <si>
    <t>01147301929</t>
  </si>
  <si>
    <t>01028729528</t>
  </si>
  <si>
    <t>01023451018</t>
  </si>
  <si>
    <t>Nermine Mahmoud Abadi Rasem</t>
  </si>
  <si>
    <t>01111013561</t>
  </si>
  <si>
    <t>Ali Mohamed Ahmed Ali Bakshish</t>
  </si>
  <si>
    <t>01126906994</t>
  </si>
  <si>
    <t>Omar Atef Ahmed Gomaa</t>
  </si>
  <si>
    <t>01001273027</t>
  </si>
  <si>
    <t>Eslam Sobhy Mohamady Abdelsamea</t>
  </si>
  <si>
    <t>01115673870</t>
  </si>
  <si>
    <t>Mohamed Moataz Mohamed Salaheldin</t>
  </si>
  <si>
    <t>01112979735</t>
  </si>
  <si>
    <t>Asmaa Samy Mostafa Hafez</t>
  </si>
  <si>
    <t>01094285358</t>
  </si>
  <si>
    <t>Engy Mostafa Abdelazim Mohamed</t>
  </si>
  <si>
    <t>01117374936</t>
  </si>
  <si>
    <t>Mennatullah Yasser Hussein Mohamed</t>
  </si>
  <si>
    <t>01122287719</t>
  </si>
  <si>
    <t>Kholoud Emad Azizeldin Mohamed</t>
  </si>
  <si>
    <t>01003997731</t>
  </si>
  <si>
    <t>Ahmed Hossameldin Helmy Abdelhalim</t>
  </si>
  <si>
    <t>01119991035</t>
  </si>
  <si>
    <t>Mohamed Essameldin Mohamed Hussein</t>
  </si>
  <si>
    <t>01007884424</t>
  </si>
  <si>
    <t>Amr Ahmed Ali Elorabi</t>
  </si>
  <si>
    <t>01063270025</t>
  </si>
  <si>
    <t>Rehab Karim Ramdan Karim</t>
  </si>
  <si>
    <t>01123096687</t>
  </si>
  <si>
    <t>Bassel Tarek Hafez Hafez</t>
  </si>
  <si>
    <t>01121752209</t>
  </si>
  <si>
    <t>Abanoub Adel Adly Beshara</t>
  </si>
  <si>
    <t>01558266794</t>
  </si>
  <si>
    <t>A2-W19</t>
  </si>
  <si>
    <t>Agthia</t>
  </si>
  <si>
    <t>Transferred to Glovo on Nov 14</t>
  </si>
  <si>
    <t>Transferred to Glovo on Nov 10th</t>
  </si>
  <si>
    <t>EA - For some odd reason, he ended up in DU and left because the training was an unpaid one</t>
  </si>
  <si>
    <t>EA / Failed EA - Du on Nov 19th</t>
  </si>
  <si>
    <t>EA / Failed EA - Du on Nov 18th</t>
  </si>
  <si>
    <t>EA / Failed in EA - Du on Nov 18th</t>
  </si>
  <si>
    <t>Noureldin Hassan Mohamed Azouz</t>
  </si>
  <si>
    <t>01015213048</t>
  </si>
  <si>
    <t>Mohamed Walid Hossam Elsabbagh</t>
  </si>
  <si>
    <t>01125329208</t>
  </si>
  <si>
    <t>Mohamed Abdelrahman Mostafa Mansour</t>
  </si>
  <si>
    <t>01146146920</t>
  </si>
  <si>
    <t>Kariman Hosny Ibrahim Hussein</t>
  </si>
  <si>
    <t>01111924273</t>
  </si>
  <si>
    <t>Sara Mohamed Sultan Abdelsalam</t>
  </si>
  <si>
    <t>01212807606</t>
  </si>
  <si>
    <t>Omnia</t>
  </si>
  <si>
    <t>Esraa Adel Bedir Mahmoud</t>
  </si>
  <si>
    <t>01060118525</t>
  </si>
  <si>
    <t>Nayera Mostafa Mahrous Hassanin</t>
  </si>
  <si>
    <t>01146364492</t>
  </si>
  <si>
    <t>Khaled Ashraf Youssef Abdelraouf</t>
  </si>
  <si>
    <t>01001408893</t>
  </si>
  <si>
    <t>Nada Abdellatif Mahmoud Abdellatif</t>
  </si>
  <si>
    <t>01016652574</t>
  </si>
  <si>
    <t>Zakarya Mohammed Abdulqawi</t>
  </si>
  <si>
    <t>06408319</t>
  </si>
  <si>
    <t>01099798784</t>
  </si>
  <si>
    <t>Switched to Freedom due to no vacancy - TPA's Allocation "Comp. ECA"</t>
  </si>
  <si>
    <t>Missed Freedom's 2nd Intv, by Ops on Oct. 21st</t>
  </si>
  <si>
    <t>Mostafa Mohamed Gomaa Ali</t>
  </si>
  <si>
    <t>01012342340</t>
  </si>
  <si>
    <t>Salma Hussein Sedik Sayed</t>
  </si>
  <si>
    <t>01112169179</t>
  </si>
  <si>
    <t>Sally Gamil Abdelkerim Ali</t>
  </si>
  <si>
    <t>01126672449</t>
  </si>
  <si>
    <t>Esraa Khaled Mohamed Sayed</t>
  </si>
  <si>
    <t>01159377588</t>
  </si>
  <si>
    <t>Sherif Saad Mostafa Abdelbaset</t>
  </si>
  <si>
    <t>01097915245</t>
  </si>
  <si>
    <t>Mahmoud Zeinhom Mahmoud Abdelrahman</t>
  </si>
  <si>
    <t>01147666704</t>
  </si>
  <si>
    <t>Merna Mahmoud Ibrahim Abdelaziz</t>
  </si>
  <si>
    <t>01090419258</t>
  </si>
  <si>
    <t>Ahmed Ali Ahmed Break</t>
  </si>
  <si>
    <t>01127014525</t>
  </si>
  <si>
    <t>Mohamed Abdelrahman Mohamed Awad</t>
  </si>
  <si>
    <t>01144448283</t>
  </si>
  <si>
    <t>Mohamed Hassan Emam Hassan</t>
  </si>
  <si>
    <t>01023047998</t>
  </si>
  <si>
    <t>Magdy Essam Hassan Mohamed Eltony</t>
  </si>
  <si>
    <t>01120028841</t>
  </si>
  <si>
    <t>Amir Abdelmoniem Ahmed Mohamed Mansour</t>
  </si>
  <si>
    <t>01156650707</t>
  </si>
  <si>
    <t>A2-W20</t>
  </si>
  <si>
    <t>Hossam Elredy Adly Mohamed</t>
  </si>
  <si>
    <t>01277777904</t>
  </si>
  <si>
    <t>Rehired again by TA on Nov 26st in WU APAC</t>
  </si>
  <si>
    <t>WU APAC</t>
  </si>
  <si>
    <t>Not interested / Accepted Ring GER</t>
  </si>
  <si>
    <t>WFR REQ Sent / No show - Doesn't answer / Attended induction and left</t>
  </si>
  <si>
    <t>EA / No WFR - Induction NS</t>
  </si>
  <si>
    <t>Found another job</t>
  </si>
  <si>
    <t>Du / Induction / No WFR - Removed from class due to restrictions (Traveling)</t>
  </si>
  <si>
    <t>Wrong #</t>
  </si>
  <si>
    <t>Blacklisted due to behavior issues / Denied allowance by Kurdy / Dismissed</t>
  </si>
  <si>
    <t>Hired by TA while he was in a TPA class</t>
  </si>
  <si>
    <t xml:space="preserve">01119021136 </t>
  </si>
  <si>
    <t>Mayar Mohamed Salama Ahmed</t>
  </si>
  <si>
    <t>Tarek Diab Soliman Awad</t>
  </si>
  <si>
    <t>Nourhan Mokhtar Ali Elsayed</t>
  </si>
  <si>
    <t>Nada Alaaeldin Hamed Koshty</t>
  </si>
  <si>
    <t>Yasmine Tarek Ahmed Mohamed Kamar</t>
  </si>
  <si>
    <t>Bassem Ahmed Wagdy Elmounir</t>
  </si>
  <si>
    <t>Salma Hesham Ismail Mabrouk Elsisy</t>
  </si>
  <si>
    <t>Hager Mohamed Ahmed Abdelrahman</t>
  </si>
  <si>
    <t>Mai Ashraf Abdelfattah Mansour</t>
  </si>
  <si>
    <t>Dalia Abozeid Ahmed Elsawy</t>
  </si>
  <si>
    <t>Mahmoud Amin Mohamed Amin</t>
  </si>
  <si>
    <t>Arwa Mostafa Meari</t>
  </si>
  <si>
    <t>01015259144</t>
  </si>
  <si>
    <t>01112519832</t>
  </si>
  <si>
    <t>01005079894</t>
  </si>
  <si>
    <t>01062198094</t>
  </si>
  <si>
    <t>01098713935</t>
  </si>
  <si>
    <t>01091289448</t>
  </si>
  <si>
    <t>01092744635</t>
  </si>
  <si>
    <t>01017577463</t>
  </si>
  <si>
    <t>01120661114</t>
  </si>
  <si>
    <t>01128141555</t>
  </si>
  <si>
    <t>01550894214</t>
  </si>
  <si>
    <t>01010898808</t>
  </si>
  <si>
    <t>Put in Du Ent. due to lack of avail in Freedom</t>
  </si>
  <si>
    <t>Rehired in Ring on Dec 2nd / By Tarek</t>
  </si>
  <si>
    <t>Rehired in LLS on Dec 2nd / Recruiter was missing from WFR</t>
  </si>
  <si>
    <t>Transferred from ECA to Immersat and then from Immersat to Du Ent. on Dec 4th</t>
  </si>
  <si>
    <t>Hired in Sony UK, and transferred to Ring on Dec 2nd of 19</t>
  </si>
  <si>
    <t>Martina Moheb Fouad Shenouda</t>
  </si>
  <si>
    <t>01284456605</t>
  </si>
  <si>
    <t>R43</t>
  </si>
  <si>
    <t>Mariam Alaaeldin Abdelaziz Abbas</t>
  </si>
  <si>
    <t>01099667098</t>
  </si>
  <si>
    <t>Kurdy put her in B1 class instead of joining a nearshore account</t>
  </si>
  <si>
    <t>Menna-Allah Mohamed</t>
  </si>
  <si>
    <t>Transferred to OPM TS on Dec 9th</t>
  </si>
  <si>
    <t>Add-on by Rafla</t>
  </si>
  <si>
    <t>Amira Maged</t>
  </si>
  <si>
    <t>5th is too far for her / Pending anything in Mohandseen</t>
  </si>
  <si>
    <t>Doaa Ibrahim Abdallah Ibrahim</t>
  </si>
  <si>
    <t>Eid Gamal Eid Mohamed Hassan</t>
  </si>
  <si>
    <t>Veronica Atef Aziz Mahany</t>
  </si>
  <si>
    <t>Hossam Hassan Ahmed Mohammed</t>
  </si>
  <si>
    <t>Esraa Sayed Ibrahim Mohamed</t>
  </si>
  <si>
    <t>Ahmed Adel Mohamed Abdelaziz</t>
  </si>
  <si>
    <t>Nada Abdelsalam Refaat Abdelsalam</t>
  </si>
  <si>
    <t>Mina Kamal Kamel Agban</t>
  </si>
  <si>
    <t>Farida Ehab Khaled Mahmoud</t>
  </si>
  <si>
    <t>Enas Hassan Abdelgayed Khalifa</t>
  </si>
  <si>
    <t>Ahmed Mohamed Ata Ahmed</t>
  </si>
  <si>
    <t>Deyaaeldin Anwar Abdelhamid</t>
  </si>
  <si>
    <t>P00201146</t>
  </si>
  <si>
    <t>Omer Galal Saeed Bashir</t>
  </si>
  <si>
    <t>P04273011</t>
  </si>
  <si>
    <t>01116007404</t>
  </si>
  <si>
    <t>01553900175</t>
  </si>
  <si>
    <t>01208659515</t>
  </si>
  <si>
    <t>01025288636</t>
  </si>
  <si>
    <t>01016201539</t>
  </si>
  <si>
    <t>01066903992</t>
  </si>
  <si>
    <t>01141359133</t>
  </si>
  <si>
    <t>01289840542</t>
  </si>
  <si>
    <t>01065292959</t>
  </si>
  <si>
    <t>01064484881</t>
  </si>
  <si>
    <t>01098526330</t>
  </si>
  <si>
    <t>01123233227</t>
  </si>
  <si>
    <t>01226261006</t>
  </si>
  <si>
    <t>Comp. EA</t>
  </si>
  <si>
    <t>Mohamed Amr Mohamed Kamel</t>
  </si>
  <si>
    <t>01144110065</t>
  </si>
  <si>
    <t>Mohamed Mostafa Asaad Elanany</t>
  </si>
  <si>
    <t>01030903636 </t>
  </si>
  <si>
    <t>Nourhan Sherif Abdelwakel Khaled</t>
  </si>
  <si>
    <t>01112951594</t>
  </si>
  <si>
    <t>Basma Hussein Menaaz Elsayed</t>
  </si>
  <si>
    <t>01068955897</t>
  </si>
  <si>
    <t>Badr Mohamed Abdelhay Abdallah</t>
  </si>
  <si>
    <t>01151732374</t>
  </si>
  <si>
    <t>Seraj Abdelkader</t>
  </si>
  <si>
    <t>K0285297</t>
  </si>
  <si>
    <t>01097626068</t>
  </si>
  <si>
    <t>EA / Eng LOB - No WFR</t>
  </si>
  <si>
    <t>Offshore profile / No WFR</t>
  </si>
  <si>
    <t>Du / No WFR</t>
  </si>
  <si>
    <t>Mohamed Osama Abdelmoniem Ibrahim</t>
  </si>
  <si>
    <t>01554180743</t>
  </si>
  <si>
    <t>Momena</t>
  </si>
  <si>
    <t>Ahmed Mohamed Abdallah Mohamed</t>
  </si>
  <si>
    <t>01022357753</t>
  </si>
  <si>
    <t>Ahmed Said Mohamed Ali</t>
  </si>
  <si>
    <t>01007870139</t>
  </si>
  <si>
    <t>Ashrakat Essam Ali Ibrahim</t>
  </si>
  <si>
    <t>01141244212</t>
  </si>
  <si>
    <t>Nermine Salah Abdallah Abdelghany</t>
  </si>
  <si>
    <t>01140624819</t>
  </si>
  <si>
    <t>Abdelrahman Zeinelabden Shokry Darder</t>
  </si>
  <si>
    <t>01033899779</t>
  </si>
  <si>
    <t>Omima Mahmoud Mohamed Morsy</t>
  </si>
  <si>
    <t>01114531903</t>
  </si>
  <si>
    <t>Abdallah Kamal Fouad Kandil</t>
  </si>
  <si>
    <t>01092862571</t>
  </si>
  <si>
    <t>Ahmed Abdelkhalea Hendawy Abdelkhalea</t>
  </si>
  <si>
    <t>01150513633</t>
  </si>
  <si>
    <t>Yara Mohamed Reda Hashem</t>
  </si>
  <si>
    <t>01142086723</t>
  </si>
  <si>
    <t>Not Booked</t>
  </si>
  <si>
    <t>Jan Abdo Malek Seravim</t>
  </si>
  <si>
    <t>01016499967</t>
  </si>
  <si>
    <t>Mohamed Farag Aboelezz Mesilhey</t>
  </si>
  <si>
    <t>01141033569</t>
  </si>
  <si>
    <t>Beshoy Malak Gamil Ghoras</t>
  </si>
  <si>
    <t>01093729421</t>
  </si>
  <si>
    <t>Doaa Mohamed Faek Mohamed</t>
  </si>
  <si>
    <t>01064148669</t>
  </si>
  <si>
    <t>A2-W21</t>
  </si>
  <si>
    <t>Removed by on-boarding team from UK due to college - ECA</t>
  </si>
  <si>
    <t>Rehired again by Taymoor in OPM on Dec 10th</t>
  </si>
  <si>
    <t>Rejected / Restrictions: Location</t>
  </si>
  <si>
    <t>Another # 01020034110 / UG</t>
  </si>
  <si>
    <t>Khaled Ahmed Mohsen</t>
  </si>
  <si>
    <t>06191899</t>
  </si>
  <si>
    <t>Amr Hesham Ahmed Rehan</t>
  </si>
  <si>
    <t>Osama Ahmed Abdelsalam Abdelsalam</t>
  </si>
  <si>
    <t>Aya Khaled Abdelaziz Ali</t>
  </si>
  <si>
    <t>01017367399</t>
  </si>
  <si>
    <t>01018083124</t>
  </si>
  <si>
    <t>01000662352</t>
  </si>
  <si>
    <t>01284884336</t>
  </si>
  <si>
    <t>Not interested, only in EA / Lives in Badr and doesn't want to join again</t>
  </si>
  <si>
    <t>Dalia Mahmoud</t>
  </si>
  <si>
    <t>Adam Yehia</t>
  </si>
  <si>
    <t>Mennatullah Mohamed Abdelsalam Mostafa</t>
  </si>
  <si>
    <t>R45</t>
  </si>
  <si>
    <t>01010614080</t>
  </si>
  <si>
    <t>Rehired in ECA on Dec 9th by Mina</t>
  </si>
  <si>
    <t>Kerollos Kamal Sobhy Kamel</t>
  </si>
  <si>
    <t>Abanoub Wagdy Ryad Atwan</t>
  </si>
  <si>
    <t>Mennatullah Sameh Ahmed Bahyeldin</t>
  </si>
  <si>
    <t>Abdelhamid Saad Helmy Saad</t>
  </si>
  <si>
    <t>Mary Waguih Shawky Mikhael</t>
  </si>
  <si>
    <t>Nourhan Adel Fathy Ali</t>
  </si>
  <si>
    <t>Marina Momtaz Amin Boules</t>
  </si>
  <si>
    <t>Mostafa Adel Abdellatif Mohamed</t>
  </si>
  <si>
    <t>Rasha Fathy Awad Mansour</t>
  </si>
  <si>
    <t>Marian Mahfouz Aziz Saad</t>
  </si>
  <si>
    <t>Sherine Elsaeed Abdelhamid Elfaramawy</t>
  </si>
  <si>
    <t>Mahmoud Hammam Abdelbaset Hefny</t>
  </si>
  <si>
    <t>Alaa Magdy Ibrahim Abdelrahman</t>
  </si>
  <si>
    <t>01149494102</t>
  </si>
  <si>
    <t>01062604870</t>
  </si>
  <si>
    <t>01127957080</t>
  </si>
  <si>
    <t>01146251166</t>
  </si>
  <si>
    <t>01203008522</t>
  </si>
  <si>
    <t>01003538061</t>
  </si>
  <si>
    <t>01285209275</t>
  </si>
  <si>
    <t>01123020120</t>
  </si>
  <si>
    <t>01117281772</t>
  </si>
  <si>
    <t>01221322209</t>
  </si>
  <si>
    <t>01095760597</t>
  </si>
  <si>
    <t>01098958980</t>
  </si>
  <si>
    <t>01144685083</t>
  </si>
  <si>
    <t>A2-W22</t>
  </si>
  <si>
    <t>Du / Simulation or Testing Failure TR - Rehired Aghtia on Jan 7th of 20</t>
  </si>
  <si>
    <t>Eman Alaaeldin Hashem Ahmed</t>
  </si>
  <si>
    <t>Shaimaa Reda Mohamed Farag</t>
  </si>
  <si>
    <t>Hassan Mohamed Hassan Khaled</t>
  </si>
  <si>
    <t>Ahmed Abdelsalam Mohamed Hassan</t>
  </si>
  <si>
    <t>Omar Fathi Mohamed Ibrahim</t>
  </si>
  <si>
    <t>Mohamed Abdelfattah Ibrahim Ahmed</t>
  </si>
  <si>
    <t>Ezzat Medhat Ezzat Kurdy</t>
  </si>
  <si>
    <t xml:space="preserve">Nahed Gamal Hassan Ahmed </t>
  </si>
  <si>
    <t>Mohamed Hamza Mohamed Omran</t>
  </si>
  <si>
    <t>Tamer Abdelazim Younes Ahmed</t>
  </si>
  <si>
    <t>01151197221</t>
  </si>
  <si>
    <t>01011407124</t>
  </si>
  <si>
    <t>01004743773</t>
  </si>
  <si>
    <t>01155008038</t>
  </si>
  <si>
    <t>01016610873</t>
  </si>
  <si>
    <t>01004045237</t>
  </si>
  <si>
    <t>01141517279</t>
  </si>
  <si>
    <t>01124425182</t>
  </si>
  <si>
    <t>01025976566</t>
  </si>
  <si>
    <t>01007835197</t>
  </si>
  <si>
    <t>Comp. Re-join</t>
  </si>
  <si>
    <t>2nd Intv. by me</t>
  </si>
  <si>
    <t>Rehired by TA in ECA on Jan 7th</t>
  </si>
  <si>
    <t>Pending Fursan / Not interested | DU - Transferred from Du to Agthia on Jan 9th</t>
  </si>
  <si>
    <t>Nahdi / Transferred to Amazon Retail on Nov 25th - Transferred back to Nahdi on Dec 10th of 19</t>
  </si>
  <si>
    <t>RTS on the 22nd of Dec - Better offer</t>
  </si>
  <si>
    <t>Mostafa Tarek Khairy Ragheb</t>
  </si>
  <si>
    <t>Shorouk Essam Emam Mohamed</t>
  </si>
  <si>
    <t>Ahmed</t>
  </si>
  <si>
    <t>Mohamed Abdelhafez Elsharkawy Ahmed</t>
  </si>
  <si>
    <t>Mahmoud Ali Emam Elshafey</t>
  </si>
  <si>
    <t>Karim Sherif Refaat Ahmed</t>
  </si>
  <si>
    <t>Mohamed Osama Mohamed Yehia</t>
  </si>
  <si>
    <t>Salma Mounir Fahmy Abdelhamid</t>
  </si>
  <si>
    <t xml:space="preserve">Khadiga Ali Abdelbary Mohamed </t>
  </si>
  <si>
    <t>Alaa Abdelfattah Ibrahim Kotb</t>
  </si>
  <si>
    <t>Mohannad</t>
  </si>
  <si>
    <t>Yasmine Mahmoud Mohamed Mohamed</t>
  </si>
  <si>
    <t>01272810727</t>
  </si>
  <si>
    <t>01025280099</t>
  </si>
  <si>
    <t>01110898469</t>
  </si>
  <si>
    <t>01000183305</t>
  </si>
  <si>
    <t>01006133400</t>
  </si>
  <si>
    <t>01033002325</t>
  </si>
  <si>
    <t>01023457988</t>
  </si>
  <si>
    <t>01127061735</t>
  </si>
  <si>
    <t>01096356487</t>
  </si>
  <si>
    <t>01020887328</t>
  </si>
  <si>
    <t>Pending Interv. with ECA Op</t>
  </si>
  <si>
    <t>Transferred to ECA on Jan 20th of 20</t>
  </si>
  <si>
    <t>Alaa Adel Mahmoud Ahmed Abdelmoniem</t>
  </si>
  <si>
    <t>Amira Mohamed Sayed Khalil</t>
  </si>
  <si>
    <t>Abdelrahman Hesham Mohamed Mosaad</t>
  </si>
  <si>
    <t>Afaf Gamal Shalkamy Mohamed</t>
  </si>
  <si>
    <t>Karim Mohamed Said Mohamed</t>
  </si>
  <si>
    <t>Mennatullah Ibarhim Mohamed Gad</t>
  </si>
  <si>
    <t>Islam Moustafa Mohamed Mohamed Saleh</t>
  </si>
  <si>
    <t>Fadi Alber Rasmy Matta</t>
  </si>
  <si>
    <t>Omneya</t>
  </si>
  <si>
    <t>Sohila Saber Mohamed Eid</t>
  </si>
  <si>
    <t>Abdelrahman Said Attia Abdelhamid</t>
  </si>
  <si>
    <t>Sally Abdelfattah Hassan Elfar</t>
  </si>
  <si>
    <t>Shorouk Salah Elsayed Mohamed</t>
  </si>
  <si>
    <t>01004881345</t>
  </si>
  <si>
    <t>01010600455</t>
  </si>
  <si>
    <t>01011120627</t>
  </si>
  <si>
    <t>01121022623</t>
  </si>
  <si>
    <t>01069799255</t>
  </si>
  <si>
    <t>01022066584</t>
  </si>
  <si>
    <t>01140405066</t>
  </si>
  <si>
    <t>01221000223</t>
  </si>
  <si>
    <t>01093119736</t>
  </si>
  <si>
    <t>01097897766</t>
  </si>
  <si>
    <t>01033075502</t>
  </si>
  <si>
    <t>01016132712</t>
  </si>
  <si>
    <t>A2-W23</t>
  </si>
  <si>
    <t>Shady Farouk Abdelfattah Abdelwahed</t>
  </si>
  <si>
    <t>01112600683</t>
  </si>
  <si>
    <t>Ibrahim Mamdouh Salah Abdelhady</t>
  </si>
  <si>
    <t>01098930000</t>
  </si>
  <si>
    <t>Noha Hossam</t>
  </si>
  <si>
    <t>Switched off</t>
  </si>
  <si>
    <t>Samar Ahmed Helmy Tawfeek</t>
  </si>
  <si>
    <t>01007707182</t>
  </si>
  <si>
    <t>Mohamed Maher Mohamed Ismail</t>
  </si>
  <si>
    <t>01010626733</t>
  </si>
  <si>
    <t>Karim Ahmed Abdelrazek Ahmed</t>
  </si>
  <si>
    <t>01100398123</t>
  </si>
  <si>
    <t>Mairam</t>
  </si>
  <si>
    <t>Abdelmoniem Ahmed Mohamed Abdelmoniem</t>
  </si>
  <si>
    <t>01155500265</t>
  </si>
  <si>
    <t>Sara Tamer Abdelkader Mahmoud</t>
  </si>
  <si>
    <t>01287072740</t>
  </si>
  <si>
    <t>Dania Osama Mohamed Othman</t>
  </si>
  <si>
    <t>01123330140</t>
  </si>
  <si>
    <t>Mayada Mohamed Abdelrehim Abdallah</t>
  </si>
  <si>
    <t>01125452834</t>
  </si>
  <si>
    <t>Omneya Othman</t>
  </si>
  <si>
    <t>Amr Emadeldin Mohamed Elashkar</t>
  </si>
  <si>
    <t>01155622331</t>
  </si>
  <si>
    <t>Samuel Ayman Fahmy Habib</t>
  </si>
  <si>
    <t>01200022741</t>
  </si>
  <si>
    <t>DF</t>
  </si>
  <si>
    <t>Dalia Mahmoud Elsayed Abdelaziz</t>
  </si>
  <si>
    <t>R46</t>
  </si>
  <si>
    <t>01100787353</t>
  </si>
  <si>
    <t>Du / DF - RTS</t>
  </si>
  <si>
    <t>Du / DF - Will confirm back</t>
  </si>
  <si>
    <t>DF / Pending 2nd Intv. WU (???)</t>
  </si>
  <si>
    <t>DF / RTS</t>
  </si>
  <si>
    <t>Wants off-shore only</t>
  </si>
  <si>
    <t>Was given a 2nd interview / Same outcome - Du / DF - Unreachable</t>
  </si>
  <si>
    <t>Du / DF - Unreachable</t>
  </si>
  <si>
    <t>RTS / DF - Du / NS + Another class - Unreachable</t>
  </si>
  <si>
    <t>EA / Left</t>
  </si>
  <si>
    <t>Aghzia / No WFR - Induction NS - Blacklisted</t>
  </si>
  <si>
    <t>Du / Induction / No WFR - NS - Du / DF - Wants off-shore only</t>
  </si>
  <si>
    <t>UG / 4th yr / 5 exams in Jun</t>
  </si>
  <si>
    <t>Rejoiner / No case sent</t>
  </si>
  <si>
    <t>Not OK with 2 AM shifts - Jan 28th of 20 / Transferred to Du Ent.</t>
  </si>
  <si>
    <t>Ali Kabary Mohamed Shehata</t>
  </si>
  <si>
    <t>Dina Lapisac</t>
  </si>
  <si>
    <t>Nesma Ibrahim Abdelsamea Ibrahim</t>
  </si>
  <si>
    <t>Hussein Zohny Mohamed Naguib</t>
  </si>
  <si>
    <t>Khaled Mohamed Ali Ali</t>
  </si>
  <si>
    <t>Mahmoud Ibrahim Mohamed Mohamed Abdo</t>
  </si>
  <si>
    <t>Mustafa Murad Abdulqader</t>
  </si>
  <si>
    <t>Badr Emad Badr Mohamed</t>
  </si>
  <si>
    <t>Ahmed Sherif Mohamed Fathi</t>
  </si>
  <si>
    <t>29209290102478</t>
  </si>
  <si>
    <t>EC6929354</t>
  </si>
  <si>
    <t>Sakran</t>
  </si>
  <si>
    <t>29701120101151</t>
  </si>
  <si>
    <t>Mohanad</t>
  </si>
  <si>
    <t>04999568</t>
  </si>
  <si>
    <t>SWVL</t>
  </si>
  <si>
    <t>01025894862</t>
  </si>
  <si>
    <t>01066487558</t>
  </si>
  <si>
    <t>01126466652</t>
  </si>
  <si>
    <t>01152894665</t>
  </si>
  <si>
    <t>01123035279</t>
  </si>
  <si>
    <t>01067323655</t>
  </si>
  <si>
    <t>01000668244</t>
  </si>
  <si>
    <t>01069979818</t>
  </si>
  <si>
    <t>Samar Fawzy Elghobashy Attia</t>
  </si>
  <si>
    <t>01017270989</t>
  </si>
  <si>
    <t>Toka Salah Ahmed Said</t>
  </si>
  <si>
    <t>29410160101043</t>
  </si>
  <si>
    <t>01099266725</t>
  </si>
  <si>
    <t>Somaya Hany Atef Taha</t>
  </si>
  <si>
    <t>01091606269</t>
  </si>
  <si>
    <t>Dina Ashour Ibrahim Ali</t>
  </si>
  <si>
    <t>01221317239</t>
  </si>
  <si>
    <t>sylvia</t>
  </si>
  <si>
    <t>Omar Ahmed Lotfy Mahmoud</t>
  </si>
  <si>
    <t>29701011425132</t>
  </si>
  <si>
    <t>01141172623</t>
  </si>
  <si>
    <t>Ayatullah Mohamed Ibrahim Elsayed</t>
  </si>
  <si>
    <t>01016401615</t>
  </si>
  <si>
    <t>Mahmoud Mohamed Osama Gamaleldin</t>
  </si>
  <si>
    <t>01115829946</t>
  </si>
  <si>
    <t>Amgad Mohamed Said Mostafa</t>
  </si>
  <si>
    <t>Drop-out</t>
  </si>
  <si>
    <t>01021341553</t>
  </si>
  <si>
    <t>Samir Samir Abdelnaby Mohamed</t>
  </si>
  <si>
    <t>01012808439</t>
  </si>
  <si>
    <t>Initial</t>
  </si>
  <si>
    <t>Interviewer</t>
  </si>
  <si>
    <t>Source</t>
  </si>
  <si>
    <t>Obs</t>
  </si>
  <si>
    <t>SSR</t>
  </si>
  <si>
    <t>Exit</t>
  </si>
  <si>
    <t>TA</t>
  </si>
  <si>
    <t>TPA A2</t>
  </si>
  <si>
    <t xml:space="preserve">Omar </t>
  </si>
  <si>
    <t>Comp. TPA</t>
  </si>
  <si>
    <t>Comp.</t>
  </si>
  <si>
    <t>Rejoin/Comp. ECA</t>
  </si>
  <si>
    <t>Rejoiner</t>
  </si>
  <si>
    <t>Rejoiner/Com. ECA</t>
  </si>
  <si>
    <t>Rejoiner/Nearshore</t>
  </si>
  <si>
    <t>Compromised ECA</t>
  </si>
  <si>
    <t>Compromised Freedom</t>
  </si>
  <si>
    <t>Compromised Nearshore</t>
  </si>
  <si>
    <t>Not TPA</t>
  </si>
  <si>
    <t>Location / Time restrictions - Du Ent / RTS / Lives in Asyut</t>
  </si>
  <si>
    <t>Has exams / 7 Subjects - Du</t>
  </si>
  <si>
    <t>RTS 3rd of Jan - Du</t>
  </si>
  <si>
    <t>She chose nearshore over TPA/B1 - Du</t>
  </si>
  <si>
    <t>Glovo - Du - Transferred from Du to Talabat</t>
  </si>
  <si>
    <t>i2R</t>
  </si>
  <si>
    <t>01119278939</t>
  </si>
  <si>
    <t>Lives in Oct. / Account restrictions - Du Ent.</t>
  </si>
  <si>
    <t>Du Ent</t>
  </si>
  <si>
    <t>Attended incution</t>
  </si>
  <si>
    <t>Mina Eid Shehata Shehata</t>
  </si>
  <si>
    <t>Gap</t>
  </si>
  <si>
    <t>01221705366</t>
  </si>
  <si>
    <t>Abdallah Mostafa Hassan Mohamed</t>
  </si>
  <si>
    <t>01129103858</t>
  </si>
  <si>
    <t>Samia Mahmoud Abdelsalam Mahmoud</t>
  </si>
  <si>
    <t>01113091997</t>
  </si>
  <si>
    <t>Esraa Mohamed Gamea Salem</t>
  </si>
  <si>
    <t>01091376512</t>
  </si>
  <si>
    <t>Mostafa Amin Zaki Maged</t>
  </si>
  <si>
    <t>01068076561</t>
  </si>
  <si>
    <t>Mariam Hany Nathan Farag</t>
  </si>
  <si>
    <t>01228489097</t>
  </si>
  <si>
    <t>David George Ayad Banayoti</t>
  </si>
  <si>
    <t>01228735227</t>
  </si>
  <si>
    <t>Yasser Samir Mahmoud Abdelfattah</t>
  </si>
  <si>
    <t>01002881773</t>
  </si>
  <si>
    <t>Aya Wael Abdallah Salem</t>
  </si>
  <si>
    <t>01117502268</t>
  </si>
  <si>
    <t>Mohamed Ahmed Farouk Ghaly</t>
  </si>
  <si>
    <t>01003353844</t>
  </si>
  <si>
    <t>Marwa Hassan Kamal Azab</t>
  </si>
  <si>
    <t>01221556079</t>
  </si>
  <si>
    <t>Sherif Fakry Mostafa Elashry</t>
  </si>
  <si>
    <t>01002195555</t>
  </si>
  <si>
    <t>A2W24</t>
  </si>
  <si>
    <t>Comp. ECA</t>
  </si>
  <si>
    <t>Comp Freedom</t>
  </si>
  <si>
    <t>Comp Nearshore</t>
  </si>
  <si>
    <t>Comp ECA</t>
  </si>
  <si>
    <t>Comp WU</t>
  </si>
  <si>
    <t>Yomna</t>
  </si>
  <si>
    <t>Sim2 / Obs2</t>
  </si>
  <si>
    <t>Comp B1</t>
  </si>
  <si>
    <t>Nehal</t>
  </si>
  <si>
    <t>Lydia</t>
  </si>
  <si>
    <t>Asmaa Eid Abdelraouf Abdelzaher</t>
  </si>
  <si>
    <t>Khaled Mahmoud Mohamed Ali</t>
  </si>
  <si>
    <t>Mohanad Abdelhamid Abdelmoniem Amer</t>
  </si>
  <si>
    <t>Walid Saber Darwish Mostafa</t>
  </si>
  <si>
    <t>Aya Magdy Zaki Attia</t>
  </si>
  <si>
    <t>Shehabeldin Ayman Elsayed Amer</t>
  </si>
  <si>
    <t>Rawan Mosaad Abdelfattah Desouky</t>
  </si>
  <si>
    <t>Ahmed Ragab Abdelmaboud Ragab</t>
  </si>
  <si>
    <t>Mohamed Ibrahim Elsayed Saad</t>
  </si>
  <si>
    <t>Wael Mohamed Mohamed Ismail</t>
  </si>
  <si>
    <t>Ali Ramadan Ali Mohamed</t>
  </si>
  <si>
    <t>Omar Ashraf Ibrahim Ali</t>
  </si>
  <si>
    <t>Mahmoud Emadeldin Mahmoud Hassan</t>
  </si>
  <si>
    <t>Omar Hossam Amin Amin</t>
  </si>
  <si>
    <t>29803122402031</t>
  </si>
  <si>
    <t>Heba</t>
  </si>
  <si>
    <t>29303282100501</t>
  </si>
  <si>
    <t>Marwan</t>
  </si>
  <si>
    <t>01125240436</t>
  </si>
  <si>
    <t>01550564852</t>
  </si>
  <si>
    <t>01114413891</t>
  </si>
  <si>
    <t>01226507821</t>
  </si>
  <si>
    <t>01276811413</t>
  </si>
  <si>
    <t>01011582331</t>
  </si>
  <si>
    <t>01010362638</t>
  </si>
  <si>
    <t>01156606088</t>
  </si>
  <si>
    <t>01015637876</t>
  </si>
  <si>
    <t>01001523399</t>
  </si>
  <si>
    <t>01032691287</t>
  </si>
  <si>
    <t>01119519781</t>
  </si>
  <si>
    <t>01100334567</t>
  </si>
  <si>
    <t>01153649753</t>
  </si>
  <si>
    <t>Ali Adel Ali Mohamed</t>
  </si>
  <si>
    <t>29906200107037</t>
  </si>
  <si>
    <t>01551213430</t>
  </si>
  <si>
    <t>Com. ECA/Com. Freedom</t>
  </si>
  <si>
    <t>Rejoiner/Com. Freedom</t>
  </si>
  <si>
    <t>Rejoin/Offshore</t>
  </si>
  <si>
    <t>Comp. ECA / Comp. Freedom</t>
  </si>
  <si>
    <t>Freedom / ECA</t>
  </si>
  <si>
    <t>Rehired in ECA on Mar 2nd</t>
  </si>
  <si>
    <t>Unreachable / DF - Changed to ECA due to avail</t>
  </si>
  <si>
    <t>Hired in Glovo, then requested transfer to Du Consumer on Feb 4th of 20</t>
  </si>
  <si>
    <t>Hired Talabat / No WFR</t>
  </si>
  <si>
    <t>Not interested / Location and salary concerns</t>
  </si>
  <si>
    <t>Left / Rehired in ECA on Feb 17th of 20 by Salma</t>
  </si>
  <si>
    <t>Glovo / Transferred to Talabat on Feb 16th of 20</t>
  </si>
  <si>
    <t>Osama Ahmed Hatem Hamdy</t>
  </si>
  <si>
    <t>30103200100415</t>
  </si>
  <si>
    <t>01159087947</t>
  </si>
  <si>
    <t>Shokran Hosny Mohamed Ahmed</t>
  </si>
  <si>
    <t>01019865179</t>
  </si>
  <si>
    <t>Fady Ahmed Youssry Ahmed</t>
  </si>
  <si>
    <t>01016666363</t>
  </si>
  <si>
    <t>Abdelrahman Said Ibrahim Ali</t>
  </si>
  <si>
    <t>29307220104297</t>
  </si>
  <si>
    <t>01094754320</t>
  </si>
  <si>
    <t>Safwat</t>
  </si>
  <si>
    <t>Clara Maher Ibrahim Aboelmaaty</t>
  </si>
  <si>
    <t>01288299978</t>
  </si>
  <si>
    <t>Ahmed Ali Mahrous Ali</t>
  </si>
  <si>
    <t>01000069507</t>
  </si>
  <si>
    <t>Mahmoud Ahmed Abdelgelil Hussein</t>
  </si>
  <si>
    <t>01145473168</t>
  </si>
  <si>
    <t>Ayman Nabil Mahmoud Nady</t>
  </si>
  <si>
    <t>01094790508</t>
  </si>
  <si>
    <t>Laila Gad Ryad Omar</t>
  </si>
  <si>
    <t>01012778906</t>
  </si>
  <si>
    <t>Mahmoud Abdelmaboud Mohamed Abohagar</t>
  </si>
  <si>
    <t>01010290780</t>
  </si>
  <si>
    <t>Mohamed Hossam Mohamed Abdelsalam</t>
  </si>
  <si>
    <t>01156937576</t>
  </si>
  <si>
    <t>Comp. Rejoin</t>
  </si>
  <si>
    <t>Ethar</t>
  </si>
  <si>
    <t>Nearshore/Rejoin</t>
  </si>
  <si>
    <t>Hired SBD</t>
  </si>
  <si>
    <t>Salihiya</t>
  </si>
  <si>
    <t>Talabat</t>
  </si>
  <si>
    <t xml:space="preserve">Interviews Duration </t>
  </si>
  <si>
    <t>1- Introduce yourself?</t>
  </si>
  <si>
    <t>Experience</t>
  </si>
  <si>
    <t>2- Why did you leave your previous job?</t>
  </si>
  <si>
    <t>Attitude</t>
  </si>
  <si>
    <t>3- Why CS?</t>
  </si>
  <si>
    <t>The candidate must show interest in the job to accept the idea of TPA</t>
  </si>
  <si>
    <t>4- Situational question</t>
  </si>
  <si>
    <t>This will be refrence for us in the Exit interview as it might help in his allocation</t>
  </si>
  <si>
    <t xml:space="preserve">5- Question to indentify the mindset of the candidate </t>
  </si>
  <si>
    <t xml:space="preserve">The candidate must be open minded - attitude </t>
  </si>
  <si>
    <t xml:space="preserve">6- Two open-end questions or an activity </t>
  </si>
  <si>
    <t>Grammar&amp; Vocab &amp; pronunciation</t>
  </si>
  <si>
    <t>Culture &amp; Mindset</t>
  </si>
  <si>
    <t>What can we expect from you in the first 60 days on the job?</t>
  </si>
  <si>
    <t>Give an example of a goal you reached and tell me how you achieved it.</t>
  </si>
  <si>
    <t>What motivates you?</t>
  </si>
  <si>
    <t>Would you rather be respected or feared?</t>
  </si>
  <si>
    <t>What are the major differences you can think of between the western culture and ours?</t>
  </si>
  <si>
    <t>What are your added values to the company?</t>
  </si>
  <si>
    <t>What is good customer service?</t>
  </si>
  <si>
    <t>Fluency</t>
  </si>
  <si>
    <t>How would you explain a complicated technical problem to a colleague with less technical understanding?</t>
  </si>
  <si>
    <t>Could you describe the home you would like to have in the future?</t>
  </si>
  <si>
    <t>What is your favorite memory from childhood?</t>
  </si>
  <si>
    <t>What kind of weather do you like the most/the least? Why? Which season of the year do you like best/the least? Why?</t>
  </si>
  <si>
    <t>How do you plan to achieve your goals?</t>
  </si>
  <si>
    <t>If you could be given any super power, what would you choose?</t>
  </si>
  <si>
    <t>What kind of behaviors do you hate in our society?</t>
  </si>
  <si>
    <t xml:space="preserve">Grammar </t>
  </si>
  <si>
    <t> What are your future plans?</t>
  </si>
  <si>
    <t>Describe a stressful situation at work and how you handled it.</t>
  </si>
  <si>
    <t xml:space="preserve">Tell me about something you've done in your current (or most recent) job that is creative. </t>
  </si>
  <si>
    <t>What is your dream job?</t>
  </si>
  <si>
    <t>Have you handled a difficult situation with a supervisor/or anyone? How?</t>
  </si>
  <si>
    <t xml:space="preserve">Do you prefer to work alone or in a team? </t>
  </si>
  <si>
    <t>What type of working environment do you like? Why?</t>
  </si>
  <si>
    <t>Who is your role model? Why ?</t>
  </si>
  <si>
    <t>What major challenges and problems did you face? How did you handle them?</t>
  </si>
  <si>
    <t>Questions</t>
  </si>
  <si>
    <t>5-15 mins</t>
  </si>
  <si>
    <t>Language Mistakes to Avoid</t>
  </si>
  <si>
    <t>Grammar &amp; Vocab</t>
  </si>
  <si>
    <t>*Literal Translation
*Collocations &amp; Expressions
*Coherence
*Lack of Vocab</t>
  </si>
  <si>
    <t>Fluency &amp; Pronunciation</t>
  </si>
  <si>
    <t>*Major Enunciation &amp; Speech Clarity (Depends on severity)
*Pace (Mixture of fast pace and speech clarity)
*Major Accent &amp; Lisp
*Major Hesitation &amp; Nervousness</t>
  </si>
  <si>
    <t>Noha Hossam Mahmoud Emam</t>
  </si>
  <si>
    <t>R47</t>
  </si>
  <si>
    <t>Glovo Kenya / Transferred to ECA on Feb 24th of 20</t>
  </si>
  <si>
    <t>Salma Hossameldin Shawky Abdelaziz</t>
  </si>
  <si>
    <t>01110702030</t>
  </si>
  <si>
    <t>Dina Ahmed Hussien Sayed</t>
  </si>
  <si>
    <t>01129704050</t>
  </si>
  <si>
    <t>Ismail Adham Ismail Hussein</t>
  </si>
  <si>
    <t>01013897803</t>
  </si>
  <si>
    <t>Ali</t>
  </si>
  <si>
    <t>Ali Badr Ali Abdelgawad</t>
  </si>
  <si>
    <t>01555060363</t>
  </si>
  <si>
    <t>Nada Mohamed Helmy Mohamed</t>
  </si>
  <si>
    <t>01026751218</t>
  </si>
  <si>
    <t>Fakhreldin Samy Amin Hefny</t>
  </si>
  <si>
    <t>01149015654</t>
  </si>
  <si>
    <t>Abdallah Ramadan Abdo Abdrabo</t>
  </si>
  <si>
    <t>01149127057</t>
  </si>
  <si>
    <t>Noura Tarek Abdelghany Metwally</t>
  </si>
  <si>
    <t>01115632920</t>
  </si>
  <si>
    <t>Abdelrahman Mohamed Gadelrab Abdelemam</t>
  </si>
  <si>
    <t>01066531829</t>
  </si>
  <si>
    <t>Heidi</t>
  </si>
  <si>
    <t>Roba Adel Agamy Hassan</t>
  </si>
  <si>
    <t>01069437072</t>
  </si>
  <si>
    <t>Rejoin/Freedom</t>
  </si>
  <si>
    <t>Com.ECA/Freedom</t>
  </si>
  <si>
    <t>Mohamed Sayed Abdelhamid Mohamed</t>
  </si>
  <si>
    <t>Mohamed Abdelhamid Hassan Afify</t>
  </si>
  <si>
    <t>Mostafa Salah Mohamed Abdelhady</t>
  </si>
  <si>
    <t>Mohamed Osama Salaheldin Mohamed</t>
  </si>
  <si>
    <t>Abdelrahman Mohamed Abdelsamea Elhassanin</t>
  </si>
  <si>
    <t>Sara Mohamed Aboserie Gabr</t>
  </si>
  <si>
    <t>Mohamed Fawzy Elsayed Youssef</t>
  </si>
  <si>
    <t>Nada Farrag Mohamed Ahmed</t>
  </si>
  <si>
    <t>Nardine Hany George Khalil</t>
  </si>
  <si>
    <t>Ali Abdelnaby Mohamed Abdelnaby</t>
  </si>
  <si>
    <t>Mayar Mohamed Ragaey Ahmed</t>
  </si>
  <si>
    <t>Ahmed Mohamed Naguib Mahmoud</t>
  </si>
  <si>
    <t>01114992081</t>
  </si>
  <si>
    <t>01112607782</t>
  </si>
  <si>
    <t>01121520825</t>
  </si>
  <si>
    <t>01012099871</t>
  </si>
  <si>
    <t>01005438002</t>
  </si>
  <si>
    <t>01118176680</t>
  </si>
  <si>
    <t>01550400499</t>
  </si>
  <si>
    <t>01150996658</t>
  </si>
  <si>
    <t>01204141997</t>
  </si>
  <si>
    <t>01152569196</t>
  </si>
  <si>
    <t>01095457903</t>
  </si>
  <si>
    <t>01005765327</t>
  </si>
  <si>
    <t>A2W25</t>
  </si>
  <si>
    <t>TPA - B1</t>
  </si>
  <si>
    <t>Nearshore/B1 Program</t>
  </si>
  <si>
    <t>Compromised TPA - B1</t>
  </si>
  <si>
    <t>Transferred from Du to P&amp;G on Feb 26st</t>
  </si>
  <si>
    <t>RTS - Will attend client interview – Closed on 3500 &amp; Flex with night shifts / Emaar</t>
  </si>
  <si>
    <t>2nd interviewed on Mar 1st / Nothing changed</t>
  </si>
  <si>
    <t>Nearshore/Comp. Offshore</t>
  </si>
  <si>
    <t>Comp Offshore</t>
  </si>
  <si>
    <t>Rescheduled</t>
  </si>
  <si>
    <t>Samer Hamdy Ragab Mohamed</t>
  </si>
  <si>
    <t>Mayar Hossam Ahmed Mahmoud Abdelbary</t>
  </si>
  <si>
    <t>Hossameldin Magdy Abdelkader Mohamed</t>
  </si>
  <si>
    <t>Mostafa Taha Abdallah Osman</t>
  </si>
  <si>
    <t>Reham Ahmed Bayoumi Hassan</t>
  </si>
  <si>
    <t>Omnia Mohamed Fouad Abdelaziz</t>
  </si>
  <si>
    <t>Ahmed Mahmoud Tharwat Sebaey</t>
  </si>
  <si>
    <t>Abdelmaged Nazih Metwally Aboelyazed</t>
  </si>
  <si>
    <t>01554829601</t>
  </si>
  <si>
    <t>01011460218</t>
  </si>
  <si>
    <t>01061669683</t>
  </si>
  <si>
    <t>01114382235</t>
  </si>
  <si>
    <t>01140008747</t>
  </si>
  <si>
    <t>01226084255</t>
  </si>
  <si>
    <t>01156356818</t>
  </si>
  <si>
    <t>01145733631</t>
  </si>
  <si>
    <t>Ahmed Mohamed Nagy Hassan</t>
  </si>
  <si>
    <t>Mohamed Mohsen Gouda Ahmed Ewies</t>
  </si>
  <si>
    <t>A2W26</t>
  </si>
  <si>
    <t>A2W27</t>
  </si>
  <si>
    <t>01129471326</t>
  </si>
  <si>
    <t>01119349929</t>
  </si>
  <si>
    <t>Martina Ibrahim Saleh Sarie</t>
  </si>
  <si>
    <t>01224774892</t>
  </si>
  <si>
    <t>Omar Kolieb Sayed Ali Abogeba</t>
  </si>
  <si>
    <t>29701220103932</t>
  </si>
  <si>
    <t>01120731863</t>
  </si>
  <si>
    <t>Menas Mohamed Abdelmoniem Abdelazim</t>
  </si>
  <si>
    <t>01123225881</t>
  </si>
  <si>
    <t>Maysa Mahmoud Fathi Mohamed</t>
  </si>
  <si>
    <t>01127746827</t>
  </si>
  <si>
    <t>Abdelmalek Mostafa Amin Abdelrehim</t>
  </si>
  <si>
    <t>01157027366</t>
  </si>
  <si>
    <t>Omar Magdy Abdelhamid Mohamed</t>
  </si>
  <si>
    <t>01551084167</t>
  </si>
  <si>
    <t>Mahmoud Abdelnasser Sayed Mohamed</t>
  </si>
  <si>
    <t>01025335564</t>
  </si>
  <si>
    <t>Silvia</t>
  </si>
  <si>
    <t>Eman Magdy Abdelhamid Khalil</t>
  </si>
  <si>
    <t>29209091701648</t>
  </si>
  <si>
    <t>Youssef Mohsen Ayoub Ali</t>
  </si>
  <si>
    <t>Ahmed Reda Ragheb Morsy</t>
  </si>
  <si>
    <t>Mostafa Walid Mostafa Hassan</t>
  </si>
  <si>
    <t>Mahmoud Ahmed Afify Afify</t>
  </si>
  <si>
    <t>01125080585</t>
  </si>
  <si>
    <t>01158857260</t>
  </si>
  <si>
    <t>01005656086</t>
  </si>
  <si>
    <t>01123430478</t>
  </si>
  <si>
    <t>01099701330</t>
  </si>
  <si>
    <t>Karim Wael Farouk Ibrahim</t>
  </si>
  <si>
    <t>01069262838</t>
  </si>
  <si>
    <t>Yasmine Abdelaziz Mohamed Wafa</t>
  </si>
  <si>
    <t>29612238800824</t>
  </si>
  <si>
    <t>01116626701</t>
  </si>
  <si>
    <t>Nourhan Hany Fares Hussein</t>
  </si>
  <si>
    <t>01127444383</t>
  </si>
  <si>
    <t>Maged Mohamed Wagiuh Abdelzaher</t>
  </si>
  <si>
    <t>01100049587</t>
  </si>
  <si>
    <t>Bassem Raafat Mohamed Abdelhady</t>
  </si>
  <si>
    <t>01000902787</t>
  </si>
  <si>
    <t>Aisha Ahmed Hassan Abdelmagid</t>
  </si>
  <si>
    <t>01148659035</t>
  </si>
  <si>
    <t>Ahmed Moataz Elsaid Elzanaty</t>
  </si>
  <si>
    <t>01150411826</t>
  </si>
  <si>
    <t>Raghad Abdelaziz Mohamed Wafa</t>
  </si>
  <si>
    <t>01118976210</t>
  </si>
  <si>
    <t>Mahmoud Abdelraouf Ali Abdelwahab</t>
  </si>
  <si>
    <t>01099884899</t>
  </si>
  <si>
    <t>Ali Hassan Ali Hassan Hassanin</t>
  </si>
  <si>
    <t>01068635678</t>
  </si>
  <si>
    <t>Zienab Mohamed Abomosalam Ibrahim</t>
  </si>
  <si>
    <t>01120591567</t>
  </si>
  <si>
    <t>Mohamed Zeinalabden Mohamed Abdelwahab</t>
  </si>
  <si>
    <t>01002398006</t>
  </si>
  <si>
    <t>Lamis Walid Elsayed Ahmed Elmaadawy</t>
  </si>
  <si>
    <t>01010117773</t>
  </si>
  <si>
    <t>Karim Tarek Abdelgawad Sayed</t>
  </si>
  <si>
    <t>01117017404</t>
  </si>
  <si>
    <t>Omar Ossama Hassan Abdellatief</t>
  </si>
  <si>
    <t>01119292904</t>
  </si>
  <si>
    <t>Noura</t>
  </si>
  <si>
    <t>Rana Abdelmaboud Mohamed Abouhagar</t>
  </si>
  <si>
    <t>01101003219</t>
  </si>
  <si>
    <t>Olivia Victor Ebied Masoud</t>
  </si>
  <si>
    <t>01286468223</t>
  </si>
  <si>
    <t>Mahmoud Abdelbaset Ahmed Mahmoud</t>
  </si>
  <si>
    <t>01064615605</t>
  </si>
  <si>
    <t>Ahmed Mohamed Ahmed Masoud</t>
  </si>
  <si>
    <t>01156035980</t>
  </si>
  <si>
    <t>Sara Mamdouh Ramadan Mohamed</t>
  </si>
  <si>
    <t>01150528714</t>
  </si>
  <si>
    <t>Ahmed Mohamed Mahmoud Yassin</t>
  </si>
  <si>
    <t>01009385030</t>
  </si>
  <si>
    <t>tokka</t>
  </si>
  <si>
    <t>Yasser Abdelrahman Mohamed Salem</t>
  </si>
  <si>
    <t>01007964397</t>
  </si>
  <si>
    <t>Gad Magdy Gad Tawfeek</t>
  </si>
  <si>
    <t>01270770887</t>
  </si>
  <si>
    <t>Radwa Magdy Mahmoud Ahmed</t>
  </si>
  <si>
    <t>01156681050</t>
  </si>
  <si>
    <t>Youstina Medhat Nagy Shafiek</t>
  </si>
  <si>
    <t>01200478183</t>
  </si>
  <si>
    <t>Hayat Taha Ramadan Mohamed</t>
  </si>
  <si>
    <t>01093320236</t>
  </si>
  <si>
    <t>Ali Adel Hassan Abdallah</t>
  </si>
  <si>
    <t>01096160021</t>
  </si>
  <si>
    <t>Mustafa Mahmoud Abdelkader Mohamed</t>
  </si>
  <si>
    <t>01127292709</t>
  </si>
  <si>
    <t>Manar Hosny Gadelrab Mohamed</t>
  </si>
  <si>
    <t>01064084880</t>
  </si>
  <si>
    <t>Alaa Adel Mahmoud Ghazy</t>
  </si>
  <si>
    <t>01101034442</t>
  </si>
  <si>
    <t>Ramez Adel Waheeb Nassim</t>
  </si>
  <si>
    <t>01003700549</t>
  </si>
  <si>
    <t>Marina Ayad Yacoub Ayoub</t>
  </si>
  <si>
    <t>01205635226</t>
  </si>
  <si>
    <t>Youssef Ismail Ahmed Mohamed</t>
  </si>
  <si>
    <t>01116254456</t>
  </si>
  <si>
    <t>Rehab Emam Gamil Mohamed</t>
  </si>
  <si>
    <t>01063732223</t>
  </si>
  <si>
    <t>Elshaimaa Mohamed Elsayeh Younes</t>
  </si>
  <si>
    <t>01065167092</t>
  </si>
  <si>
    <t>Ahmed Hany Fathi Mohamed Hadhod</t>
  </si>
  <si>
    <t>Kholoud Ahmed Talaat Abdelhalim</t>
  </si>
  <si>
    <t>Hager Khaled Ibrahim Sayed</t>
  </si>
  <si>
    <t>Passant Ahmed Salaheldin Mahmoud</t>
  </si>
  <si>
    <t>Mahmoud Talaat Mohamed Sayed</t>
  </si>
  <si>
    <t>Kholoud</t>
  </si>
  <si>
    <t>Hend Mohamed Awad Mohamed</t>
  </si>
  <si>
    <t>Amir Ashour Khalil Elsayed</t>
  </si>
  <si>
    <t>sakran</t>
  </si>
  <si>
    <t>Ahmed Gamal Zaghloul Mahmoud</t>
  </si>
  <si>
    <t>Hossam</t>
  </si>
  <si>
    <t>Hadeer Mohamed Mahmoud Ali</t>
  </si>
  <si>
    <t>Dina Mohamed Desouky Abdelgawad</t>
  </si>
  <si>
    <t>01095078148</t>
  </si>
  <si>
    <t>01151694173</t>
  </si>
  <si>
    <t>01023439488</t>
  </si>
  <si>
    <t>01140535556</t>
  </si>
  <si>
    <t>01020469324</t>
  </si>
  <si>
    <t>01013182168</t>
  </si>
  <si>
    <t>01062540029</t>
  </si>
  <si>
    <t>01099183804</t>
  </si>
  <si>
    <t>01151269454</t>
  </si>
  <si>
    <t>01060738837</t>
  </si>
  <si>
    <t>Emaar</t>
  </si>
  <si>
    <t>Changed allocation to Rejoin as an exception / Compromised - Emaar</t>
  </si>
  <si>
    <t>Emaar / Rejected offer - Talabat</t>
  </si>
  <si>
    <t>01028925552</t>
  </si>
  <si>
    <t>TPA/ DU</t>
  </si>
  <si>
    <t>Absent</t>
  </si>
  <si>
    <t>Rejected to rejoin and said that he didn't need the opportunity that was provided / Blacklisted</t>
  </si>
  <si>
    <t>WU / ME</t>
  </si>
  <si>
    <t>Ethar/Omar</t>
  </si>
  <si>
    <t>Rejoin/Comp. Freedom</t>
  </si>
  <si>
    <t>Marwo Ibrahim Aden</t>
  </si>
  <si>
    <t>F2808277</t>
  </si>
  <si>
    <t>01101709351</t>
  </si>
  <si>
    <t>Glovo - Transferred to Talabat on 3rd of Mar of 20</t>
  </si>
  <si>
    <t>DF / Not ready (Mar 9th) - RTS</t>
  </si>
  <si>
    <t>DF / Restrictions (5 Exams in May)</t>
  </si>
  <si>
    <t>Left and recruitted again by TA for ECA Elite on Mar 9th of 20</t>
  </si>
  <si>
    <t>Was ECA</t>
  </si>
  <si>
    <t>Changed to WU due to location restriction / Was ECA</t>
  </si>
  <si>
    <t>Afnan Ahmed Nour Ahmed Mohamed Borhan</t>
  </si>
  <si>
    <t>01157624900</t>
  </si>
  <si>
    <t>01151925445</t>
  </si>
  <si>
    <t>01156667781</t>
  </si>
  <si>
    <t>Amr Yasser Abbas</t>
  </si>
  <si>
    <t>Farah Faragalla Abdel Khalea Faragalla</t>
  </si>
  <si>
    <t>Comp Expedia</t>
  </si>
  <si>
    <t>Comp WU (APAC)</t>
  </si>
  <si>
    <t>Comp Offshore (ECA/Freedom)</t>
  </si>
  <si>
    <t>RING (B2)</t>
  </si>
  <si>
    <t>Farah Faragallah Abdelkhalea Faragallah</t>
  </si>
  <si>
    <t>Afnan Nour Ahmed Mohamed Borhan</t>
  </si>
  <si>
    <t>555-00252377</t>
  </si>
  <si>
    <t>Amr Yasser Abbas Ali</t>
  </si>
  <si>
    <t>R49</t>
  </si>
  <si>
    <t>Rejoined by TPA on Mar 18th of 20</t>
  </si>
  <si>
    <t>Hired immediately in WU APAC by TA on Mar 8th of 20</t>
  </si>
  <si>
    <t>Left and tried to join Emaar in 2020, but was rejected by client</t>
  </si>
  <si>
    <t>Nearshore / Rejoin</t>
  </si>
  <si>
    <t>Ahmed Samy Faek Mahmoud</t>
  </si>
  <si>
    <t>01098994455</t>
  </si>
  <si>
    <t>Gehad Mamdouh Mohamed Ali</t>
  </si>
  <si>
    <t>01148999259</t>
  </si>
  <si>
    <t>Donia Ashraf Salah Elsayed</t>
  </si>
  <si>
    <t>01150479400</t>
  </si>
  <si>
    <t>Ahmed Hamdy Youssef Mohamed</t>
  </si>
  <si>
    <t>01116911184</t>
  </si>
  <si>
    <t>Noura Abdelhady Mohamed Gabr</t>
  </si>
  <si>
    <t>01116613356</t>
  </si>
  <si>
    <t>Mahmoud Ali Mahmoud Anis</t>
  </si>
  <si>
    <t>01003336191</t>
  </si>
  <si>
    <t>Sarah</t>
  </si>
  <si>
    <t>Comp. ECA/Comp. Freedom</t>
  </si>
  <si>
    <t>Talabat / Transferred to Du on Mar 15th of 20</t>
  </si>
  <si>
    <t>Comp. B1</t>
  </si>
  <si>
    <t>Sabreen Alaaeldin Ibrahim Elsayed</t>
  </si>
  <si>
    <t>Rawda Hassan Mohamed Omar</t>
  </si>
  <si>
    <t>Ahmed Adel Mohamed Hosny</t>
  </si>
  <si>
    <t>drop out</t>
  </si>
  <si>
    <t>Mohamed Mamdouh Mohamed Elsaid</t>
  </si>
  <si>
    <t>Nora</t>
  </si>
  <si>
    <t>Radwa Gamal Hassan Elsayed</t>
  </si>
  <si>
    <t>Amira Karim Mohamed Taha</t>
  </si>
  <si>
    <t>Ahmed Samir Abdelmagid Deraz</t>
  </si>
  <si>
    <t>Mohamed Mosaad Mashady Abdelkader</t>
  </si>
  <si>
    <t>01274813098</t>
  </si>
  <si>
    <t>01111971091</t>
  </si>
  <si>
    <t>01066338812</t>
  </si>
  <si>
    <t>01121444422</t>
  </si>
  <si>
    <t>01124464312</t>
  </si>
  <si>
    <t>01022144410</t>
  </si>
  <si>
    <t>01102010777</t>
  </si>
  <si>
    <t>Reyan Abubaker Othman Mohamed</t>
  </si>
  <si>
    <t>K0315401</t>
  </si>
  <si>
    <t>01064434511</t>
  </si>
  <si>
    <t>Chose Freedom over WU because of the location</t>
  </si>
  <si>
    <t>Nearshore/Rejoiner</t>
  </si>
  <si>
    <t>Rejoiner/Comp. Expedia</t>
  </si>
  <si>
    <t>Sherouk Ashraf Fouad Abdelaal</t>
  </si>
  <si>
    <t>Sameh Gamal Rezk Ismail</t>
  </si>
  <si>
    <t>Mohamed Sotuhy Ibrahim Ibrahim</t>
  </si>
  <si>
    <t>Ahmed Fathy Mahmoud Youssef</t>
  </si>
  <si>
    <t>Nadin Ahmed Mohamed Mohamed Khedr</t>
  </si>
  <si>
    <t>Mariam Hanna Fahim Rofael</t>
  </si>
  <si>
    <t>Sherouk Mohamed Badr Mohamed</t>
  </si>
  <si>
    <t>Hossam Belal</t>
  </si>
  <si>
    <t>Alaa Mohamed Mohamed Gomaa</t>
  </si>
  <si>
    <t>01033361855</t>
  </si>
  <si>
    <t>01110570075</t>
  </si>
  <si>
    <t>01145249849</t>
  </si>
  <si>
    <t>01020071467</t>
  </si>
  <si>
    <t>01096014780</t>
  </si>
  <si>
    <t>01066130180</t>
  </si>
  <si>
    <t>01098032597</t>
  </si>
  <si>
    <t>01129901366</t>
  </si>
  <si>
    <t>A2W28</t>
  </si>
  <si>
    <t>Domestic/Comp. Nearshore</t>
  </si>
  <si>
    <t>Switched to WU</t>
  </si>
  <si>
    <t>Itrip / Transferred to EA on Mar 29th of 20</t>
  </si>
  <si>
    <t>DF / RTS - Attended Induction / No WFR</t>
  </si>
  <si>
    <t>Removed / UG</t>
  </si>
  <si>
    <t>Comp Comp Nearshore</t>
  </si>
  <si>
    <t>2nd Intv. on Thursday</t>
  </si>
  <si>
    <t>Osama Tharwat Ahmed Abdelhalim</t>
  </si>
  <si>
    <t>01142256933</t>
  </si>
  <si>
    <t>Sylvia</t>
  </si>
  <si>
    <t>Asmaa Sayed Abdallah Elsayed</t>
  </si>
  <si>
    <t>01061177556</t>
  </si>
  <si>
    <t>Abdallah Mahmoud Ibrahim Meead</t>
  </si>
  <si>
    <t>01114940817</t>
  </si>
  <si>
    <t>Ibrahim Mohamed Ahmed Mahmoud Saleh</t>
  </si>
  <si>
    <t>01148720473</t>
  </si>
  <si>
    <t>Nour Walid Rashad Elsayed</t>
  </si>
  <si>
    <t>01152857379</t>
  </si>
  <si>
    <t>Ali Ahmed Ali Salem Hassan</t>
  </si>
  <si>
    <t>01157680022</t>
  </si>
  <si>
    <t>Mahmoud Magdy Gaber Mohamed</t>
  </si>
  <si>
    <t>01146456352</t>
  </si>
  <si>
    <t>Mostafa Ahmed Kamal Abdelaziz</t>
  </si>
  <si>
    <t>01126810599</t>
  </si>
  <si>
    <t>Abdullah Mohammed Magd Mohammed</t>
  </si>
  <si>
    <t>01003303901</t>
  </si>
  <si>
    <t>Mahmoud Ahmed Mohamed Ali</t>
  </si>
  <si>
    <t>01129002030</t>
  </si>
  <si>
    <t>Mirna Wael Ali Ahmed Haikal</t>
  </si>
  <si>
    <t>01000760171</t>
  </si>
  <si>
    <t>Tarek Dableez</t>
  </si>
  <si>
    <t>RL2794016</t>
  </si>
  <si>
    <t>01123135377</t>
  </si>
  <si>
    <t>Asmaa/ Youmna</t>
  </si>
  <si>
    <t>Rejoin/Nearshore</t>
  </si>
  <si>
    <t>Glovo - Transferred to Talabat on Mar 1st of 20 / Transferred again to Agthia on Apr 12th of 20</t>
  </si>
  <si>
    <t>DF / Attended induction</t>
  </si>
  <si>
    <t>01099295915</t>
  </si>
  <si>
    <t>Mohamed Magdy Elsayed Hassan</t>
  </si>
  <si>
    <t>01123199633</t>
  </si>
  <si>
    <t>Ahmed Gamal Mahmoud Abdelwahed</t>
  </si>
  <si>
    <t>01140738862</t>
  </si>
  <si>
    <t>Ahmed Sayed Ali Eldeeb</t>
  </si>
  <si>
    <t>01009977078</t>
  </si>
  <si>
    <t>Ahmed Hesham Fawzy Ahmed</t>
  </si>
  <si>
    <t>01155603838</t>
  </si>
  <si>
    <t>Mina Nagy Philip Barsoum</t>
  </si>
  <si>
    <t>01201911827</t>
  </si>
  <si>
    <t>Mohamed Adel Ahmed Mohamed</t>
  </si>
  <si>
    <t>01096149207</t>
  </si>
  <si>
    <t>Mohamed Hamdy Sayed Khedr</t>
  </si>
  <si>
    <t>01287535658</t>
  </si>
  <si>
    <t>Left and rehired by TA in Talabat on May 5th of 20</t>
  </si>
  <si>
    <t>Left and rehired by TA in Instacart on Apr 27th of 20</t>
  </si>
  <si>
    <t>Rehired in Freedom on Apr 19th of 20</t>
  </si>
  <si>
    <t>Emaar / DF / RTS - Agthia</t>
  </si>
  <si>
    <t>Transferred to AT&amp;T on Apr 28th of 20</t>
  </si>
  <si>
    <t>Khaled Tarek Ahmed Mohamed Ali</t>
  </si>
  <si>
    <t>Karim Mohamed Abdelgaber Abdelrazek</t>
  </si>
  <si>
    <t>Eslam Osama Atef Elsayed</t>
  </si>
  <si>
    <t>Fatma Sobhy Elsayed Hafez</t>
  </si>
  <si>
    <t>Eslam Mohammad Refaat khalil</t>
  </si>
  <si>
    <t>Aya Youssef</t>
  </si>
  <si>
    <t>Ismail Ahmed Abdelmoniem Gaabora</t>
  </si>
  <si>
    <t>01008814321</t>
  </si>
  <si>
    <t>01010049611</t>
  </si>
  <si>
    <t>01113355843</t>
  </si>
  <si>
    <t>01140504104</t>
  </si>
  <si>
    <t>01060171410</t>
  </si>
  <si>
    <t>01002084533</t>
  </si>
  <si>
    <t>Ahmed Hamed Abdelrahman Mohamed</t>
  </si>
  <si>
    <t>Kareem Mamdouh Mohamed Ali</t>
  </si>
  <si>
    <t>Abanoub Mamdouh Nasif Beshay</t>
  </si>
  <si>
    <t>Omar Yousry Sayed Ahmed</t>
  </si>
  <si>
    <t>Albert Magdy Abdelmasih Abdelmasih</t>
  </si>
  <si>
    <t>Abdelrahman Sabry Khairy Saleh</t>
  </si>
  <si>
    <t>Flimon Adly Luiz Hakim</t>
  </si>
  <si>
    <t>Kareem Mohamed Abdelhamid Shalaby</t>
  </si>
  <si>
    <t>Mark Baheeg Wadea Mosaad</t>
  </si>
  <si>
    <t>01155535753</t>
  </si>
  <si>
    <t>01228101231</t>
  </si>
  <si>
    <t>01285713552</t>
  </si>
  <si>
    <t>01554041717</t>
  </si>
  <si>
    <t>01009681519</t>
  </si>
  <si>
    <t>01016557305</t>
  </si>
  <si>
    <t>01203618575</t>
  </si>
  <si>
    <t>01004224585</t>
  </si>
  <si>
    <t>01222748562</t>
  </si>
  <si>
    <t>A2W29</t>
  </si>
  <si>
    <t>A2W30</t>
  </si>
  <si>
    <t>Nayera Mosaad Abdelmoniem Mohamed</t>
  </si>
  <si>
    <t>01067518159</t>
  </si>
  <si>
    <t>Mahmoud Elsayed Mahmoud Diab</t>
  </si>
  <si>
    <t>01095926440</t>
  </si>
  <si>
    <t>Sandy Mohamed Kadoura Mohamed</t>
  </si>
  <si>
    <t>01024522524</t>
  </si>
  <si>
    <t>Hazem Ashraf Mohamed Elsayed</t>
  </si>
  <si>
    <t>01129402771</t>
  </si>
  <si>
    <t>Mahmoud Saleh Taha Zidan</t>
  </si>
  <si>
    <t>01224105991</t>
  </si>
  <si>
    <t>Rogina Sayed Zayed Bayoumi</t>
  </si>
  <si>
    <t>01142053339</t>
  </si>
  <si>
    <t>walkin</t>
  </si>
  <si>
    <t>Nada Nasser Ibrahim Mohamed</t>
  </si>
  <si>
    <t>01013877175</t>
  </si>
  <si>
    <t>Michael Adel Youssef Beshara</t>
  </si>
  <si>
    <t>01095260474</t>
  </si>
  <si>
    <t>Hired by Sobhy in OPPO on May 3rd of 20</t>
  </si>
  <si>
    <t>Left and rehired on Apr 30th of 20 in Instacart / Walkin</t>
  </si>
  <si>
    <t>Was in iSoft then transferred to Talabat on Apr 19th of 20</t>
  </si>
  <si>
    <t>Mai Ahmed Salaheldin Ahmed</t>
  </si>
  <si>
    <t>Ahmed Magdy Ahmed Abdallah</t>
  </si>
  <si>
    <t>Ahmed Abdelfattah Abdelkader Wahdan</t>
  </si>
  <si>
    <t>Aya youssef</t>
  </si>
  <si>
    <t>Islam Mohamed Ahmed Aboelfotoh</t>
  </si>
  <si>
    <t>Tarek Mohamed Behiry Abdelrehim</t>
  </si>
  <si>
    <t>Islam Saeed Ibrahim Mohamed</t>
  </si>
  <si>
    <t>01115358911</t>
  </si>
  <si>
    <t>01067673007</t>
  </si>
  <si>
    <t>01008708614</t>
  </si>
  <si>
    <t>01141819852</t>
  </si>
  <si>
    <t>01115001500</t>
  </si>
  <si>
    <t>01028626607</t>
  </si>
  <si>
    <t>Mona Mohsen Ahmed Abozaid</t>
  </si>
  <si>
    <t>Mahmoud SalahEldin Haggy Mohamed</t>
  </si>
  <si>
    <t>Esraa Essam Abdelaziz ElWeshashy</t>
  </si>
  <si>
    <t>Asmaa Sayed Mohamed Abdelrahman</t>
  </si>
  <si>
    <t>Ahmed Salaheldin Mohamed Sayed</t>
  </si>
  <si>
    <t>Khaled Walid Khaled Osman Elagha</t>
  </si>
  <si>
    <t>P00165438</t>
  </si>
  <si>
    <t>Finan Amanuel Tseggai</t>
  </si>
  <si>
    <t>K0478493</t>
  </si>
  <si>
    <t>01122049062</t>
  </si>
  <si>
    <t>01099757815</t>
  </si>
  <si>
    <t>01117279902</t>
  </si>
  <si>
    <t>01066328292</t>
  </si>
  <si>
    <t>01155100662</t>
  </si>
  <si>
    <t>01156670884</t>
  </si>
  <si>
    <t>01146100062</t>
  </si>
  <si>
    <t>01022766235</t>
  </si>
  <si>
    <t>Attended induction / No WFR - Contacted by TPA / Inaccurate info provided by the allocation team - Not interested - Rehired by TA in Ring on May 11th of 20</t>
  </si>
  <si>
    <t>Didn't rejoin - Talabat</t>
  </si>
  <si>
    <t>Du | Simulation or Testing Failure TR | Eligible for Rehire / Rehired EA on the 15th of Sept. | Transferred to Talabat on Apr 19th of 20 | Transferred back to EA on Apr 27th of 20</t>
  </si>
  <si>
    <t>Blacklisted by trainer</t>
  </si>
  <si>
    <t>Mohamed Hassan Kotb Hassan</t>
  </si>
  <si>
    <t>Ashraf Khaled NasrEldin Abdelfattah</t>
  </si>
  <si>
    <t>01141016000</t>
  </si>
  <si>
    <t>Mohamed Safwat</t>
  </si>
  <si>
    <t>Alaa Yehia Zakaria Mohamed</t>
  </si>
  <si>
    <t>01122957576</t>
  </si>
  <si>
    <t xml:space="preserve">Aya Youssef </t>
  </si>
  <si>
    <t>Mohamed AbdElAziz Hassan AbdElAziz</t>
  </si>
  <si>
    <t>01284438600</t>
  </si>
  <si>
    <t>Mostafa Hesham Abdelhady Ibrahim</t>
  </si>
  <si>
    <t>01022411737</t>
  </si>
  <si>
    <t>Youssef Tarek Abdelmohsen Abdelrashed</t>
  </si>
  <si>
    <t>01006883231</t>
  </si>
  <si>
    <t>Rawan Essam Fathi Ali</t>
  </si>
  <si>
    <t xml:space="preserve">Gap </t>
  </si>
  <si>
    <t>01128973427</t>
  </si>
  <si>
    <t>Mohamed Elsayed Abdelaleem Mohamed</t>
  </si>
  <si>
    <t>01116319546</t>
  </si>
  <si>
    <t>Mohamed Gamal Mohamed Amin</t>
  </si>
  <si>
    <t>01141164522</t>
  </si>
  <si>
    <t>Mohamed Abdelhamid Mohamed Ali</t>
  </si>
  <si>
    <t>01101094536</t>
  </si>
  <si>
    <t>EA / Transferred to Talabat on Apr 19th of 20 - Another transfer sent with same details on May 12th of 20</t>
  </si>
  <si>
    <t>Transferred to AT&amp;T on May 20th of 20</t>
  </si>
  <si>
    <t>Transferred to Pearson ICS on May 18th of 20</t>
  </si>
  <si>
    <t>2nd interviewed on Mar 1st / Allocation hasn't changed - Transferred to AT&amp;T on May 20th of 20</t>
  </si>
  <si>
    <t>Transferred from Du Ent to ECA on Mar 30th of 20 - Transferred from ECA to AT&amp;T on May 20th of 20</t>
  </si>
  <si>
    <t>Gihan Yassin Mohamed Ahmed Khalifa</t>
  </si>
  <si>
    <t>Mohab Kamel Mahmoud Mohamed</t>
  </si>
  <si>
    <t>Ahmed Mahmoud Ali Hassan Kaiser</t>
  </si>
  <si>
    <t>Mennatullah Abdelrahman Ahmed Eissa</t>
  </si>
  <si>
    <t>Mohamed Atef Ali Othman Hassan</t>
  </si>
  <si>
    <t>Abdullah Tareq Mohsen Ali</t>
  </si>
  <si>
    <t>07424486</t>
  </si>
  <si>
    <t>Aya Nagy Abdelalim Metwally</t>
  </si>
  <si>
    <t>01093394593</t>
  </si>
  <si>
    <t>01140190586</t>
  </si>
  <si>
    <t>01033494009</t>
  </si>
  <si>
    <t>01023500964</t>
  </si>
  <si>
    <t>01141314777</t>
  </si>
  <si>
    <t>01202472871</t>
  </si>
  <si>
    <t>01127772677</t>
  </si>
  <si>
    <t>Tareq Salamatullah Nazir</t>
  </si>
  <si>
    <t>P04536106</t>
  </si>
  <si>
    <t>01550331899</t>
  </si>
  <si>
    <t>Hossam Sabry Mohamed Elsayed</t>
  </si>
  <si>
    <t>01128881793</t>
  </si>
  <si>
    <t xml:space="preserve">Mohamed Shawky Kamal Ali </t>
  </si>
  <si>
    <t>01122360224</t>
  </si>
  <si>
    <t>Marawan</t>
  </si>
  <si>
    <t>Gina Hamdy Fayez Danial</t>
  </si>
  <si>
    <t>29712091400161</t>
  </si>
  <si>
    <t>01200186284</t>
  </si>
  <si>
    <t>Reem mohamed el bosily</t>
  </si>
  <si>
    <t>01141586951</t>
  </si>
  <si>
    <t>Marwa Mohamed Mahmoud Fekry</t>
  </si>
  <si>
    <t>29802121401426</t>
  </si>
  <si>
    <t>01118632273</t>
  </si>
  <si>
    <t>safwat</t>
  </si>
  <si>
    <t>Mahmoud Mohamed Ahmed Mohamed Mekhimar</t>
  </si>
  <si>
    <t>01028661028</t>
  </si>
  <si>
    <t>Mohamed Ahmed Abdelhafez Abdelkader</t>
  </si>
  <si>
    <t>01118888301</t>
  </si>
  <si>
    <t>Emad Afify Youssef Afify</t>
  </si>
  <si>
    <t>28411092100117</t>
  </si>
  <si>
    <t>01112290397</t>
  </si>
  <si>
    <t>Assem Mohamed Hassan Mostafa</t>
  </si>
  <si>
    <t xml:space="preserve">Drooped out </t>
  </si>
  <si>
    <t>01024280581</t>
  </si>
  <si>
    <t>Ahmed Magdy Ahmed Said</t>
  </si>
  <si>
    <t>01067842908</t>
  </si>
  <si>
    <t>Haitham Abdelraouf Mohamed Mostafa</t>
  </si>
  <si>
    <t>01111780307</t>
  </si>
  <si>
    <t>Ahmed Essam Kamal Ahmed</t>
  </si>
  <si>
    <t>29507062102531</t>
  </si>
  <si>
    <t>01159110111</t>
  </si>
  <si>
    <t>Khaled Ahmed Hassan Mohamed Abdelrahman</t>
  </si>
  <si>
    <t>01016691306</t>
  </si>
  <si>
    <t>Semahir Jemal Eltahir Ahmed</t>
  </si>
  <si>
    <t>K0209186</t>
  </si>
  <si>
    <t>01017906376</t>
  </si>
  <si>
    <t>Abdallah Salih Dawood Belal</t>
  </si>
  <si>
    <t>P03902759</t>
  </si>
  <si>
    <t>01140165940</t>
  </si>
  <si>
    <t>Bassem Mohsen Mohamed Ahmed</t>
  </si>
  <si>
    <t>01022495858</t>
  </si>
  <si>
    <t>Talabat / Rehired in Na Na on May 31st of 20</t>
  </si>
  <si>
    <t>Transferred to LinePlus on Dec 22nd of 19 / Rehired in Na Na on May 31st of 20</t>
  </si>
  <si>
    <t>Rehired by TA in AT&amp;T on May 31st of 20</t>
  </si>
  <si>
    <t>TPA's Allocation: Freedom / Rehired by TA in AT&amp;T on May 31st of 20</t>
  </si>
  <si>
    <t>Transfer from SWVL to Emaar on Jun 2nd of 20</t>
  </si>
  <si>
    <t>AT&amp;T</t>
  </si>
  <si>
    <t>Hired immediately in Du by TA on Mar 15th of 20 / Left and re-hired in Emaar on Jun 14th of 20</t>
  </si>
  <si>
    <t>Talabat - Rehired in Emaar on Jun 21st of 20</t>
  </si>
  <si>
    <t>EA / Rehired EA on Jun 21st of 20</t>
  </si>
  <si>
    <t>Rehired in AT&amp;T by TA on Jun 22nd of 20</t>
  </si>
  <si>
    <t>Transferred from iTrip to Talabat on May 11th of 20 - Transferred again to EA on Jun 22nd of 20</t>
  </si>
  <si>
    <t>Transferred from Foursan to EA on Jun 22nd of 20</t>
  </si>
  <si>
    <t>Grohe / Transferred to Emaar on Jun 21st of 20</t>
  </si>
  <si>
    <t>Transferred from Du BO Recovery to El-Hokair Chat on Jun 6st of 20</t>
  </si>
  <si>
    <t>Islam Ahmed Hassan Fahmy</t>
  </si>
  <si>
    <t>01111698111</t>
  </si>
  <si>
    <t>Sameh Osama Ahmed Eldalel</t>
  </si>
  <si>
    <t>29609240105539</t>
  </si>
  <si>
    <t>01121218173</t>
  </si>
  <si>
    <t>Shohdy</t>
  </si>
  <si>
    <t>Mona Ibrahim Ali Abdelaaty</t>
  </si>
  <si>
    <t>01012873072</t>
  </si>
  <si>
    <t>Marwan Mohamed Ibrahim Elazab</t>
  </si>
  <si>
    <t>30004130100155</t>
  </si>
  <si>
    <t>01011236900</t>
  </si>
  <si>
    <t>Fady Hisham Farid Lamey</t>
  </si>
  <si>
    <t>01090013565</t>
  </si>
  <si>
    <t>Nidal Kamel Hossam Kamal</t>
  </si>
  <si>
    <t>01022222997</t>
  </si>
  <si>
    <t>Ahmed Hesham Farouk Abdelaziz</t>
  </si>
  <si>
    <t>01122112913</t>
  </si>
  <si>
    <t>Ahmed Khaled Abdelwahab Hamdallah</t>
  </si>
  <si>
    <t>29606010110291</t>
  </si>
  <si>
    <t>01221129892</t>
  </si>
  <si>
    <t>Abdelrahman Attya Abdelrahman Abdelmontaleb</t>
  </si>
  <si>
    <t>01146622984</t>
  </si>
  <si>
    <t>Marwa Osama Mostafa Kamel</t>
  </si>
  <si>
    <t>01101756923</t>
  </si>
  <si>
    <t>Mohamed Ali Kenawy Hamdon</t>
  </si>
  <si>
    <t>01223875423</t>
  </si>
  <si>
    <t>Comp. AT&amp;T</t>
  </si>
  <si>
    <t>AT&amp;T/ECA</t>
  </si>
  <si>
    <t>Hired in Careem by Sobhy on July 5th of 20</t>
  </si>
  <si>
    <t>Rehired in Careem by TA on Jul 5th of 20</t>
  </si>
  <si>
    <t>Du Ent. | No WFR / Rehired Freedom on Jul 1st of 20</t>
  </si>
  <si>
    <t>Hired in Freedom</t>
  </si>
  <si>
    <t>Month</t>
  </si>
  <si>
    <t>Pct.</t>
  </si>
  <si>
    <t>WFR</t>
  </si>
  <si>
    <t>HC</t>
  </si>
  <si>
    <t>Attrition</t>
  </si>
  <si>
    <t>Samy Hussein Salem Hassan</t>
  </si>
  <si>
    <t>29702230100938</t>
  </si>
  <si>
    <t>Mohamed Elsayed Tawfeek Mahmoud</t>
  </si>
  <si>
    <t>Omar Mahmoud Samy Mohamed</t>
  </si>
  <si>
    <t>29701100105273</t>
  </si>
  <si>
    <t>Khaled Mohamed Ahmed Abbas</t>
  </si>
  <si>
    <t>Abdelrahman Adel Taha Ali</t>
  </si>
  <si>
    <t>Karim Tarek Hassanin Awad</t>
  </si>
  <si>
    <t>Mohamed Tarek Ahmed Zakaria</t>
  </si>
  <si>
    <t>29403092102153</t>
  </si>
  <si>
    <t>Ahmed Tharwat Abdelghany Ghaith</t>
  </si>
  <si>
    <t>Ali Mamdouh Shehata Ali</t>
  </si>
  <si>
    <t>Mohamed Mahmoud Mostafa Mahmoud Ali</t>
  </si>
  <si>
    <t xml:space="preserve">Omar Raafat Mohamed Ahmed </t>
  </si>
  <si>
    <t>01021114036</t>
  </si>
  <si>
    <t>01018657985</t>
  </si>
  <si>
    <t>01119092500</t>
  </si>
  <si>
    <t>01555280053</t>
  </si>
  <si>
    <t>01062823689</t>
  </si>
  <si>
    <t>01289477546</t>
  </si>
  <si>
    <t>01014117227</t>
  </si>
  <si>
    <t>01157575795</t>
  </si>
  <si>
    <t>01012810447</t>
  </si>
  <si>
    <t>01211244829</t>
  </si>
  <si>
    <t>01022552566</t>
  </si>
  <si>
    <t>Mohamed Khaled Mohamed Talaat</t>
  </si>
  <si>
    <t>01112342134</t>
  </si>
  <si>
    <t>Samar Ahmed Mohamed Mohamed Mustafa</t>
  </si>
  <si>
    <t>Salma Mohamed Elsayed Attia</t>
  </si>
  <si>
    <t>Reham Abdullah Fathallah Elsayed</t>
  </si>
  <si>
    <t xml:space="preserve">Mohamed Gamal Mohamed Elsayed </t>
  </si>
  <si>
    <t>Eslam Ahmed Shams Abdelfattah</t>
  </si>
  <si>
    <t xml:space="preserve">Mostafa Mohamed Abdelhamid Ibrahim </t>
  </si>
  <si>
    <t>Engy Abdelaziz Mohamed Hamada</t>
  </si>
  <si>
    <t xml:space="preserve">Aya youssef </t>
  </si>
  <si>
    <t>Rawda Ahmed Mostafa Ahmed</t>
  </si>
  <si>
    <t>Mohamed Essam Mohamed Abdelmohsen</t>
  </si>
  <si>
    <t>Gehad Fathy Mahmoud Ahmed Behiry</t>
  </si>
  <si>
    <t>Mohamed Amr Salama Hafez</t>
  </si>
  <si>
    <t>Ahmed Hashem Mohamed Aboelela</t>
  </si>
  <si>
    <t>01098584325</t>
  </si>
  <si>
    <t>01015544560</t>
  </si>
  <si>
    <t>01062100552</t>
  </si>
  <si>
    <t>01062888863</t>
  </si>
  <si>
    <t>01156163920</t>
  </si>
  <si>
    <t>01066578654</t>
  </si>
  <si>
    <t>01001028795</t>
  </si>
  <si>
    <t>01099471655</t>
  </si>
  <si>
    <t>01128489061</t>
  </si>
  <si>
    <t>01557607888</t>
  </si>
  <si>
    <t>01015589233</t>
  </si>
  <si>
    <t>01060977637</t>
  </si>
  <si>
    <t>Amar Abdelaziz Abdelhamid Mostafa</t>
  </si>
  <si>
    <t>Mariam Emad </t>
  </si>
  <si>
    <t>Ahmed Ashraf Said Abdo</t>
  </si>
  <si>
    <t>Sandra Hassan </t>
  </si>
  <si>
    <t>Ahmed Mohamed Hosny Nadim</t>
  </si>
  <si>
    <t> Ahmed Hafeez</t>
  </si>
  <si>
    <t>Nourhan Saleh Sayed Hassan</t>
  </si>
  <si>
    <t>Abdelrahman Osama Karam Lokman</t>
  </si>
  <si>
    <t>Ahmed Boraei Mohamed Mahmoud Abdallah</t>
  </si>
  <si>
    <t>Heba Zain </t>
  </si>
  <si>
    <t xml:space="preserve">Ahmed Nehad Abdelwahab Ahmed </t>
  </si>
  <si>
    <t>Youssef Mohamed Soliman Ibrahim</t>
  </si>
  <si>
    <t>Mohamed Safwat </t>
  </si>
  <si>
    <t>01122774064</t>
  </si>
  <si>
    <t>01111001420</t>
  </si>
  <si>
    <t>01113798969</t>
  </si>
  <si>
    <t>01152551494</t>
  </si>
  <si>
    <t>01122554886</t>
  </si>
  <si>
    <t>01010058588</t>
  </si>
  <si>
    <t>01019549288</t>
  </si>
  <si>
    <t>01096322688</t>
  </si>
  <si>
    <t>Nesma Reda Ahmed Gamal</t>
  </si>
  <si>
    <t>01012988691</t>
  </si>
  <si>
    <t>Nadin walid Mohamed Abbas</t>
  </si>
  <si>
    <t>01113472038</t>
  </si>
  <si>
    <t>Ahmed Abdelhalim</t>
  </si>
  <si>
    <t>01027568829</t>
  </si>
  <si>
    <t>Samah Kadry Hassan Mahmoud</t>
  </si>
  <si>
    <t>01153053033</t>
  </si>
  <si>
    <t>Abdelrahman Mabrouk Amin Sayed</t>
  </si>
  <si>
    <t>01140441983</t>
  </si>
  <si>
    <t>Youssef Nasser Mohamed Abdelmoniem</t>
  </si>
  <si>
    <t>01224641064</t>
  </si>
  <si>
    <t>Mohamed Samir Fawy Alamin</t>
  </si>
  <si>
    <t>01095524819</t>
  </si>
  <si>
    <t>Engy Hamed Gad Elsertasy</t>
  </si>
  <si>
    <t>01145652610</t>
  </si>
  <si>
    <t>Rogeh Emil Hanna Attia</t>
  </si>
  <si>
    <t>01115266970</t>
  </si>
  <si>
    <t>R54</t>
  </si>
  <si>
    <t>Yasmeen Magdy Araby Salem</t>
  </si>
  <si>
    <t>01158397673</t>
  </si>
  <si>
    <t xml:space="preserve"> Mohamed Ahmed Rashid Mohamed</t>
  </si>
  <si>
    <t>01112247050</t>
  </si>
  <si>
    <t>Mohamed Mohamed Mohamed Ahmed Elkhayat</t>
  </si>
  <si>
    <t>01550996695</t>
  </si>
  <si>
    <t>NA</t>
  </si>
  <si>
    <t>Essam Mohamed Anwar Ahmed Elkilany</t>
  </si>
  <si>
    <t>Esraa Ibrahim Mohamed Ahmed  Elqorashy</t>
  </si>
  <si>
    <t>01127624198</t>
  </si>
  <si>
    <t>01115941425</t>
  </si>
  <si>
    <t>Eng</t>
  </si>
  <si>
    <t>WPM</t>
  </si>
  <si>
    <t>Acc.</t>
  </si>
  <si>
    <t>?</t>
  </si>
  <si>
    <t>Not interested because Shehab didn't call him back - Hired by TA in Agthia on July 14th of 20</t>
  </si>
  <si>
    <t>Hired in Talabat by Sherbiny on July 14th of 20</t>
  </si>
  <si>
    <t>Hired in Pearson by TA on July 13th of 20</t>
  </si>
  <si>
    <t>Emaar / DF / RTS - Talabat / Rejoined Jul 14th of 20</t>
  </si>
  <si>
    <t>Talabat / Rejoined Jul 14th of 20</t>
  </si>
  <si>
    <t>Emaar / Rejected by client - Talabat / Rejoined Jul 14th of 20</t>
  </si>
  <si>
    <t>Hired in Emaar by TA on Jul 7th of 20</t>
  </si>
  <si>
    <t>Du Ent. / Rehired by Sherbiny on Jul 5th of 20 in Du Fixed</t>
  </si>
  <si>
    <t>Emaar / Rejected offer - Talabat - Rehired in Du by Tarek on Jul 5th of 20</t>
  </si>
  <si>
    <t>Talabat - Rehired in EA by ER on Jul 5th of 20</t>
  </si>
  <si>
    <t>Talabat - Rejoied on Jul 21st of 20</t>
  </si>
  <si>
    <t>Rejoined Jul 22nd of 20</t>
  </si>
  <si>
    <t>ECA/AT&amp;T</t>
  </si>
  <si>
    <t>Abdelrahman Ahmed Hassan Ali</t>
  </si>
  <si>
    <t>R55</t>
  </si>
  <si>
    <t>01115523022</t>
  </si>
  <si>
    <t>Abdelrahman Ahmed Hassan</t>
  </si>
  <si>
    <t>R56</t>
  </si>
  <si>
    <t>Caroline Youhanna Lotfy Sadek</t>
  </si>
  <si>
    <t>Mohamed Moawad Ali Ahmed</t>
  </si>
  <si>
    <t>Omar Ezzat Ali Mohamed</t>
  </si>
  <si>
    <t>Esraa Mohamed Kotb Salem</t>
  </si>
  <si>
    <t>Aya youssef </t>
  </si>
  <si>
    <t>Mirna Sameh George Ezzat</t>
  </si>
  <si>
    <t xml:space="preserve">Abdelrahman Ali Abdeltawab Ali </t>
  </si>
  <si>
    <t>Yassin Ehab Ahmed Mohamed</t>
  </si>
  <si>
    <t>Kurdy</t>
  </si>
  <si>
    <t>Engy Ali Ahmed Ali</t>
  </si>
  <si>
    <t>Mohamed Ahmed Saad Mohamed</t>
  </si>
  <si>
    <t>Omar Ahmed Abdelrehim Elbehiry</t>
  </si>
  <si>
    <t>01201001120</t>
  </si>
  <si>
    <t>01000732176</t>
  </si>
  <si>
    <t>01110365001</t>
  </si>
  <si>
    <t>01019688668</t>
  </si>
  <si>
    <t>01201958476</t>
  </si>
  <si>
    <t>01028224929</t>
  </si>
  <si>
    <t>01204022944</t>
  </si>
  <si>
    <t>01111402450</t>
  </si>
  <si>
    <t>01282710616</t>
  </si>
  <si>
    <t>01118958847</t>
  </si>
  <si>
    <t>Freedom/ECA</t>
  </si>
  <si>
    <t>Dialing FB</t>
  </si>
  <si>
    <t>Talabat Voice</t>
  </si>
  <si>
    <t>Rehired in Na Na on May 31st of 20 - Rehired in Talabat Voice on Aug 4th of 20 by Heba</t>
  </si>
  <si>
    <t>Talabat / Rehired by TA on Aug 4th of 20 in Talabat Voice</t>
  </si>
  <si>
    <t>Careem RH Captain</t>
  </si>
  <si>
    <t>Careem RH Customer</t>
  </si>
  <si>
    <t>Hired by Heba in AT&amp;T on July 29th of 20</t>
  </si>
  <si>
    <t>Al-Nahdi</t>
  </si>
  <si>
    <t>Careem RH Customer English</t>
  </si>
  <si>
    <t>Mohamed Said Mohamed Ibrahim</t>
  </si>
  <si>
    <t>01095580458</t>
  </si>
  <si>
    <t> Shohdy</t>
  </si>
  <si>
    <t>Mohamed Ahmed Abdelsattar Elzahaby</t>
  </si>
  <si>
    <t>01061338285</t>
  </si>
  <si>
    <t>Sohaila Kamal Ahmed Helmy</t>
  </si>
  <si>
    <t>01009211758</t>
  </si>
  <si>
    <t>Sarah Nader Othman Shahin</t>
  </si>
  <si>
    <t>01150710175</t>
  </si>
  <si>
    <t>Seifeldin Hatem Mahmoud Abdo</t>
  </si>
  <si>
    <t>01007367399</t>
  </si>
  <si>
    <t>Heba </t>
  </si>
  <si>
    <t>Mohamed Ahmed Mokhtar Ahmed Elsedawy</t>
  </si>
  <si>
    <t>01113334620</t>
  </si>
  <si>
    <t>Shimaa Yehia Ali Mohamed</t>
  </si>
  <si>
    <t>01117018719</t>
  </si>
  <si>
    <t> Heba</t>
  </si>
  <si>
    <t>Micheal Makram Hanna Wesa</t>
  </si>
  <si>
    <t>01220884501</t>
  </si>
  <si>
    <t>Omar Hosny Abdelazim Hassan</t>
  </si>
  <si>
    <t>01013863299</t>
  </si>
  <si>
    <t>Youssef Hesham Ahmed Gawdet</t>
  </si>
  <si>
    <t>01112614714</t>
  </si>
  <si>
    <t>Ahmed Kamel Elawady Elsaid</t>
  </si>
  <si>
    <t>01101452806</t>
  </si>
  <si>
    <t>Expedia/AT&amp;T</t>
  </si>
  <si>
    <t>01152456924</t>
  </si>
  <si>
    <t>01025022200</t>
  </si>
  <si>
    <t>RTS</t>
  </si>
  <si>
    <t>Grad Stat</t>
  </si>
  <si>
    <t>Phone Number</t>
  </si>
  <si>
    <t>Taiseer Mazhar Kamel Abdelmaged</t>
  </si>
  <si>
    <t>01201610261</t>
  </si>
  <si>
    <t>Reem Hosny Hamed Soliman</t>
  </si>
  <si>
    <t>01008573353</t>
  </si>
  <si>
    <t>Karim Nagy Mohamed Elshishtawy</t>
  </si>
  <si>
    <t>01119969905</t>
  </si>
  <si>
    <t>Ziad Essam Fakhry Mohamed</t>
  </si>
  <si>
    <t>01110219068</t>
  </si>
  <si>
    <t xml:space="preserve">Somaia Mahmoud Ahmed Moustafa </t>
  </si>
  <si>
    <t>01090176252</t>
  </si>
  <si>
    <t>Amir Ahmed Shehata Ibrahim</t>
  </si>
  <si>
    <t>01125523013</t>
  </si>
  <si>
    <t>Mohamed Tarek Mahmoud Hamed</t>
  </si>
  <si>
    <t>01000687484</t>
  </si>
  <si>
    <t>Recruitment</t>
  </si>
  <si>
    <t>Mohamed Mohamed Emam Emam</t>
  </si>
  <si>
    <t>01015253004</t>
  </si>
  <si>
    <t>Ibrahim Mustafa Ibrahim Abdrabo</t>
  </si>
  <si>
    <t>01066943609</t>
  </si>
  <si>
    <t>Abdelsalam Amr Abdelmoniem Abdelaal</t>
  </si>
  <si>
    <t>01279485881</t>
  </si>
  <si>
    <t>Hisham Ahmed Saleh Mohamed</t>
  </si>
  <si>
    <t>01017210132</t>
  </si>
  <si>
    <t>Ayman Medhat Anwar Elsayed</t>
  </si>
  <si>
    <t>01220400201</t>
  </si>
  <si>
    <t>Comp. ECA/AT&amp;T</t>
  </si>
  <si>
    <t>Freedom/Comp. WU</t>
  </si>
  <si>
    <t>Abdelrahman Mostafa Hassan Abdelrahman</t>
  </si>
  <si>
    <t>01068161563</t>
  </si>
  <si>
    <t>Khaled Anwar Mohammed Hassan</t>
  </si>
  <si>
    <t>01140049727</t>
  </si>
  <si>
    <t>Nermin Wagih AbdelFattah Youssef</t>
  </si>
  <si>
    <t>01557604067</t>
  </si>
  <si>
    <t>Rawan Mohamed Ibrahem Elsayed</t>
  </si>
  <si>
    <t>01061504519</t>
  </si>
  <si>
    <t>Alaa Refaat Zakaria Mohammed</t>
  </si>
  <si>
    <t>01116520661</t>
  </si>
  <si>
    <t>Ali AbdElmoniem Mohamed Gad</t>
  </si>
  <si>
    <t>01060528547</t>
  </si>
  <si>
    <t>Mustafa Mohamed Mustafa Saleh</t>
  </si>
  <si>
    <t>01129599429</t>
  </si>
  <si>
    <t>A2W31</t>
  </si>
  <si>
    <t>Left / Rehired by TA in FirstGroup on Aug 13th of 20</t>
  </si>
  <si>
    <t>Khaled Abdelgelil Aboelfotoh Kandil</t>
  </si>
  <si>
    <t>01005553053</t>
  </si>
  <si>
    <t>Mohamed Ewais Ahmed Ali</t>
  </si>
  <si>
    <t>01111445797</t>
  </si>
  <si>
    <t>Adham Mohamed Ahmed Awad</t>
  </si>
  <si>
    <t>01115590164</t>
  </si>
  <si>
    <t>Tahany Mohamed Nazif Abdeltawab</t>
  </si>
  <si>
    <t>01009896756</t>
  </si>
  <si>
    <t xml:space="preserve">Youssef Mohamed Youssef Kenawy </t>
  </si>
  <si>
    <t>01116396530</t>
  </si>
  <si>
    <t>Arwa AbdelMoamen Abdelwahab Mohamed</t>
  </si>
  <si>
    <t>01091952807</t>
  </si>
  <si>
    <t>Mahmoud Mohamed Salah Ahmed</t>
  </si>
  <si>
    <t>01011300356</t>
  </si>
  <si>
    <t>Mariam Abdelmetaal Mohamed Abdallah</t>
  </si>
  <si>
    <t>01094523353</t>
  </si>
  <si>
    <t>Waleed Mohamed Elsayed Elshazly</t>
  </si>
  <si>
    <t>01027330307</t>
  </si>
  <si>
    <t>Abdelrahman Nabil Ramadan Mohamed</t>
  </si>
  <si>
    <t>01006988950</t>
  </si>
  <si>
    <t>Mahmoud Gamal Mahmoud Abdelsamea</t>
  </si>
  <si>
    <t>01126177817</t>
  </si>
  <si>
    <t>Aya Abdelkader Ahmed Ali</t>
  </si>
  <si>
    <t>01117433583</t>
  </si>
  <si>
    <t>Amr Magdy Ibrahim Abdelhalim Attayah</t>
  </si>
  <si>
    <t>Aya Hosny Abdeldayem Abdelhay</t>
  </si>
  <si>
    <t>Shady Lotfy Mohamed Mahmoud Elkot</t>
  </si>
  <si>
    <t>Sarah Sayed Mohamed Mahmoud</t>
  </si>
  <si>
    <t>Shaimaa Mahmoud Ali Attia</t>
  </si>
  <si>
    <t>Hadeer Ehab Kamel Afify</t>
  </si>
  <si>
    <t>Samar Ali Abotaleb Tolba</t>
  </si>
  <si>
    <t>Ashraf</t>
  </si>
  <si>
    <t>Sherif Mahmoud Mohamed Mahmoud</t>
  </si>
  <si>
    <t>Sherif Ashraf Sadek Farhat</t>
  </si>
  <si>
    <t>John Adel Abdallah Abdelsayed</t>
  </si>
  <si>
    <t>01200045769</t>
  </si>
  <si>
    <t>01060610228</t>
  </si>
  <si>
    <t>01118812988</t>
  </si>
  <si>
    <t>01020370943</t>
  </si>
  <si>
    <t>01116366973</t>
  </si>
  <si>
    <t>01090215957</t>
  </si>
  <si>
    <t>01118939179</t>
  </si>
  <si>
    <t>01004097113</t>
  </si>
  <si>
    <t>01553597810</t>
  </si>
  <si>
    <t>01099266480</t>
  </si>
  <si>
    <t>01550804805</t>
  </si>
  <si>
    <t>Elshazly Essam Mohamed Mohamed Attia</t>
  </si>
  <si>
    <t>Mariam Mahmoud Ahmed Ahmed Gemaz</t>
  </si>
  <si>
    <t>01125281774</t>
  </si>
  <si>
    <t>Roba Hossam Elsayed Abdelsamad</t>
  </si>
  <si>
    <t>01114178483</t>
  </si>
  <si>
    <t>Mina Samir Nicola Youssef</t>
  </si>
  <si>
    <t>01220895757</t>
  </si>
  <si>
    <t>Left and rehired by TA on Aug 24th of 20 in Freedom</t>
  </si>
  <si>
    <t>Rehired by TA in Ring on Aug 19th of 20</t>
  </si>
  <si>
    <t>Ring</t>
  </si>
  <si>
    <t>Freedom - Left and brought back by ER in Du Consumer Fixed on Aug 17th of 20</t>
  </si>
  <si>
    <t>Talabat E-Mail Eng</t>
  </si>
  <si>
    <t>TPA's Allocation: "Nearshore" - Rehired in Freedom on Aug 16th of 20</t>
  </si>
  <si>
    <t>Attempted to invite multiple times / Blacklisted</t>
  </si>
  <si>
    <t>Online only / Virtual</t>
  </si>
  <si>
    <t>No-show multiple times / Blacklisted</t>
  </si>
  <si>
    <t>R57</t>
  </si>
  <si>
    <t>Any</t>
  </si>
  <si>
    <t>HC = 12</t>
  </si>
  <si>
    <t>Hossam Salah Kamal Abdelmotagaly</t>
  </si>
  <si>
    <t>Jilan Mohamed Mohamed Ahmed Elsisy</t>
  </si>
  <si>
    <t>Dalia Mohamed Abdelaziz Essawy</t>
  </si>
  <si>
    <t>01153731703</t>
  </si>
  <si>
    <t>Rania Ahmed Mohamed Ahmed</t>
  </si>
  <si>
    <t>01211002215</t>
  </si>
  <si>
    <t>Joy lewis Ramsis Salib</t>
  </si>
  <si>
    <t>01229757799</t>
  </si>
  <si>
    <t>Rania Samy Mahmoud Khalafallah</t>
  </si>
  <si>
    <t>01272763667</t>
  </si>
  <si>
    <t>Mennatullah Mahmoud Kamel Ahmed</t>
  </si>
  <si>
    <t>01121191336</t>
  </si>
  <si>
    <t>TPA Bank</t>
  </si>
  <si>
    <t>Toka Ahmed Hussein Ahmed</t>
  </si>
  <si>
    <t>01223515550</t>
  </si>
  <si>
    <t>Loai Hussein Mahmoud Aboelregal</t>
  </si>
  <si>
    <t>01091644043</t>
  </si>
  <si>
    <t>Mirette Mamdouh Fayez Nicola</t>
  </si>
  <si>
    <t>01212337716</t>
  </si>
  <si>
    <t>Fatma Elsayed Elsayed Elbadawy</t>
  </si>
  <si>
    <t>01274450093</t>
  </si>
  <si>
    <t xml:space="preserve">Eslam Mohamed Hamed Abozeid </t>
  </si>
  <si>
    <t>01010518459</t>
  </si>
  <si>
    <t>Nadia Mostafa Salaheldin Elshafey</t>
  </si>
  <si>
    <t>01094187049</t>
  </si>
  <si>
    <t>Mazen Naguib Gamal Ahmed</t>
  </si>
  <si>
    <t>01155103983</t>
  </si>
  <si>
    <t>Aya Nagib</t>
  </si>
  <si>
    <t>Mostafa Ehab Fawzy Mahmoud</t>
  </si>
  <si>
    <t>01141022544</t>
  </si>
  <si>
    <t>Esraa</t>
  </si>
  <si>
    <t>Mahmoud Hamed Mohamed Mohamed Soliman</t>
  </si>
  <si>
    <t>01096908383</t>
  </si>
  <si>
    <t>Ahmed Adel Shahat Abdeldayem</t>
  </si>
  <si>
    <t>01065034679</t>
  </si>
  <si>
    <t>Mohamed Sherif Mohamed Gamaleldin</t>
  </si>
  <si>
    <t>01158966657</t>
  </si>
  <si>
    <t>Mohamed Farid Ahmed Abdellatif</t>
  </si>
  <si>
    <t>01011150803</t>
  </si>
  <si>
    <t>01211930231</t>
  </si>
  <si>
    <t>Mohamed Abdelrehim Mohamed Gadelrab</t>
  </si>
  <si>
    <t>01022693005</t>
  </si>
  <si>
    <t>Mennatullah Magdy Mohamed Abdelkader</t>
  </si>
  <si>
    <t>01067079720</t>
  </si>
  <si>
    <t>Ayman Hesham Abdo Mohamed</t>
  </si>
  <si>
    <t>01128965817</t>
  </si>
  <si>
    <t>Khaled Ahmed Anwar Elshazly</t>
  </si>
  <si>
    <t>01110884577</t>
  </si>
  <si>
    <t>Mohamed Mahmoud Saad Darwish</t>
  </si>
  <si>
    <t>01118407984</t>
  </si>
  <si>
    <t>Shaimaa Ashraf Mahmoud Mohamed</t>
  </si>
  <si>
    <t>01152384963</t>
  </si>
  <si>
    <t>Mohamed Khaled Khalil Mohamed</t>
  </si>
  <si>
    <t>Attended induction / Rehired by TA in AT&amp;T on May 31st of 20 &lt;- Email sent | Rehired in Freedom on Sept 6th of 20</t>
  </si>
  <si>
    <t>Accepted Agtheia - Rehired by TA on Sept 9th of 20 in Emaar</t>
  </si>
  <si>
    <t>Interested in Mohandseen only</t>
  </si>
  <si>
    <t>Not interested / Started his own business</t>
  </si>
  <si>
    <t>Not interested / Was not contacted for allocation</t>
  </si>
  <si>
    <t>Would like to start in Oct</t>
  </si>
  <si>
    <t>Not interested / Time restrictions - Max 11:30</t>
  </si>
  <si>
    <t>Waiting for AT&amp;T</t>
  </si>
  <si>
    <t>Comp. Expedia/WU</t>
  </si>
  <si>
    <t>Comp. ECA/Freedom</t>
  </si>
  <si>
    <t>Nervousness - In some stertain way (Nervousness) - What I did (What did I do) - To government (Plural) - I take everything inside ** They said she has an accent **</t>
  </si>
  <si>
    <t>Diid it - O/v Marsh - So I have to stay home (Had / Enunciation) - Forshintly - I ear/nid - (Nervousness) - Diff/runt - Everything can be doable - The customer I can't ehh - Oll</t>
  </si>
  <si>
    <t>Biig - Thiings - Diidn't</t>
  </si>
  <si>
    <t>O/v - Kim/pany - (Minor speech clarity) - I didn't join to any student activities - To made any activity Technicaal - We take thiis info in uni - Take those training - I love lang at all - I love to speak to native Eng speaker - (Fluency was affected this time / Repetition) - To join to any oil company - I took this lang at high school</t>
  </si>
  <si>
    <t>25 year old (Enunciation, maybe) - Studid an Eng course at British Councel - I I I wor/kid, I had the chance to work - While I was estudying - Mili/taa/ree - Faculty of low - My grad wasn't that good to join…let me say..eh…I was just like lost, I didn't know what I really wanted, back in time - After after after working in WU - (Repetition / Foghorns)</t>
  </si>
  <si>
    <t>I was graduated from - O/v mili/taa/ree production - Qwarunteen - O/n - It didn't affect me by good things or ah bad things - And ahh I ignore and violate the video - I was learning the kids many skills (Teaching) - We learned them how to play footboll - Because I attend the uni (Had to) - I choose here (Not sure if he wanted this or the past) - The mean thing that I love or I want to be here the Eng lang</t>
  </si>
  <si>
    <t>20 thousand 18 - Mili/ta/ry service - Twenie thousand eighteen - Ad/van/cid cancer - Pro/dac/tive way - Is kinda closer to Eng - بقى - What I'm focused about, I would master the work first - A/gain</t>
  </si>
  <si>
    <t>Trunslation - A 2 yrs exp - Instrac/tor - They cannot get the info so quickly - Del/liver the info - To let him to understand everything - To get in/vol/ved with other students - I would lav to apply</t>
  </si>
  <si>
    <t>A/jant - I wanna take off my skin - Za rigth answer - It wos ehh, it wos actually, it felt like home, but it was never home - I forget to say (Forgot / Enuncuation, maybe) - Co/mmerce - It was ah ah, like my fazer's dream to do that - I think amm, like umm, I actually came back to help my mothah - (Foghorns) - (Fluency was affected this time) - Customar - Prev/yos exp - Zats oll - (Nervousness)</t>
  </si>
  <si>
    <t xml:space="preserve">O/v - A harri/bol - To left heavy pipes (Lift) - I just quit/quitted (Enunciation) - I was gonna work - Mega/tro/nics - Mecha/ni/caal engineer - When I went to the college - Oto/ma/shin - A huje - Thiis thiis kind of stuff - Not a whole shifting - O/n cars - Really fun thing to do </t>
  </si>
  <si>
    <t>Not doing anything يعني - (Foghorns) - (Grammar is better this time) - Wiz wiz these kind of people - They ehh, when I be with a good company - But something like that happened (Happens) - Srough some troubles</t>
  </si>
  <si>
    <t>Hos/pitality - O/v - Pro/bably - Plue Sky - Working o/n the sales section - I thiink sometime, somedays - Bandemic - Kah/rehr - Have more stable job - I thaink (Think) - Asked him to excuse for 1 mon - O/ffer like free trips - More to o/ffer - I thiink it somehow, calms him down - يعني - Start from the very bottom and start increasing in the job - My thiing</t>
  </si>
  <si>
    <t xml:space="preserve">Past/bast exp - Pay/shinz (Enunciation / Volume) - Blan P - As a coal center….. - Langua/jiz - </t>
  </si>
  <si>
    <t>Hossam Mohamed Elsayed TagEldin</t>
  </si>
  <si>
    <t>Nourhan Nagdy Mohamed Wahby Hassan Wahby</t>
  </si>
  <si>
    <t>Rawan Mohamed Abdelaziz Mohamed Hassan</t>
  </si>
  <si>
    <t>Sherly Fadel Zakria Maqar</t>
  </si>
  <si>
    <t>01154913122</t>
  </si>
  <si>
    <t>01118775642</t>
  </si>
  <si>
    <t>01127618759</t>
  </si>
  <si>
    <t>01224063312</t>
  </si>
  <si>
    <t>Fa/kul/ty - Couble of yrs ago - I was training at (Being) - Those estudents who wants to to study abroad - Bouks - I was training at home (Being trained at home) - Paowl Al Co/welo - Ab/road - Lessen to the voice of his heart - In order, he was dreaming of travelling - How to know the idea ehh, he met the love of his life - (Repetitive) - Exeplain his thing - I have to ab/sirb his ngry, eh anger - (Nervousness) - And ehh jist, tell hm I'm sorry for you loss - Sorry for what happened to you - (Pauses / Foghorns)</t>
  </si>
  <si>
    <t>My ma/jir - Cul/shir - I wos da event coordinator - How to abbly for - Abbly for - I wos like, I think - Baziz - Individ/wally - Helb them how to re/jister for the classes - Chica/3'o / Chee/ka/go - Joob - Dibloma - She recommended my name - Gab in the age - I'm gonna do - My fa/thir - Like how to create a new heart - Thiis study related to my - De/vi/zis - I choose to be part f lab</t>
  </si>
  <si>
    <t>Mahmoud Medhat Abdelazim  Daif</t>
  </si>
  <si>
    <t>01112570005</t>
  </si>
  <si>
    <t>Esraa Ahmed Ibrahim Ibrahim</t>
  </si>
  <si>
    <t>01015900110</t>
  </si>
  <si>
    <t>Marina Saad Halim Meshraky</t>
  </si>
  <si>
    <t>01270488651</t>
  </si>
  <si>
    <t>Eman Mohamed Elsayed Othman</t>
  </si>
  <si>
    <t>01019662011</t>
  </si>
  <si>
    <t>Maria Abdelaziz Mostafa Mohamed</t>
  </si>
  <si>
    <t>01097546766</t>
  </si>
  <si>
    <t>Menna Mahmoud Abdelaziz Saleh</t>
  </si>
  <si>
    <t>01011820576</t>
  </si>
  <si>
    <t>Rwaida Mohamed Elbakry Abdelmawgod</t>
  </si>
  <si>
    <t>01100067506</t>
  </si>
  <si>
    <t>Mohamed Medhat Mostafa Abdelaziz</t>
  </si>
  <si>
    <t>01030511445</t>
  </si>
  <si>
    <t>Esraa Osama Abdelkerim Ibrahim</t>
  </si>
  <si>
    <t>01145436682</t>
  </si>
  <si>
    <t>shohdy</t>
  </si>
  <si>
    <t>Salma Mustafa Youssef Youssef</t>
  </si>
  <si>
    <t>01142107148</t>
  </si>
  <si>
    <t>Yousra Mostafa Adly Mostafa Agha</t>
  </si>
  <si>
    <t>01064542947</t>
  </si>
  <si>
    <t>Nadine Youssef Youssef Mohamed</t>
  </si>
  <si>
    <t>01119365474</t>
  </si>
  <si>
    <t>Nada Essam Abdelmoez Mohamed</t>
  </si>
  <si>
    <t>01009824628</t>
  </si>
  <si>
    <t>Heidi Ahmed Ali Abouzied</t>
  </si>
  <si>
    <t>01090000986</t>
  </si>
  <si>
    <t>Ibrahim</t>
  </si>
  <si>
    <t>Hossam Walid Abdelhamid Mostafa</t>
  </si>
  <si>
    <t>01126418994</t>
  </si>
  <si>
    <t>Mahmoud Maged Anwar Tawfeek</t>
  </si>
  <si>
    <t>01012580095</t>
  </si>
  <si>
    <t>Ahmed Khalafallah Abdelaal Khalil</t>
  </si>
  <si>
    <t>01151150501</t>
  </si>
  <si>
    <t>Hagar Mahmoud Helal Hassan</t>
  </si>
  <si>
    <t>01157130192</t>
  </si>
  <si>
    <t>Nourhan Ayman Ismail Abdelzaher</t>
  </si>
  <si>
    <t>01150327504</t>
  </si>
  <si>
    <t>Nada Essam Ahmed Fouad</t>
  </si>
  <si>
    <t>01113496570</t>
  </si>
  <si>
    <t>Salma Alwakeel</t>
  </si>
  <si>
    <t>Salma Mostafa Taha Khalifa</t>
  </si>
  <si>
    <t>01151564275</t>
  </si>
  <si>
    <t>Mariam Magdy Hassan Mostafa</t>
  </si>
  <si>
    <t>01550531240</t>
  </si>
  <si>
    <t>Ibrahim ElKordy</t>
  </si>
  <si>
    <t>Yasmine Saad Said Abdelmegid</t>
  </si>
  <si>
    <t>01157854206</t>
  </si>
  <si>
    <t>Melody</t>
  </si>
  <si>
    <t>Amr Mohamed kamal Haddad</t>
  </si>
  <si>
    <t>01150019834</t>
  </si>
  <si>
    <t>Reem ElNaggar</t>
  </si>
  <si>
    <t>Manar Khaled Elbaz Ibrahim</t>
  </si>
  <si>
    <t>01016235221</t>
  </si>
  <si>
    <t>Shehab Hosny Abdelaziz Mohamed</t>
  </si>
  <si>
    <t>01091556403</t>
  </si>
  <si>
    <t>Ahmed Mohamed Naguib Shaker</t>
  </si>
  <si>
    <t>01025653732</t>
  </si>
  <si>
    <t>Shimaa Bayoumi Mohamed Mohamed Bayoumi</t>
  </si>
  <si>
    <t>01155656364</t>
  </si>
  <si>
    <t>Nael Nabil Younis Abdallah</t>
  </si>
  <si>
    <t>01122544371</t>
  </si>
  <si>
    <t>Shaimaa Mohamed Abdelaziz Mohamed</t>
  </si>
  <si>
    <t>01090950416</t>
  </si>
  <si>
    <t>Omar Gamal Mohamed Kamel</t>
  </si>
  <si>
    <t>Dropout</t>
  </si>
  <si>
    <t>01006810578</t>
  </si>
  <si>
    <t>Date</t>
  </si>
  <si>
    <t>Esraa Ebrahim Elsayed Mohamed</t>
  </si>
  <si>
    <t>01128484466</t>
  </si>
  <si>
    <t>Mariam Salaheldin Khalil Eltayeh</t>
  </si>
  <si>
    <t>01025945939</t>
  </si>
  <si>
    <t>Steven Atef Ibrahim Sadek</t>
  </si>
  <si>
    <t>Ibrahim Ahmed Ibrahim Bakr</t>
  </si>
  <si>
    <t>01117736659</t>
  </si>
  <si>
    <t>Amr Tarek Korany Mohamed</t>
  </si>
  <si>
    <t>01122455247</t>
  </si>
  <si>
    <t>Monica Wagih Yaccoub Soliman</t>
  </si>
  <si>
    <t>01207528726</t>
  </si>
  <si>
    <t>Abdelazem Mohamed Amr Abdelazem</t>
  </si>
  <si>
    <t>01032322785</t>
  </si>
  <si>
    <t>Merihan Yousri Abdelhay Abdelsalam</t>
  </si>
  <si>
    <t>01090097003</t>
  </si>
  <si>
    <t>Ahmed Ibrahim Mohamed Mostafa</t>
  </si>
  <si>
    <t>01114137373</t>
  </si>
  <si>
    <t>Ahmed khalid Ahmed Ali</t>
  </si>
  <si>
    <t>01110655819</t>
  </si>
  <si>
    <t>01065301698</t>
  </si>
  <si>
    <t>Seifeldin Ahmed Medhat Ibrahim</t>
  </si>
  <si>
    <t>01111728893</t>
  </si>
  <si>
    <t>Aya Mustafa Mahmoud Younis</t>
  </si>
  <si>
    <t>01099284494</t>
  </si>
  <si>
    <t>Mohamed Hussien Rabea Mansour</t>
  </si>
  <si>
    <t>01099505095</t>
  </si>
  <si>
    <t>Hagar Gharib Abdelfattah Khalaf</t>
  </si>
  <si>
    <t>01016053576</t>
  </si>
  <si>
    <t>Tasneem Ehab Abdelfattah Mahmoud</t>
  </si>
  <si>
    <t>01228096226</t>
  </si>
  <si>
    <t>Hoda Mohamed Naguib Mahmoud</t>
  </si>
  <si>
    <t>01119402862</t>
  </si>
  <si>
    <t>Mira Eshaq Daniel Gadallah</t>
  </si>
  <si>
    <t>01278577045</t>
  </si>
  <si>
    <t>Omar Abdelsamea Mohamed Abdelsamea</t>
  </si>
  <si>
    <t>01123559336</t>
  </si>
  <si>
    <t>Ahmed Elsaeed Mohamed Mohamed Barghot</t>
  </si>
  <si>
    <t>01153021904</t>
  </si>
  <si>
    <t>Wafeya Ahmed Mohamed AbdelWahab</t>
  </si>
  <si>
    <t>01151638304</t>
  </si>
  <si>
    <t>AT&amp;T/ WU</t>
  </si>
  <si>
    <t>WU/ Freedom</t>
  </si>
  <si>
    <t>July</t>
  </si>
  <si>
    <t>August</t>
  </si>
  <si>
    <t>September</t>
  </si>
  <si>
    <t>Left and rehired in WU by TA on Sep 20th of 20</t>
  </si>
  <si>
    <t>Talabat Voice - Du Consumer on Sept. 21st of 20</t>
  </si>
  <si>
    <t>Left and hired in AT&amp;T by TA on Sept 21st of 20</t>
  </si>
  <si>
    <t>Rehired in 1st Group by Sondos on Feb 20th of 20 - Rehired in AT&amp;T by TA on Sept 21st of 20</t>
  </si>
  <si>
    <t>Left and rehired by TA in AT&amp;T on Sept 21st of 20</t>
  </si>
  <si>
    <t>Adel Ahmed Adel Khalil</t>
  </si>
  <si>
    <t>Mohamed Mamdouh Diab Mahmoud</t>
  </si>
  <si>
    <t>Amr Mohsen</t>
  </si>
  <si>
    <t>Nouran Adel Mohamed Rashad</t>
  </si>
  <si>
    <t>Mennatullah Ashraf Maghawry Afify</t>
  </si>
  <si>
    <t>Mohamed Zaki Mahmoud Abdelrehim</t>
  </si>
  <si>
    <t>Rowaida Mostafa Khalil Ahmed</t>
  </si>
  <si>
    <t>Eman Ali Farouk Mahmoud</t>
  </si>
  <si>
    <t>Mohamed Awni Ibrahim Mohamed</t>
  </si>
  <si>
    <t>Ahmed Atef Ismail Mohamed Samra</t>
  </si>
  <si>
    <t>Amir Refaat Mohamed Ali</t>
  </si>
  <si>
    <t>Haidy Ashraf Mohamed Abdelmaksoud</t>
  </si>
  <si>
    <t>Tasneem Badreldin Kamal Mohamed</t>
  </si>
  <si>
    <t>01205379999</t>
  </si>
  <si>
    <t>01116120309</t>
  </si>
  <si>
    <t>01550149075</t>
  </si>
  <si>
    <t>01092546620</t>
  </si>
  <si>
    <t>01093603933</t>
  </si>
  <si>
    <t>01119309766</t>
  </si>
  <si>
    <t>01120584184</t>
  </si>
  <si>
    <t>01021832942</t>
  </si>
  <si>
    <t>01063044559</t>
  </si>
  <si>
    <t>01003439693</t>
  </si>
  <si>
    <t>01012453474</t>
  </si>
  <si>
    <t>01118178709</t>
  </si>
  <si>
    <t>Sondos Sherine Abdelhamid Elgebaly</t>
  </si>
  <si>
    <t>01128411328</t>
  </si>
  <si>
    <t>Nora Adel Mohammed Ali</t>
  </si>
  <si>
    <t>01063415643</t>
  </si>
  <si>
    <t>Rodayna Sherif Ahmed Mohamed</t>
  </si>
  <si>
    <t>01011199577</t>
  </si>
  <si>
    <t>Mohamed khaled Ibrahim Hassan</t>
  </si>
  <si>
    <t>01274609892</t>
  </si>
  <si>
    <t>Rehab Mohamed Reda Mohamed</t>
  </si>
  <si>
    <t>01143942264</t>
  </si>
  <si>
    <t>EmadEldin Mostafa Mohamed Moussa</t>
  </si>
  <si>
    <t>01002960028</t>
  </si>
  <si>
    <t>Dalia Ibrahim Eltayeb Mahmoud</t>
  </si>
  <si>
    <t>01009723084</t>
  </si>
  <si>
    <t>Mayan Aboelela Hassan Ahmed</t>
  </si>
  <si>
    <t>01094242194</t>
  </si>
  <si>
    <t>Moustafa Ahmed Moustafa Sayed</t>
  </si>
  <si>
    <t>01028119266</t>
  </si>
  <si>
    <t>Mayar Mostafa Ahmed Noureldin</t>
  </si>
  <si>
    <t>01032824518</t>
  </si>
  <si>
    <t>Mariam Elsayed Abdelrahim Shehata</t>
  </si>
  <si>
    <t>01003263557</t>
  </si>
  <si>
    <t>Marwa Amr Mohamed Sayed</t>
  </si>
  <si>
    <t>01091555834</t>
  </si>
  <si>
    <t>Salsabil Medhat Mostafa Sayed</t>
  </si>
  <si>
    <t>01061897019</t>
  </si>
  <si>
    <t>01098290508</t>
  </si>
  <si>
    <t>Nasreldin Mohamed Mohamed Youssef</t>
  </si>
  <si>
    <t>01282109679</t>
  </si>
  <si>
    <t>MennatAllah Youssef Mohamed Amin</t>
  </si>
  <si>
    <t>01550098087</t>
  </si>
  <si>
    <t>Mahmoud Hesham Hassan Saleh</t>
  </si>
  <si>
    <t>01091624572</t>
  </si>
  <si>
    <t>Noureldin Mohamed Moussa Ali</t>
  </si>
  <si>
    <t>01279339477</t>
  </si>
  <si>
    <t>Ahmed Mahmoud Ibrahim Mohamed</t>
  </si>
  <si>
    <t>01118848536</t>
  </si>
  <si>
    <t>Alaa Ahmed</t>
  </si>
  <si>
    <t>Raymonda Makary Zakhary Abdelmasih</t>
  </si>
  <si>
    <t>01289029816</t>
  </si>
  <si>
    <t>lina Walid Hamdy Abdelfattah</t>
  </si>
  <si>
    <t>01117207604</t>
  </si>
  <si>
    <t>Mahdi Mahmoud Nader Fahmy</t>
  </si>
  <si>
    <t>01277300603</t>
  </si>
  <si>
    <t>Mariam Farouk Saber Hussein</t>
  </si>
  <si>
    <t>01119780874</t>
  </si>
  <si>
    <t>Eid Sayed Eid  Gomaa</t>
  </si>
  <si>
    <t>01553005248</t>
  </si>
  <si>
    <t>Dalia Ashraf Said Abdelsamad</t>
  </si>
  <si>
    <t>01022963270</t>
  </si>
  <si>
    <t>Mariam Shaher Essameldin Mahran</t>
  </si>
  <si>
    <t>01092918017</t>
  </si>
  <si>
    <t>R58</t>
  </si>
  <si>
    <t>Success Rate</t>
  </si>
  <si>
    <t>May</t>
  </si>
  <si>
    <t>Aug.</t>
  </si>
  <si>
    <t>Jul.</t>
  </si>
  <si>
    <t>Jun.</t>
  </si>
  <si>
    <t>Apr.</t>
  </si>
  <si>
    <t>Sep.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</si>
  <si>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</si>
  <si>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</si>
  <si>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</si>
  <si>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</si>
  <si>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</si>
  <si>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</si>
  <si>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</si>
  <si>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</si>
  <si>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</si>
  <si>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</si>
  <si>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</si>
  <si>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</si>
  <si>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</si>
  <si>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</si>
  <si>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</si>
  <si>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</si>
  <si>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</si>
  <si>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</si>
  <si>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</si>
  <si>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</si>
  <si>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W192</t>
  </si>
  <si>
    <t>W193</t>
  </si>
  <si>
    <t>W194</t>
  </si>
  <si>
    <t>W195</t>
  </si>
  <si>
    <t>W196</t>
  </si>
  <si>
    <t>W197</t>
  </si>
  <si>
    <t>W198</t>
  </si>
  <si>
    <t>R53</t>
  </si>
  <si>
    <t>R52</t>
  </si>
  <si>
    <t>R51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</si>
</sst>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164" formatCode="&quot;Yes&quot;;&quot;Yes&quot;;&quot;No&quot;"/>
    <numFmt numFmtId="165" formatCode="[$-F400]h:mm:ss\ AM/PM"/>
    <numFmt numFmtId="166" formatCode="[$-1009]General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charset val="178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u/>
      <sz val="10"/>
      <color indexed="12"/>
      <name val="Arial"/>
      <family val="2"/>
    </font>
    <font>
      <sz val="11"/>
      <color theme="1"/>
      <name val="Wingdings"/>
      <charset val="2"/>
    </font>
    <font>
      <sz val="12"/>
      <color theme="1"/>
      <name val="Wingdings"/>
      <charset val="2"/>
    </font>
    <font>
      <b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u/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1"/>
      <color rgb="FF9C6500"/>
      <name val="Calibri"/>
      <family val="2"/>
      <scheme val="minor"/>
    </font>
    <font>
      <b/>
      <sz val="11"/>
      <color rgb="FF131F34"/>
      <name val="Quicksand"/>
    </font>
    <font>
      <b/>
      <sz val="10"/>
      <color rgb="FF131F34"/>
      <name val="Quicksand"/>
    </font>
    <font>
      <b/>
      <sz val="8"/>
      <color rgb="FF131F34"/>
      <name val="Quicksand"/>
    </font>
    <font>
      <b/>
      <sz val="9"/>
      <color rgb="FF131F34"/>
      <name val="Quicksand"/>
    </font>
    <font>
      <b/>
      <sz val="11"/>
      <color theme="9" tint="-0.499984740745262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325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99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E2F7F9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medium">
        <color rgb="FF1D2F4E"/>
      </left>
      <right/>
      <top style="medium">
        <color rgb="FF1D2F4E"/>
      </top>
      <bottom/>
      <diagonal/>
    </border>
    <border>
      <left/>
      <right style="medium">
        <color rgb="FF000000"/>
      </right>
      <top style="medium">
        <color rgb="FF1D2F4E"/>
      </top>
      <bottom/>
      <diagonal/>
    </border>
    <border>
      <left style="medium">
        <color rgb="FF1D2F4E"/>
      </left>
      <right/>
      <top/>
      <bottom style="medium">
        <color rgb="FF1D2F4E"/>
      </bottom>
      <diagonal/>
    </border>
    <border>
      <left/>
      <right style="medium">
        <color rgb="FF000000"/>
      </right>
      <top/>
      <bottom style="medium">
        <color rgb="FF1D2F4E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1D2F4E"/>
      </left>
      <right style="medium">
        <color rgb="FF1D2F4E"/>
      </right>
      <top style="medium">
        <color rgb="FF000000"/>
      </top>
      <bottom style="medium">
        <color rgb="FF1D2F4E"/>
      </bottom>
      <diagonal/>
    </border>
    <border>
      <left style="medium">
        <color rgb="FF1D2F4E"/>
      </left>
      <right/>
      <top style="medium">
        <color rgb="FF000000"/>
      </top>
      <bottom style="medium">
        <color rgb="FF1D2F4E"/>
      </bottom>
      <diagonal/>
    </border>
    <border>
      <left/>
      <right/>
      <top style="medium">
        <color rgb="FF000000"/>
      </top>
      <bottom style="medium">
        <color rgb="FF1D2F4E"/>
      </bottom>
      <diagonal/>
    </border>
    <border>
      <left style="medium">
        <color rgb="FF1D2F4E"/>
      </left>
      <right style="medium">
        <color rgb="FF1D2F4E"/>
      </right>
      <top style="medium">
        <color rgb="FF1D2F4E"/>
      </top>
      <bottom style="medium">
        <color rgb="FF1D2F4E"/>
      </bottom>
      <diagonal/>
    </border>
    <border>
      <left style="medium">
        <color rgb="FF1D2F4E"/>
      </left>
      <right style="medium">
        <color rgb="FF1D2F4E"/>
      </right>
      <top style="medium">
        <color rgb="FF1D2F4E"/>
      </top>
      <bottom/>
      <diagonal/>
    </border>
    <border>
      <left style="medium">
        <color rgb="FF1D2F4E"/>
      </left>
      <right style="medium">
        <color rgb="FF1D2F4E"/>
      </right>
      <top/>
      <bottom/>
      <diagonal/>
    </border>
    <border>
      <left style="medium">
        <color rgb="FF1D2F4E"/>
      </left>
      <right style="medium">
        <color rgb="FF1D2F4E"/>
      </right>
      <top/>
      <bottom style="medium">
        <color rgb="FF1D2F4E"/>
      </bottom>
      <diagonal/>
    </border>
    <border>
      <left style="medium">
        <color rgb="FF1D2F4E"/>
      </left>
      <right/>
      <top style="medium">
        <color rgb="FF1D2F4E"/>
      </top>
      <bottom style="medium">
        <color rgb="FF1D2F4E"/>
      </bottom>
      <diagonal/>
    </border>
    <border>
      <left/>
      <right/>
      <top style="medium">
        <color rgb="FF1D2F4E"/>
      </top>
      <bottom style="medium">
        <color rgb="FF1D2F4E"/>
      </bottom>
      <diagonal/>
    </border>
  </borders>
  <cellStyleXfs count="774">
    <xf numFmtId="0" fontId="0" fillId="0" borderId="0"/>
    <xf numFmtId="0" fontId="10" fillId="0" borderId="0"/>
    <xf numFmtId="44" fontId="1" fillId="0" borderId="0" applyFont="0" applyFill="0" applyBorder="0" applyAlignment="0" applyProtection="0"/>
    <xf numFmtId="166" fontId="7" fillId="0" borderId="0"/>
    <xf numFmtId="165" fontId="2" fillId="2" borderId="0" applyNumberFormat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/>
    <xf numFmtId="0" fontId="1" fillId="0" borderId="0"/>
    <xf numFmtId="0" fontId="12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/>
    <xf numFmtId="0" fontId="1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" fillId="0" borderId="0"/>
    <xf numFmtId="0" fontId="13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5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39" fillId="19" borderId="0" applyNumberFormat="0" applyBorder="0" applyAlignment="0" applyProtection="0"/>
    <xf numFmtId="9" fontId="1" fillId="0" borderId="0" applyFont="0" applyFill="0" applyBorder="0" applyAlignment="0" applyProtection="0"/>
  </cellStyleXfs>
  <cellXfs count="363">
    <xf numFmtId="0" fontId="0" fillId="0" borderId="0" xfId="0"/>
    <xf numFmtId="0" fontId="4" fillId="4" borderId="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 applyProtection="1">
      <alignment horizontal="center" vertical="center"/>
      <protection locked="0"/>
    </xf>
    <xf numFmtId="1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8" fillId="5" borderId="1" xfId="0" applyFont="1" applyFill="1" applyBorder="1" applyAlignment="1">
      <alignment horizontal="center" vertical="center"/>
    </xf>
    <xf numFmtId="0" fontId="0" fillId="0" borderId="0" xfId="0"/>
    <xf numFmtId="1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5" fillId="5" borderId="1" xfId="0" quotePrefix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" fontId="3" fillId="5" borderId="1" xfId="0" quotePrefix="1" applyNumberFormat="1" applyFont="1" applyFill="1" applyBorder="1" applyAlignment="1" applyProtection="1">
      <alignment horizontal="center" vertical="center"/>
      <protection locked="0"/>
    </xf>
    <xf numFmtId="0" fontId="0" fillId="0" borderId="0" xfId="0"/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9" borderId="1" xfId="0" applyFill="1" applyBorder="1" applyAlignment="1" applyProtection="1">
      <alignment horizont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49" fontId="5" fillId="5" borderId="1" xfId="0" applyNumberFormat="1" applyFont="1" applyFill="1" applyBorder="1" applyAlignment="1" applyProtection="1">
      <alignment horizontal="center" vertical="center"/>
      <protection locked="0"/>
    </xf>
    <xf numFmtId="0" fontId="5" fillId="5" borderId="0" xfId="0" applyFont="1" applyFill="1" applyBorder="1" applyAlignment="1">
      <alignment horizontal="center" vertical="center"/>
    </xf>
    <xf numFmtId="0" fontId="0" fillId="0" borderId="0" xfId="0" applyAlignment="1">
      <alignment vertical="center" textRotation="90"/>
    </xf>
    <xf numFmtId="0" fontId="20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5" borderId="6" xfId="0" applyFont="1" applyFill="1" applyBorder="1" applyAlignment="1">
      <alignment horizontal="center" vertical="center"/>
    </xf>
    <xf numFmtId="1" fontId="3" fillId="5" borderId="6" xfId="0" applyNumberFormat="1" applyFont="1" applyFill="1" applyBorder="1" applyAlignment="1" applyProtection="1">
      <alignment horizontal="center" vertical="center"/>
      <protection locked="0"/>
    </xf>
    <xf numFmtId="15" fontId="3" fillId="3" borderId="6" xfId="0" applyNumberFormat="1" applyFont="1" applyFill="1" applyBorder="1" applyAlignment="1" applyProtection="1">
      <alignment horizontal="center" vertical="center"/>
      <protection locked="0"/>
    </xf>
    <xf numFmtId="0" fontId="5" fillId="5" borderId="7" xfId="0" applyFont="1" applyFill="1" applyBorder="1" applyAlignment="1">
      <alignment horizontal="center" vertical="center"/>
    </xf>
    <xf numFmtId="1" fontId="3" fillId="5" borderId="7" xfId="0" applyNumberFormat="1" applyFont="1" applyFill="1" applyBorder="1" applyAlignment="1" applyProtection="1">
      <alignment horizontal="center" vertical="center"/>
      <protection locked="0"/>
    </xf>
    <xf numFmtId="15" fontId="3" fillId="3" borderId="7" xfId="0" applyNumberFormat="1" applyFont="1" applyFill="1" applyBorder="1" applyAlignment="1" applyProtection="1">
      <alignment horizontal="center" vertical="center"/>
      <protection locked="0"/>
    </xf>
    <xf numFmtId="0" fontId="18" fillId="0" borderId="7" xfId="0" applyFont="1" applyBorder="1" applyAlignment="1">
      <alignment horizontal="center" vertical="center"/>
    </xf>
    <xf numFmtId="0" fontId="22" fillId="5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5" borderId="6" xfId="0" quotePrefix="1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3" fillId="11" borderId="6" xfId="0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1" fontId="3" fillId="5" borderId="8" xfId="0" applyNumberFormat="1" applyFont="1" applyFill="1" applyBorder="1" applyAlignment="1" applyProtection="1">
      <alignment horizontal="center" vertical="center"/>
      <protection locked="0"/>
    </xf>
    <xf numFmtId="15" fontId="3" fillId="3" borderId="8" xfId="0" applyNumberFormat="1" applyFont="1" applyFill="1" applyBorder="1" applyAlignment="1" applyProtection="1">
      <alignment horizontal="center" vertical="center"/>
      <protection locked="0"/>
    </xf>
    <xf numFmtId="0" fontId="21" fillId="0" borderId="13" xfId="0" applyFont="1" applyBorder="1" applyAlignment="1">
      <alignment vertical="center" textRotation="90"/>
    </xf>
    <xf numFmtId="49" fontId="7" fillId="0" borderId="1" xfId="0" applyNumberFormat="1" applyFont="1" applyBorder="1" applyAlignment="1">
      <alignment horizontal="center" vertical="center"/>
    </xf>
    <xf numFmtId="0" fontId="0" fillId="0" borderId="0" xfId="0"/>
    <xf numFmtId="1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11" borderId="0" xfId="0" applyFill="1" applyBorder="1"/>
    <xf numFmtId="0" fontId="0" fillId="11" borderId="0" xfId="0" applyFont="1" applyFill="1" applyBorder="1"/>
    <xf numFmtId="0" fontId="0" fillId="11" borderId="0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/>
    </xf>
    <xf numFmtId="0" fontId="24" fillId="11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0" fillId="11" borderId="8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6" xfId="0" applyFont="1" applyFill="1" applyBorder="1" applyAlignment="1">
      <alignment horizontal="center" vertical="center"/>
    </xf>
    <xf numFmtId="0" fontId="0" fillId="11" borderId="15" xfId="0" applyFill="1" applyBorder="1" applyAlignment="1">
      <alignment horizontal="center"/>
    </xf>
    <xf numFmtId="0" fontId="0" fillId="11" borderId="15" xfId="0" applyFont="1" applyFill="1" applyBorder="1" applyAlignment="1">
      <alignment horizontal="center" vertical="center"/>
    </xf>
    <xf numFmtId="0" fontId="24" fillId="11" borderId="15" xfId="0" applyFont="1" applyFill="1" applyBorder="1" applyAlignment="1">
      <alignment horizontal="center" vertical="center"/>
    </xf>
    <xf numFmtId="0" fontId="24" fillId="11" borderId="6" xfId="0" applyFont="1" applyFill="1" applyBorder="1" applyAlignment="1">
      <alignment horizontal="center" vertical="center"/>
    </xf>
    <xf numFmtId="0" fontId="24" fillId="11" borderId="8" xfId="0" applyFont="1" applyFill="1" applyBorder="1" applyAlignment="1">
      <alignment horizontal="center" vertical="center"/>
    </xf>
    <xf numFmtId="0" fontId="0" fillId="11" borderId="16" xfId="0" applyFill="1" applyBorder="1" applyAlignment="1">
      <alignment horizontal="center"/>
    </xf>
    <xf numFmtId="0" fontId="24" fillId="11" borderId="16" xfId="0" applyFont="1" applyFill="1" applyBorder="1" applyAlignment="1">
      <alignment horizontal="center" vertical="center"/>
    </xf>
    <xf numFmtId="0" fontId="0" fillId="11" borderId="8" xfId="0" applyFont="1" applyFill="1" applyBorder="1" applyAlignment="1">
      <alignment horizontal="center" vertical="center"/>
    </xf>
    <xf numFmtId="0" fontId="0" fillId="11" borderId="1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15" borderId="0" xfId="0" applyFill="1" applyBorder="1" applyAlignment="1">
      <alignment horizontal="center"/>
    </xf>
    <xf numFmtId="0" fontId="0" fillId="5" borderId="0" xfId="0" applyFill="1" applyBorder="1" applyAlignment="1"/>
    <xf numFmtId="0" fontId="0" fillId="11" borderId="1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5" fillId="5" borderId="7" xfId="0" quotePrefix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6" borderId="0" xfId="0" applyFill="1"/>
    <xf numFmtId="0" fontId="0" fillId="11" borderId="1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0" xfId="0" applyAlignment="1"/>
    <xf numFmtId="0" fontId="19" fillId="7" borderId="1" xfId="0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1" fontId="3" fillId="5" borderId="20" xfId="0" applyNumberFormat="1" applyFont="1" applyFill="1" applyBorder="1" applyAlignment="1" applyProtection="1">
      <alignment horizontal="center" vertical="center"/>
      <protection locked="0"/>
    </xf>
    <xf numFmtId="15" fontId="3" fillId="3" borderId="20" xfId="0" applyNumberFormat="1" applyFont="1" applyFill="1" applyBorder="1" applyAlignment="1" applyProtection="1">
      <alignment horizontal="center" vertical="center"/>
      <protection locked="0"/>
    </xf>
    <xf numFmtId="0" fontId="3" fillId="11" borderId="20" xfId="0" applyFont="1" applyFill="1" applyBorder="1" applyAlignment="1">
      <alignment horizontal="center"/>
    </xf>
    <xf numFmtId="0" fontId="0" fillId="11" borderId="16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5" fillId="5" borderId="20" xfId="0" quotePrefix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21" fillId="0" borderId="20" xfId="0" applyFont="1" applyBorder="1" applyAlignment="1">
      <alignment vertical="center"/>
    </xf>
    <xf numFmtId="0" fontId="0" fillId="11" borderId="1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32" fillId="11" borderId="1" xfId="0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/>
    <xf numFmtId="0" fontId="3" fillId="11" borderId="3" xfId="0" applyFont="1" applyFill="1" applyBorder="1" applyAlignment="1">
      <alignment horizontal="center" vertical="center"/>
    </xf>
    <xf numFmtId="0" fontId="32" fillId="11" borderId="6" xfId="0" applyFont="1" applyFill="1" applyBorder="1" applyAlignment="1">
      <alignment horizontal="center" vertical="center"/>
    </xf>
    <xf numFmtId="0" fontId="33" fillId="11" borderId="6" xfId="0" applyFont="1" applyFill="1" applyBorder="1" applyAlignment="1">
      <alignment horizontal="center" vertical="center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34" fillId="0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20" fillId="5" borderId="0" xfId="0" applyFont="1" applyFill="1" applyBorder="1"/>
    <xf numFmtId="0" fontId="0" fillId="5" borderId="0" xfId="0" applyFill="1" applyBorder="1"/>
    <xf numFmtId="0" fontId="28" fillId="0" borderId="27" xfId="0" applyFont="1" applyBorder="1"/>
    <xf numFmtId="0" fontId="28" fillId="0" borderId="26" xfId="0" applyFont="1" applyBorder="1"/>
    <xf numFmtId="0" fontId="28" fillId="0" borderId="28" xfId="0" applyFont="1" applyBorder="1"/>
    <xf numFmtId="0" fontId="36" fillId="0" borderId="26" xfId="0" applyFont="1" applyBorder="1" applyAlignment="1">
      <alignment horizontal="center"/>
    </xf>
    <xf numFmtId="0" fontId="0" fillId="0" borderId="26" xfId="0" applyFont="1" applyBorder="1" applyAlignment="1">
      <alignment horizontal="center" vertical="center" wrapText="1"/>
    </xf>
    <xf numFmtId="0" fontId="20" fillId="18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7" fillId="18" borderId="0" xfId="0" applyFont="1" applyFill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37" fillId="18" borderId="1" xfId="0" applyFont="1" applyFill="1" applyBorder="1" applyAlignment="1">
      <alignment horizontal="center"/>
    </xf>
    <xf numFmtId="0" fontId="35" fillId="18" borderId="26" xfId="0" applyFont="1" applyFill="1" applyBorder="1" applyAlignment="1">
      <alignment horizontal="left" vertical="top"/>
    </xf>
    <xf numFmtId="0" fontId="35" fillId="18" borderId="28" xfId="0" applyFont="1" applyFill="1" applyBorder="1" applyAlignment="1">
      <alignment horizontal="left" vertical="top"/>
    </xf>
    <xf numFmtId="0" fontId="35" fillId="18" borderId="0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0" fillId="0" borderId="1" xfId="0" applyFont="1" applyFill="1" applyBorder="1" applyAlignment="1" applyProtection="1">
      <alignment horizontal="center" vertical="center"/>
      <protection locked="0"/>
    </xf>
    <xf numFmtId="0" fontId="22" fillId="0" borderId="1" xfId="77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5" fillId="5" borderId="8" xfId="0" quotePrefix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11" borderId="16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1" fillId="0" borderId="1" xfId="771" applyFont="1" applyFill="1" applyBorder="1" applyAlignment="1" applyProtection="1">
      <alignment horizontal="center" vertical="center"/>
      <protection locked="0"/>
    </xf>
    <xf numFmtId="0" fontId="22" fillId="5" borderId="1" xfId="0" applyFont="1" applyFill="1" applyBorder="1" applyAlignment="1">
      <alignment horizontal="center" vertical="center"/>
    </xf>
    <xf numFmtId="0" fontId="1" fillId="0" borderId="1" xfId="772" applyFont="1" applyFill="1" applyBorder="1" applyAlignment="1" applyProtection="1">
      <alignment horizontal="center" vertical="center"/>
      <protection locked="0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31" xfId="0" applyFill="1" applyBorder="1" applyAlignment="1" applyProtection="1">
      <alignment horizontal="center" vertical="center"/>
      <protection locked="0"/>
    </xf>
    <xf numFmtId="0" fontId="0" fillId="11" borderId="1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5" borderId="25" xfId="0" applyFill="1" applyBorder="1" applyAlignment="1" applyProtection="1">
      <alignment horizontal="center" vertical="center"/>
      <protection locked="0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36" fillId="20" borderId="26" xfId="0" applyFont="1" applyFill="1" applyBorder="1" applyAlignment="1">
      <alignment horizontal="center"/>
    </xf>
    <xf numFmtId="0" fontId="36" fillId="20" borderId="1" xfId="0" applyFont="1" applyFill="1" applyBorder="1" applyAlignment="1">
      <alignment horizontal="center"/>
    </xf>
    <xf numFmtId="0" fontId="0" fillId="20" borderId="1" xfId="0" applyFont="1" applyFill="1" applyBorder="1" applyAlignment="1">
      <alignment horizontal="center"/>
    </xf>
    <xf numFmtId="0" fontId="0" fillId="20" borderId="1" xfId="0" applyFont="1" applyFill="1" applyBorder="1" applyAlignment="1">
      <alignment horizontal="center" wrapText="1"/>
    </xf>
    <xf numFmtId="0" fontId="0" fillId="11" borderId="16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41" fillId="0" borderId="39" xfId="0" applyFont="1" applyBorder="1" applyAlignment="1">
      <alignment horizontal="center" vertical="center" wrapText="1" readingOrder="1"/>
    </xf>
    <xf numFmtId="0" fontId="42" fillId="21" borderId="42" xfId="0" applyFont="1" applyFill="1" applyBorder="1" applyAlignment="1">
      <alignment horizontal="center" vertical="center" wrapText="1" readingOrder="1"/>
    </xf>
    <xf numFmtId="0" fontId="43" fillId="21" borderId="42" xfId="0" applyFont="1" applyFill="1" applyBorder="1" applyAlignment="1">
      <alignment horizontal="center" vertical="center" wrapText="1" readingOrder="1"/>
    </xf>
    <xf numFmtId="9" fontId="43" fillId="0" borderId="42" xfId="0" applyNumberFormat="1" applyFont="1" applyBorder="1" applyAlignment="1">
      <alignment horizontal="center" vertical="center" wrapText="1" readingOrder="1"/>
    </xf>
    <xf numFmtId="0" fontId="43" fillId="0" borderId="42" xfId="0" applyFont="1" applyBorder="1" applyAlignment="1">
      <alignment horizontal="center" vertical="center" wrapText="1" readingOrder="1"/>
    </xf>
    <xf numFmtId="0" fontId="0" fillId="11" borderId="6" xfId="0" applyFill="1" applyBorder="1"/>
    <xf numFmtId="0" fontId="0" fillId="11" borderId="16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9" fontId="5" fillId="5" borderId="6" xfId="773" applyFont="1" applyFill="1" applyBorder="1" applyAlignment="1">
      <alignment horizontal="center" vertical="center"/>
    </xf>
    <xf numFmtId="9" fontId="5" fillId="5" borderId="1" xfId="773" applyFont="1" applyFill="1" applyBorder="1" applyAlignment="1">
      <alignment horizontal="center" vertical="center"/>
    </xf>
    <xf numFmtId="9" fontId="5" fillId="5" borderId="7" xfId="773" applyFont="1" applyFill="1" applyBorder="1" applyAlignment="1">
      <alignment horizontal="center" vertical="center"/>
    </xf>
    <xf numFmtId="9" fontId="18" fillId="0" borderId="1" xfId="773" applyFont="1" applyBorder="1" applyAlignment="1">
      <alignment horizontal="center" vertical="center"/>
    </xf>
    <xf numFmtId="9" fontId="18" fillId="0" borderId="7" xfId="773" applyFont="1" applyBorder="1" applyAlignment="1">
      <alignment horizontal="center" vertical="center"/>
    </xf>
    <xf numFmtId="9" fontId="18" fillId="0" borderId="6" xfId="773" applyFont="1" applyBorder="1" applyAlignment="1">
      <alignment horizontal="center" vertical="center"/>
    </xf>
    <xf numFmtId="9" fontId="5" fillId="5" borderId="8" xfId="773" applyFont="1" applyFill="1" applyBorder="1" applyAlignment="1">
      <alignment horizontal="center" vertical="center"/>
    </xf>
    <xf numFmtId="9" fontId="5" fillId="5" borderId="20" xfId="773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11" borderId="16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15" fontId="3" fillId="3" borderId="11" xfId="0" applyNumberFormat="1" applyFont="1" applyFill="1" applyBorder="1" applyAlignment="1" applyProtection="1">
      <alignment horizontal="center" vertical="center"/>
      <protection locked="0"/>
    </xf>
    <xf numFmtId="1" fontId="36" fillId="0" borderId="1" xfId="0" applyNumberFormat="1" applyFont="1" applyBorder="1" applyAlignment="1">
      <alignment horizontal="center"/>
    </xf>
    <xf numFmtId="0" fontId="33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9" fontId="0" fillId="0" borderId="25" xfId="773" applyFont="1" applyBorder="1" applyAlignment="1" applyProtection="1">
      <alignment horizontal="center" vertical="center"/>
      <protection locked="0"/>
    </xf>
    <xf numFmtId="0" fontId="0" fillId="5" borderId="25" xfId="0" applyFill="1" applyBorder="1" applyAlignment="1" applyProtection="1">
      <alignment horizontal="center"/>
      <protection locked="0"/>
    </xf>
    <xf numFmtId="0" fontId="4" fillId="4" borderId="4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0" borderId="0" xfId="0" applyFill="1" applyBorder="1"/>
    <xf numFmtId="0" fontId="3" fillId="11" borderId="2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0" fillId="0" borderId="1" xfId="0" quotePrefix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4" fillId="5" borderId="1" xfId="0" applyFont="1" applyFill="1" applyBorder="1" applyAlignment="1">
      <alignment horizontal="center" vertical="center"/>
    </xf>
    <xf numFmtId="0" fontId="24" fillId="20" borderId="1" xfId="0" applyFont="1" applyFill="1" applyBorder="1" applyAlignment="1">
      <alignment horizontal="center" vertical="center"/>
    </xf>
    <xf numFmtId="0" fontId="0" fillId="20" borderId="0" xfId="0" applyFill="1"/>
    <xf numFmtId="0" fontId="43" fillId="0" borderId="46" xfId="0" applyFont="1" applyBorder="1" applyAlignment="1">
      <alignment horizontal="center" vertical="center" wrapText="1" readingOrder="1"/>
    </xf>
    <xf numFmtId="9" fontId="43" fillId="0" borderId="46" xfId="0" applyNumberFormat="1" applyFont="1" applyBorder="1" applyAlignment="1">
      <alignment horizontal="center" vertical="center" wrapText="1" readingOrder="1"/>
    </xf>
    <xf numFmtId="0" fontId="43" fillId="21" borderId="46" xfId="0" applyFont="1" applyFill="1" applyBorder="1" applyAlignment="1">
      <alignment horizontal="center" vertical="center" wrapText="1" readingOrder="1"/>
    </xf>
    <xf numFmtId="0" fontId="41" fillId="0" borderId="40" xfId="0" applyFont="1" applyBorder="1" applyAlignment="1">
      <alignment horizontal="center" vertical="center" wrapText="1" readingOrder="1"/>
    </xf>
    <xf numFmtId="15" fontId="3" fillId="3" borderId="0" xfId="0" applyNumberFormat="1" applyFont="1" applyFill="1" applyBorder="1" applyAlignment="1" applyProtection="1">
      <alignment horizontal="center" vertical="center"/>
      <protection locked="0"/>
    </xf>
    <xf numFmtId="0" fontId="44" fillId="5" borderId="6" xfId="0" applyFont="1" applyFill="1" applyBorder="1" applyAlignment="1">
      <alignment horizontal="center" vertical="center"/>
    </xf>
    <xf numFmtId="0" fontId="41" fillId="0" borderId="40" xfId="0" applyFont="1" applyBorder="1" applyAlignment="1">
      <alignment horizontal="center" vertical="center" wrapText="1" readingOrder="1"/>
    </xf>
    <xf numFmtId="0" fontId="43" fillId="21" borderId="46" xfId="0" applyFont="1" applyFill="1" applyBorder="1" applyAlignment="1">
      <alignment horizontal="center" vertical="center" wrapText="1" readingOrder="1"/>
    </xf>
    <xf numFmtId="9" fontId="43" fillId="0" borderId="46" xfId="0" applyNumberFormat="1" applyFont="1" applyBorder="1" applyAlignment="1">
      <alignment horizontal="center" vertical="center" wrapText="1" readingOrder="1"/>
    </xf>
    <xf numFmtId="1" fontId="3" fillId="5" borderId="9" xfId="0" applyNumberFormat="1" applyFont="1" applyFill="1" applyBorder="1" applyAlignment="1" applyProtection="1">
      <alignment horizontal="center" vertical="center"/>
      <protection locked="0"/>
    </xf>
    <xf numFmtId="15" fontId="3" fillId="3" borderId="9" xfId="0" applyNumberFormat="1" applyFont="1" applyFill="1" applyBorder="1" applyAlignment="1" applyProtection="1">
      <alignment horizontal="center" vertical="center"/>
      <protection locked="0"/>
    </xf>
    <xf numFmtId="9" fontId="5" fillId="5" borderId="9" xfId="773" applyFont="1" applyFill="1" applyBorder="1" applyAlignment="1">
      <alignment horizontal="center" vertical="center"/>
    </xf>
    <xf numFmtId="9" fontId="43" fillId="0" borderId="42" xfId="773" applyFont="1" applyBorder="1" applyAlignment="1">
      <alignment horizontal="center" vertical="center" wrapText="1" readingOrder="1"/>
    </xf>
    <xf numFmtId="9" fontId="43" fillId="0" borderId="46" xfId="773" applyFont="1" applyBorder="1" applyAlignment="1">
      <alignment horizontal="center" vertical="center" wrapText="1" readingOrder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8" fillId="0" borderId="29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25" fillId="11" borderId="4" xfId="0" applyFont="1" applyFill="1" applyBorder="1" applyAlignment="1">
      <alignment horizontal="center" vertical="center"/>
    </xf>
    <xf numFmtId="0" fontId="25" fillId="11" borderId="5" xfId="0" applyFont="1" applyFill="1" applyBorder="1" applyAlignment="1">
      <alignment horizontal="center" vertical="center"/>
    </xf>
    <xf numFmtId="0" fontId="25" fillId="11" borderId="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textRotation="90"/>
    </xf>
    <xf numFmtId="0" fontId="21" fillId="0" borderId="2" xfId="0" applyFont="1" applyBorder="1" applyAlignment="1">
      <alignment horizontal="center" vertical="center" textRotation="90"/>
    </xf>
    <xf numFmtId="0" fontId="21" fillId="0" borderId="11" xfId="0" applyFont="1" applyBorder="1" applyAlignment="1">
      <alignment horizontal="center" vertical="center" textRotation="90"/>
    </xf>
    <xf numFmtId="0" fontId="31" fillId="0" borderId="10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 textRotation="90"/>
    </xf>
    <xf numFmtId="0" fontId="21" fillId="0" borderId="1" xfId="0" applyFont="1" applyBorder="1" applyAlignment="1">
      <alignment horizontal="center" vertical="center" textRotation="90"/>
    </xf>
    <xf numFmtId="0" fontId="21" fillId="0" borderId="7" xfId="0" applyFont="1" applyBorder="1" applyAlignment="1">
      <alignment horizontal="center" vertical="center" textRotation="90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21" fillId="0" borderId="12" xfId="0" applyFont="1" applyBorder="1" applyAlignment="1">
      <alignment horizontal="center" vertical="center" textRotation="90"/>
    </xf>
    <xf numFmtId="0" fontId="21" fillId="0" borderId="13" xfId="0" applyFont="1" applyBorder="1" applyAlignment="1">
      <alignment horizontal="center" vertical="center" textRotation="90"/>
    </xf>
    <xf numFmtId="0" fontId="21" fillId="0" borderId="14" xfId="0" applyFont="1" applyBorder="1" applyAlignment="1">
      <alignment horizontal="center" vertical="center" textRotation="90"/>
    </xf>
    <xf numFmtId="0" fontId="0" fillId="0" borderId="0" xfId="0" applyAlignment="1">
      <alignment horizontal="center"/>
    </xf>
    <xf numFmtId="0" fontId="19" fillId="8" borderId="1" xfId="0" applyFont="1" applyFill="1" applyBorder="1" applyAlignment="1">
      <alignment horizontal="center"/>
    </xf>
    <xf numFmtId="0" fontId="19" fillId="7" borderId="4" xfId="0" applyFont="1" applyFill="1" applyBorder="1" applyAlignment="1">
      <alignment horizontal="center"/>
    </xf>
    <xf numFmtId="0" fontId="19" fillId="7" borderId="5" xfId="0" applyFont="1" applyFill="1" applyBorder="1" applyAlignment="1">
      <alignment horizontal="center"/>
    </xf>
    <xf numFmtId="0" fontId="19" fillId="8" borderId="4" xfId="0" applyFont="1" applyFill="1" applyBorder="1" applyAlignment="1">
      <alignment horizontal="center" vertical="center"/>
    </xf>
    <xf numFmtId="0" fontId="19" fillId="8" borderId="5" xfId="0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19" fillId="7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21" fillId="0" borderId="8" xfId="0" applyFont="1" applyBorder="1" applyAlignment="1">
      <alignment horizontal="center" vertical="center" textRotation="90"/>
    </xf>
    <xf numFmtId="0" fontId="4" fillId="4" borderId="1" xfId="0" applyFont="1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1" fontId="0" fillId="11" borderId="16" xfId="0" applyNumberFormat="1" applyFont="1" applyFill="1" applyBorder="1" applyAlignment="1">
      <alignment horizontal="center" vertical="center"/>
    </xf>
    <xf numFmtId="1" fontId="0" fillId="11" borderId="1" xfId="0" applyNumberFormat="1" applyFont="1" applyFill="1" applyBorder="1" applyAlignment="1">
      <alignment horizontal="center" vertical="center"/>
    </xf>
    <xf numFmtId="1" fontId="0" fillId="11" borderId="15" xfId="0" applyNumberFormat="1" applyFont="1" applyFill="1" applyBorder="1" applyAlignment="1">
      <alignment horizontal="center" vertical="center"/>
    </xf>
    <xf numFmtId="14" fontId="0" fillId="11" borderId="16" xfId="0" applyNumberFormat="1" applyFont="1" applyFill="1" applyBorder="1" applyAlignment="1">
      <alignment horizontal="center" vertical="center"/>
    </xf>
    <xf numFmtId="14" fontId="0" fillId="11" borderId="1" xfId="0" applyNumberFormat="1" applyFont="1" applyFill="1" applyBorder="1" applyAlignment="1">
      <alignment horizontal="center" vertical="center"/>
    </xf>
    <xf numFmtId="14" fontId="0" fillId="11" borderId="15" xfId="0" applyNumberFormat="1" applyFont="1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8" xfId="0" applyFill="1" applyBorder="1" applyAlignment="1">
      <alignment horizontal="center" vertical="center" wrapText="1"/>
    </xf>
    <xf numFmtId="1" fontId="0" fillId="11" borderId="6" xfId="0" applyNumberFormat="1" applyFont="1" applyFill="1" applyBorder="1" applyAlignment="1">
      <alignment horizontal="center" vertical="center"/>
    </xf>
    <xf numFmtId="14" fontId="0" fillId="11" borderId="6" xfId="0" applyNumberFormat="1" applyFont="1" applyFill="1" applyBorder="1" applyAlignment="1">
      <alignment horizontal="center" vertical="center"/>
    </xf>
    <xf numFmtId="0" fontId="40" fillId="0" borderId="36" xfId="0" applyFont="1" applyBorder="1" applyAlignment="1">
      <alignment horizontal="center" vertical="center" wrapText="1" readingOrder="1"/>
    </xf>
    <xf numFmtId="0" fontId="40" fillId="0" borderId="37" xfId="0" applyFont="1" applyBorder="1" applyAlignment="1">
      <alignment horizontal="center" vertical="center" wrapText="1" readingOrder="1"/>
    </xf>
    <xf numFmtId="0" fontId="40" fillId="0" borderId="38" xfId="0" applyFont="1" applyBorder="1" applyAlignment="1">
      <alignment horizontal="center" vertical="center" wrapText="1" readingOrder="1"/>
    </xf>
    <xf numFmtId="0" fontId="41" fillId="21" borderId="43" xfId="0" applyFont="1" applyFill="1" applyBorder="1" applyAlignment="1">
      <alignment horizontal="center" vertical="center" textRotation="90" wrapText="1" readingOrder="1"/>
    </xf>
    <xf numFmtId="0" fontId="41" fillId="21" borderId="44" xfId="0" applyFont="1" applyFill="1" applyBorder="1" applyAlignment="1">
      <alignment horizontal="center" vertical="center" textRotation="90" wrapText="1" readingOrder="1"/>
    </xf>
    <xf numFmtId="0" fontId="41" fillId="21" borderId="45" xfId="0" applyFont="1" applyFill="1" applyBorder="1" applyAlignment="1">
      <alignment horizontal="center" vertical="center" textRotation="90" wrapText="1" readingOrder="1"/>
    </xf>
    <xf numFmtId="0" fontId="43" fillId="0" borderId="46" xfId="0" applyFont="1" applyBorder="1" applyAlignment="1">
      <alignment horizontal="center" vertical="center" wrapText="1" readingOrder="1"/>
    </xf>
    <xf numFmtId="0" fontId="43" fillId="0" borderId="47" xfId="0" applyFont="1" applyBorder="1" applyAlignment="1">
      <alignment horizontal="center" vertical="center" wrapText="1" readingOrder="1"/>
    </xf>
    <xf numFmtId="9" fontId="43" fillId="0" borderId="46" xfId="0" applyNumberFormat="1" applyFont="1" applyBorder="1" applyAlignment="1">
      <alignment horizontal="center" vertical="center" wrapText="1" readingOrder="1"/>
    </xf>
    <xf numFmtId="9" fontId="43" fillId="0" borderId="47" xfId="0" applyNumberFormat="1" applyFont="1" applyBorder="1" applyAlignment="1">
      <alignment horizontal="center" vertical="center" wrapText="1" readingOrder="1"/>
    </xf>
    <xf numFmtId="0" fontId="43" fillId="21" borderId="46" xfId="0" applyFont="1" applyFill="1" applyBorder="1" applyAlignment="1">
      <alignment horizontal="center" vertical="center" wrapText="1" readingOrder="1"/>
    </xf>
    <xf numFmtId="0" fontId="43" fillId="21" borderId="47" xfId="0" applyFont="1" applyFill="1" applyBorder="1" applyAlignment="1">
      <alignment horizontal="center" vertical="center" wrapText="1" readingOrder="1"/>
    </xf>
    <xf numFmtId="0" fontId="40" fillId="0" borderId="32" xfId="0" applyFont="1" applyBorder="1" applyAlignment="1">
      <alignment horizontal="center" vertical="center" wrapText="1" readingOrder="1"/>
    </xf>
    <xf numFmtId="0" fontId="40" fillId="0" borderId="33" xfId="0" applyFont="1" applyBorder="1" applyAlignment="1">
      <alignment horizontal="center" vertical="center" wrapText="1" readingOrder="1"/>
    </xf>
    <xf numFmtId="0" fontId="40" fillId="0" borderId="34" xfId="0" applyFont="1" applyBorder="1" applyAlignment="1">
      <alignment horizontal="center" vertical="center" wrapText="1" readingOrder="1"/>
    </xf>
    <xf numFmtId="0" fontId="40" fillId="0" borderId="35" xfId="0" applyFont="1" applyBorder="1" applyAlignment="1">
      <alignment horizontal="center" vertical="center" wrapText="1" readingOrder="1"/>
    </xf>
    <xf numFmtId="0" fontId="41" fillId="0" borderId="40" xfId="0" applyFont="1" applyBorder="1" applyAlignment="1">
      <alignment horizontal="center" vertical="center" wrapText="1" readingOrder="1"/>
    </xf>
    <xf numFmtId="0" fontId="41" fillId="0" borderId="41" xfId="0" applyFont="1" applyBorder="1" applyAlignment="1">
      <alignment horizontal="center" vertical="center" wrapText="1" readingOrder="1"/>
    </xf>
    <xf numFmtId="0" fontId="41" fillId="21" borderId="42" xfId="0" applyFont="1" applyFill="1" applyBorder="1" applyAlignment="1">
      <alignment horizontal="center" vertical="center" textRotation="90" wrapText="1" readingOrder="1"/>
    </xf>
  </cellXfs>
  <cellStyles count="774">
    <cellStyle name="=C:\WINNT\SYSTEM32\COMMAND.COM" xfId="38"/>
    <cellStyle name="=C:\WINNT\SYSTEM32\COMMAND.COM 10" xfId="39"/>
    <cellStyle name="=C:\WINNT\SYSTEM32\COMMAND.COM 10 2" xfId="40"/>
    <cellStyle name="=C:\WINNT\SYSTEM32\COMMAND.COM 11" xfId="41"/>
    <cellStyle name="=C:\WINNT\SYSTEM32\COMMAND.COM 11 2" xfId="42"/>
    <cellStyle name="=C:\WINNT\SYSTEM32\COMMAND.COM 12" xfId="43"/>
    <cellStyle name="=C:\WINNT\SYSTEM32\COMMAND.COM 12 2" xfId="44"/>
    <cellStyle name="=C:\WINNT\SYSTEM32\COMMAND.COM 13" xfId="45"/>
    <cellStyle name="=C:\WINNT\SYSTEM32\COMMAND.COM 13 2" xfId="46"/>
    <cellStyle name="=C:\WINNT\SYSTEM32\COMMAND.COM 14" xfId="47"/>
    <cellStyle name="=C:\WINNT\SYSTEM32\COMMAND.COM 14 2" xfId="48"/>
    <cellStyle name="=C:\WINNT\SYSTEM32\COMMAND.COM 15" xfId="49"/>
    <cellStyle name="=C:\WINNT\SYSTEM32\COMMAND.COM 15 2" xfId="50"/>
    <cellStyle name="=C:\WINNT\SYSTEM32\COMMAND.COM 16" xfId="51"/>
    <cellStyle name="=C:\WINNT\SYSTEM32\COMMAND.COM 16 2" xfId="52"/>
    <cellStyle name="=C:\WINNT\SYSTEM32\COMMAND.COM 17" xfId="53"/>
    <cellStyle name="=C:\WINNT\SYSTEM32\COMMAND.COM 17 2" xfId="54"/>
    <cellStyle name="=C:\WINNT\SYSTEM32\COMMAND.COM 18" xfId="55"/>
    <cellStyle name="=C:\WINNT\SYSTEM32\COMMAND.COM 18 2" xfId="56"/>
    <cellStyle name="=C:\WINNT\SYSTEM32\COMMAND.COM 19" xfId="57"/>
    <cellStyle name="=C:\WINNT\SYSTEM32\COMMAND.COM 19 2" xfId="58"/>
    <cellStyle name="=C:\WINNT\SYSTEM32\COMMAND.COM 2" xfId="59"/>
    <cellStyle name="=C:\WINNT\SYSTEM32\COMMAND.COM 2 2" xfId="60"/>
    <cellStyle name="=C:\WINNT\SYSTEM32\COMMAND.COM 20" xfId="61"/>
    <cellStyle name="=C:\WINNT\SYSTEM32\COMMAND.COM 20 2" xfId="62"/>
    <cellStyle name="=C:\WINNT\SYSTEM32\COMMAND.COM 21" xfId="63"/>
    <cellStyle name="=C:\WINNT\SYSTEM32\COMMAND.COM 21 2" xfId="64"/>
    <cellStyle name="=C:\WINNT\SYSTEM32\COMMAND.COM 22" xfId="65"/>
    <cellStyle name="=C:\WINNT\SYSTEM32\COMMAND.COM 22 2" xfId="66"/>
    <cellStyle name="=C:\WINNT\SYSTEM32\COMMAND.COM 23" xfId="67"/>
    <cellStyle name="=C:\WINNT\SYSTEM32\COMMAND.COM 23 2" xfId="68"/>
    <cellStyle name="=C:\WINNT\SYSTEM32\COMMAND.COM 24" xfId="69"/>
    <cellStyle name="=C:\WINNT\SYSTEM32\COMMAND.COM 24 2" xfId="70"/>
    <cellStyle name="=C:\WINNT\SYSTEM32\COMMAND.COM 25" xfId="71"/>
    <cellStyle name="=C:\WINNT\SYSTEM32\COMMAND.COM 25 2" xfId="72"/>
    <cellStyle name="=C:\WINNT\SYSTEM32\COMMAND.COM 26" xfId="73"/>
    <cellStyle name="=C:\WINNT\SYSTEM32\COMMAND.COM 26 2" xfId="74"/>
    <cellStyle name="=C:\WINNT\SYSTEM32\COMMAND.COM 27" xfId="75"/>
    <cellStyle name="=C:\WINNT\SYSTEM32\COMMAND.COM 27 2" xfId="76"/>
    <cellStyle name="=C:\WINNT\SYSTEM32\COMMAND.COM 28" xfId="77"/>
    <cellStyle name="=C:\WINNT\SYSTEM32\COMMAND.COM 28 2" xfId="78"/>
    <cellStyle name="=C:\WINNT\SYSTEM32\COMMAND.COM 29" xfId="79"/>
    <cellStyle name="=C:\WINNT\SYSTEM32\COMMAND.COM 29 2" xfId="80"/>
    <cellStyle name="=C:\WINNT\SYSTEM32\COMMAND.COM 3" xfId="81"/>
    <cellStyle name="=C:\WINNT\SYSTEM32\COMMAND.COM 3 2" xfId="82"/>
    <cellStyle name="=C:\WINNT\SYSTEM32\COMMAND.COM 30" xfId="83"/>
    <cellStyle name="=C:\WINNT\SYSTEM32\COMMAND.COM 30 2" xfId="84"/>
    <cellStyle name="=C:\WINNT\SYSTEM32\COMMAND.COM 31" xfId="85"/>
    <cellStyle name="=C:\WINNT\SYSTEM32\COMMAND.COM 31 2" xfId="86"/>
    <cellStyle name="=C:\WINNT\SYSTEM32\COMMAND.COM 32" xfId="87"/>
    <cellStyle name="=C:\WINNT\SYSTEM32\COMMAND.COM 32 2" xfId="88"/>
    <cellStyle name="=C:\WINNT\SYSTEM32\COMMAND.COM 33" xfId="89"/>
    <cellStyle name="=C:\WINNT\SYSTEM32\COMMAND.COM 33 2" xfId="90"/>
    <cellStyle name="=C:\WINNT\SYSTEM32\COMMAND.COM 34" xfId="91"/>
    <cellStyle name="=C:\WINNT\SYSTEM32\COMMAND.COM 34 2" xfId="92"/>
    <cellStyle name="=C:\WINNT\SYSTEM32\COMMAND.COM 35" xfId="93"/>
    <cellStyle name="=C:\WINNT\SYSTEM32\COMMAND.COM 35 2" xfId="94"/>
    <cellStyle name="=C:\WINNT\SYSTEM32\COMMAND.COM 36" xfId="95"/>
    <cellStyle name="=C:\WINNT\SYSTEM32\COMMAND.COM 36 2" xfId="96"/>
    <cellStyle name="=C:\WINNT\SYSTEM32\COMMAND.COM 37" xfId="97"/>
    <cellStyle name="=C:\WINNT\SYSTEM32\COMMAND.COM 37 2" xfId="98"/>
    <cellStyle name="=C:\WINNT\SYSTEM32\COMMAND.COM 38" xfId="99"/>
    <cellStyle name="=C:\WINNT\SYSTEM32\COMMAND.COM 38 2" xfId="100"/>
    <cellStyle name="=C:\WINNT\SYSTEM32\COMMAND.COM 39" xfId="101"/>
    <cellStyle name="=C:\WINNT\SYSTEM32\COMMAND.COM 39 2" xfId="102"/>
    <cellStyle name="=C:\WINNT\SYSTEM32\COMMAND.COM 4" xfId="103"/>
    <cellStyle name="=C:\WINNT\SYSTEM32\COMMAND.COM 4 2" xfId="104"/>
    <cellStyle name="=C:\WINNT\SYSTEM32\COMMAND.COM 40" xfId="105"/>
    <cellStyle name="=C:\WINNT\SYSTEM32\COMMAND.COM 40 2" xfId="106"/>
    <cellStyle name="=C:\WINNT\SYSTEM32\COMMAND.COM 41" xfId="107"/>
    <cellStyle name="=C:\WINNT\SYSTEM32\COMMAND.COM 41 2" xfId="108"/>
    <cellStyle name="=C:\WINNT\SYSTEM32\COMMAND.COM 42" xfId="109"/>
    <cellStyle name="=C:\WINNT\SYSTEM32\COMMAND.COM 42 2" xfId="110"/>
    <cellStyle name="=C:\WINNT\SYSTEM32\COMMAND.COM 43" xfId="111"/>
    <cellStyle name="=C:\WINNT\SYSTEM32\COMMAND.COM 43 2" xfId="112"/>
    <cellStyle name="=C:\WINNT\SYSTEM32\COMMAND.COM 44" xfId="113"/>
    <cellStyle name="=C:\WINNT\SYSTEM32\COMMAND.COM 44 2" xfId="114"/>
    <cellStyle name="=C:\WINNT\SYSTEM32\COMMAND.COM 45" xfId="115"/>
    <cellStyle name="=C:\WINNT\SYSTEM32\COMMAND.COM 45 2" xfId="116"/>
    <cellStyle name="=C:\WINNT\SYSTEM32\COMMAND.COM 46" xfId="117"/>
    <cellStyle name="=C:\WINNT\SYSTEM32\COMMAND.COM 46 2" xfId="118"/>
    <cellStyle name="=C:\WINNT\SYSTEM32\COMMAND.COM 47" xfId="119"/>
    <cellStyle name="=C:\WINNT\SYSTEM32\COMMAND.COM 5" xfId="120"/>
    <cellStyle name="=C:\WINNT\SYSTEM32\COMMAND.COM 5 2" xfId="121"/>
    <cellStyle name="=C:\WINNT\SYSTEM32\COMMAND.COM 6" xfId="122"/>
    <cellStyle name="=C:\WINNT\SYSTEM32\COMMAND.COM 6 2" xfId="123"/>
    <cellStyle name="=C:\WINNT\SYSTEM32\COMMAND.COM 7" xfId="124"/>
    <cellStyle name="=C:\WINNT\SYSTEM32\COMMAND.COM 7 2" xfId="125"/>
    <cellStyle name="=C:\WINNT\SYSTEM32\COMMAND.COM 8" xfId="126"/>
    <cellStyle name="=C:\WINNT\SYSTEM32\COMMAND.COM 8 2" xfId="127"/>
    <cellStyle name="=C:\WINNT\SYSTEM32\COMMAND.COM 9" xfId="128"/>
    <cellStyle name="=C:\WINNT\SYSTEM32\COMMAND.COM 9 2" xfId="129"/>
    <cellStyle name="Currency 2" xfId="2"/>
    <cellStyle name="Excel Built-in Normal" xfId="3"/>
    <cellStyle name="Excel Built-in Normal 1 1 1" xfId="130"/>
    <cellStyle name="Good" xfId="771" builtinId="26"/>
    <cellStyle name="Good 3" xfId="4"/>
    <cellStyle name="Hyperlink 2" xfId="5"/>
    <cellStyle name="Hyperlink 2 2" xfId="6"/>
    <cellStyle name="Hyperlink 2 3" xfId="131"/>
    <cellStyle name="Hyperlink 2 4" xfId="132"/>
    <cellStyle name="Hyperlink 2 5" xfId="133"/>
    <cellStyle name="Hyperlink 3" xfId="7"/>
    <cellStyle name="Hyperlink 4" xfId="134"/>
    <cellStyle name="Neutral" xfId="772" builtinId="28"/>
    <cellStyle name="Normal" xfId="0" builtinId="0"/>
    <cellStyle name="Normal 10" xfId="135"/>
    <cellStyle name="Normal 10 2" xfId="136"/>
    <cellStyle name="Normal 11" xfId="137"/>
    <cellStyle name="Normal 11 2" xfId="138"/>
    <cellStyle name="Normal 12" xfId="139"/>
    <cellStyle name="Normal 12 2" xfId="140"/>
    <cellStyle name="Normal 13" xfId="8"/>
    <cellStyle name="Normal 13 2" xfId="141"/>
    <cellStyle name="Normal 136" xfId="142"/>
    <cellStyle name="Normal 136 2" xfId="143"/>
    <cellStyle name="Normal 136 2 2" xfId="144"/>
    <cellStyle name="Normal 136 3" xfId="145"/>
    <cellStyle name="Normal 136 4" xfId="146"/>
    <cellStyle name="Normal 14" xfId="147"/>
    <cellStyle name="Normal 14 2" xfId="148"/>
    <cellStyle name="Normal 15" xfId="149"/>
    <cellStyle name="Normal 16" xfId="150"/>
    <cellStyle name="Normal 2" xfId="1"/>
    <cellStyle name="Normal 2 10" xfId="151"/>
    <cellStyle name="Normal 2 10 2" xfId="152"/>
    <cellStyle name="Normal 2 11" xfId="153"/>
    <cellStyle name="Normal 2 11 2" xfId="154"/>
    <cellStyle name="Normal 2 12" xfId="155"/>
    <cellStyle name="Normal 2 12 2" xfId="156"/>
    <cellStyle name="Normal 2 13" xfId="157"/>
    <cellStyle name="Normal 2 13 2" xfId="158"/>
    <cellStyle name="Normal 2 14" xfId="159"/>
    <cellStyle name="Normal 2 14 2" xfId="160"/>
    <cellStyle name="Normal 2 15" xfId="161"/>
    <cellStyle name="Normal 2 15 2" xfId="162"/>
    <cellStyle name="Normal 2 16" xfId="163"/>
    <cellStyle name="Normal 2 16 2" xfId="164"/>
    <cellStyle name="Normal 2 17" xfId="165"/>
    <cellStyle name="Normal 2 17 2" xfId="166"/>
    <cellStyle name="Normal 2 18" xfId="167"/>
    <cellStyle name="Normal 2 18 2" xfId="168"/>
    <cellStyle name="Normal 2 19" xfId="169"/>
    <cellStyle name="Normal 2 19 2" xfId="170"/>
    <cellStyle name="Normal 2 2" xfId="9"/>
    <cellStyle name="Normal 2 2 10" xfId="171"/>
    <cellStyle name="Normal 2 2 10 2" xfId="172"/>
    <cellStyle name="Normal 2 2 11" xfId="173"/>
    <cellStyle name="Normal 2 2 11 2" xfId="174"/>
    <cellStyle name="Normal 2 2 12" xfId="175"/>
    <cellStyle name="Normal 2 2 12 2" xfId="176"/>
    <cellStyle name="Normal 2 2 13" xfId="177"/>
    <cellStyle name="Normal 2 2 13 2" xfId="178"/>
    <cellStyle name="Normal 2 2 14" xfId="179"/>
    <cellStyle name="Normal 2 2 14 2" xfId="180"/>
    <cellStyle name="Normal 2 2 15" xfId="181"/>
    <cellStyle name="Normal 2 2 15 2" xfId="182"/>
    <cellStyle name="Normal 2 2 16" xfId="183"/>
    <cellStyle name="Normal 2 2 16 2" xfId="184"/>
    <cellStyle name="Normal 2 2 17" xfId="185"/>
    <cellStyle name="Normal 2 2 17 2" xfId="186"/>
    <cellStyle name="Normal 2 2 18" xfId="187"/>
    <cellStyle name="Normal 2 2 18 2" xfId="188"/>
    <cellStyle name="Normal 2 2 19" xfId="189"/>
    <cellStyle name="Normal 2 2 19 2" xfId="190"/>
    <cellStyle name="Normal 2 2 2" xfId="10"/>
    <cellStyle name="Normal 2 2 2 10" xfId="191"/>
    <cellStyle name="Normal 2 2 2 10 2" xfId="192"/>
    <cellStyle name="Normal 2 2 2 11" xfId="193"/>
    <cellStyle name="Normal 2 2 2 11 2" xfId="194"/>
    <cellStyle name="Normal 2 2 2 12" xfId="195"/>
    <cellStyle name="Normal 2 2 2 12 2" xfId="196"/>
    <cellStyle name="Normal 2 2 2 13" xfId="197"/>
    <cellStyle name="Normal 2 2 2 13 2" xfId="198"/>
    <cellStyle name="Normal 2 2 2 14" xfId="199"/>
    <cellStyle name="Normal 2 2 2 14 2" xfId="200"/>
    <cellStyle name="Normal 2 2 2 15" xfId="201"/>
    <cellStyle name="Normal 2 2 2 15 2" xfId="202"/>
    <cellStyle name="Normal 2 2 2 16" xfId="203"/>
    <cellStyle name="Normal 2 2 2 16 2" xfId="204"/>
    <cellStyle name="Normal 2 2 2 17" xfId="205"/>
    <cellStyle name="Normal 2 2 2 17 2" xfId="206"/>
    <cellStyle name="Normal 2 2 2 18" xfId="207"/>
    <cellStyle name="Normal 2 2 2 18 2" xfId="208"/>
    <cellStyle name="Normal 2 2 2 19" xfId="209"/>
    <cellStyle name="Normal 2 2 2 19 2" xfId="210"/>
    <cellStyle name="Normal 2 2 2 2" xfId="211"/>
    <cellStyle name="Normal 2 2 2 2 2" xfId="212"/>
    <cellStyle name="Normal 2 2 2 20" xfId="213"/>
    <cellStyle name="Normal 2 2 2 20 2" xfId="214"/>
    <cellStyle name="Normal 2 2 2 21" xfId="215"/>
    <cellStyle name="Normal 2 2 2 21 2" xfId="216"/>
    <cellStyle name="Normal 2 2 2 22" xfId="217"/>
    <cellStyle name="Normal 2 2 2 22 2" xfId="218"/>
    <cellStyle name="Normal 2 2 2 23" xfId="219"/>
    <cellStyle name="Normal 2 2 2 23 2" xfId="220"/>
    <cellStyle name="Normal 2 2 2 24" xfId="221"/>
    <cellStyle name="Normal 2 2 2 24 2" xfId="222"/>
    <cellStyle name="Normal 2 2 2 25" xfId="223"/>
    <cellStyle name="Normal 2 2 2 25 2" xfId="224"/>
    <cellStyle name="Normal 2 2 2 26" xfId="225"/>
    <cellStyle name="Normal 2 2 2 26 2" xfId="226"/>
    <cellStyle name="Normal 2 2 2 27" xfId="227"/>
    <cellStyle name="Normal 2 2 2 27 2" xfId="228"/>
    <cellStyle name="Normal 2 2 2 28" xfId="229"/>
    <cellStyle name="Normal 2 2 2 28 2" xfId="230"/>
    <cellStyle name="Normal 2 2 2 29" xfId="231"/>
    <cellStyle name="Normal 2 2 2 29 2" xfId="232"/>
    <cellStyle name="Normal 2 2 2 3" xfId="233"/>
    <cellStyle name="Normal 2 2 2 3 2" xfId="234"/>
    <cellStyle name="Normal 2 2 2 30" xfId="235"/>
    <cellStyle name="Normal 2 2 2 30 2" xfId="236"/>
    <cellStyle name="Normal 2 2 2 31" xfId="237"/>
    <cellStyle name="Normal 2 2 2 31 2" xfId="238"/>
    <cellStyle name="Normal 2 2 2 32" xfId="239"/>
    <cellStyle name="Normal 2 2 2 32 2" xfId="240"/>
    <cellStyle name="Normal 2 2 2 33" xfId="241"/>
    <cellStyle name="Normal 2 2 2 33 2" xfId="242"/>
    <cellStyle name="Normal 2 2 2 34" xfId="243"/>
    <cellStyle name="Normal 2 2 2 34 2" xfId="244"/>
    <cellStyle name="Normal 2 2 2 35" xfId="245"/>
    <cellStyle name="Normal 2 2 2 35 2" xfId="246"/>
    <cellStyle name="Normal 2 2 2 36" xfId="247"/>
    <cellStyle name="Normal 2 2 2 36 2" xfId="248"/>
    <cellStyle name="Normal 2 2 2 37" xfId="249"/>
    <cellStyle name="Normal 2 2 2 37 2" xfId="250"/>
    <cellStyle name="Normal 2 2 2 38" xfId="251"/>
    <cellStyle name="Normal 2 2 2 38 2" xfId="252"/>
    <cellStyle name="Normal 2 2 2 39" xfId="253"/>
    <cellStyle name="Normal 2 2 2 39 2" xfId="254"/>
    <cellStyle name="Normal 2 2 2 4" xfId="255"/>
    <cellStyle name="Normal 2 2 2 4 2" xfId="256"/>
    <cellStyle name="Normal 2 2 2 40" xfId="257"/>
    <cellStyle name="Normal 2 2 2 40 2" xfId="258"/>
    <cellStyle name="Normal 2 2 2 41" xfId="259"/>
    <cellStyle name="Normal 2 2 2 41 2" xfId="260"/>
    <cellStyle name="Normal 2 2 2 42" xfId="261"/>
    <cellStyle name="Normal 2 2 2 42 2" xfId="262"/>
    <cellStyle name="Normal 2 2 2 43" xfId="263"/>
    <cellStyle name="Normal 2 2 2 43 2" xfId="264"/>
    <cellStyle name="Normal 2 2 2 44" xfId="265"/>
    <cellStyle name="Normal 2 2 2 44 2" xfId="266"/>
    <cellStyle name="Normal 2 2 2 45" xfId="267"/>
    <cellStyle name="Normal 2 2 2 45 2" xfId="268"/>
    <cellStyle name="Normal 2 2 2 46" xfId="269"/>
    <cellStyle name="Normal 2 2 2 5" xfId="270"/>
    <cellStyle name="Normal 2 2 2 5 2" xfId="271"/>
    <cellStyle name="Normal 2 2 2 6" xfId="272"/>
    <cellStyle name="Normal 2 2 2 6 2" xfId="273"/>
    <cellStyle name="Normal 2 2 2 7" xfId="274"/>
    <cellStyle name="Normal 2 2 2 7 2" xfId="275"/>
    <cellStyle name="Normal 2 2 2 8" xfId="276"/>
    <cellStyle name="Normal 2 2 2 8 2" xfId="277"/>
    <cellStyle name="Normal 2 2 2 9" xfId="278"/>
    <cellStyle name="Normal 2 2 2 9 2" xfId="279"/>
    <cellStyle name="Normal 2 2 20" xfId="280"/>
    <cellStyle name="Normal 2 2 20 2" xfId="281"/>
    <cellStyle name="Normal 2 2 21" xfId="282"/>
    <cellStyle name="Normal 2 2 21 2" xfId="283"/>
    <cellStyle name="Normal 2 2 22" xfId="284"/>
    <cellStyle name="Normal 2 2 22 2" xfId="285"/>
    <cellStyle name="Normal 2 2 23" xfId="286"/>
    <cellStyle name="Normal 2 2 23 2" xfId="287"/>
    <cellStyle name="Normal 2 2 24" xfId="288"/>
    <cellStyle name="Normal 2 2 24 2" xfId="289"/>
    <cellStyle name="Normal 2 2 25" xfId="290"/>
    <cellStyle name="Normal 2 2 25 2" xfId="291"/>
    <cellStyle name="Normal 2 2 26" xfId="292"/>
    <cellStyle name="Normal 2 2 26 2" xfId="293"/>
    <cellStyle name="Normal 2 2 27" xfId="294"/>
    <cellStyle name="Normal 2 2 27 2" xfId="295"/>
    <cellStyle name="Normal 2 2 28" xfId="296"/>
    <cellStyle name="Normal 2 2 28 2" xfId="297"/>
    <cellStyle name="Normal 2 2 29" xfId="298"/>
    <cellStyle name="Normal 2 2 29 2" xfId="299"/>
    <cellStyle name="Normal 2 2 3" xfId="11"/>
    <cellStyle name="Normal 2 2 3 2" xfId="300"/>
    <cellStyle name="Normal 2 2 30" xfId="301"/>
    <cellStyle name="Normal 2 2 30 2" xfId="302"/>
    <cellStyle name="Normal 2 2 31" xfId="303"/>
    <cellStyle name="Normal 2 2 31 2" xfId="304"/>
    <cellStyle name="Normal 2 2 32" xfId="305"/>
    <cellStyle name="Normal 2 2 32 2" xfId="306"/>
    <cellStyle name="Normal 2 2 33" xfId="307"/>
    <cellStyle name="Normal 2 2 33 2" xfId="308"/>
    <cellStyle name="Normal 2 2 34" xfId="309"/>
    <cellStyle name="Normal 2 2 34 2" xfId="310"/>
    <cellStyle name="Normal 2 2 35" xfId="311"/>
    <cellStyle name="Normal 2 2 35 2" xfId="312"/>
    <cellStyle name="Normal 2 2 36" xfId="313"/>
    <cellStyle name="Normal 2 2 36 2" xfId="314"/>
    <cellStyle name="Normal 2 2 37" xfId="315"/>
    <cellStyle name="Normal 2 2 37 2" xfId="316"/>
    <cellStyle name="Normal 2 2 38" xfId="317"/>
    <cellStyle name="Normal 2 2 38 2" xfId="318"/>
    <cellStyle name="Normal 2 2 39" xfId="319"/>
    <cellStyle name="Normal 2 2 39 2" xfId="320"/>
    <cellStyle name="Normal 2 2 4" xfId="321"/>
    <cellStyle name="Normal 2 2 4 2" xfId="322"/>
    <cellStyle name="Normal 2 2 40" xfId="323"/>
    <cellStyle name="Normal 2 2 40 2" xfId="324"/>
    <cellStyle name="Normal 2 2 41" xfId="325"/>
    <cellStyle name="Normal 2 2 41 2" xfId="326"/>
    <cellStyle name="Normal 2 2 42" xfId="327"/>
    <cellStyle name="Normal 2 2 42 2" xfId="328"/>
    <cellStyle name="Normal 2 2 43" xfId="329"/>
    <cellStyle name="Normal 2 2 43 2" xfId="330"/>
    <cellStyle name="Normal 2 2 44" xfId="331"/>
    <cellStyle name="Normal 2 2 44 2" xfId="332"/>
    <cellStyle name="Normal 2 2 45" xfId="333"/>
    <cellStyle name="Normal 2 2 45 2" xfId="334"/>
    <cellStyle name="Normal 2 2 46" xfId="335"/>
    <cellStyle name="Normal 2 2 46 2" xfId="336"/>
    <cellStyle name="Normal 2 2 47" xfId="337"/>
    <cellStyle name="Normal 2 2 47 2" xfId="338"/>
    <cellStyle name="Normal 2 2 48" xfId="339"/>
    <cellStyle name="Normal 2 2 48 2" xfId="340"/>
    <cellStyle name="Normal 2 2 49" xfId="341"/>
    <cellStyle name="Normal 2 2 49 2" xfId="342"/>
    <cellStyle name="Normal 2 2 5" xfId="343"/>
    <cellStyle name="Normal 2 2 5 2" xfId="344"/>
    <cellStyle name="Normal 2 2 50" xfId="345"/>
    <cellStyle name="Normal 2 2 50 2" xfId="346"/>
    <cellStyle name="Normal 2 2 51" xfId="347"/>
    <cellStyle name="Normal 2 2 51 2" xfId="348"/>
    <cellStyle name="Normal 2 2 52" xfId="349"/>
    <cellStyle name="Normal 2 2 52 2" xfId="350"/>
    <cellStyle name="Normal 2 2 53" xfId="351"/>
    <cellStyle name="Normal 2 2 53 2" xfId="352"/>
    <cellStyle name="Normal 2 2 54" xfId="353"/>
    <cellStyle name="Normal 2 2 54 2" xfId="354"/>
    <cellStyle name="Normal 2 2 55" xfId="355"/>
    <cellStyle name="Normal 2 2 55 2" xfId="356"/>
    <cellStyle name="Normal 2 2 56" xfId="357"/>
    <cellStyle name="Normal 2 2 6" xfId="358"/>
    <cellStyle name="Normal 2 2 6 2" xfId="359"/>
    <cellStyle name="Normal 2 2 7" xfId="360"/>
    <cellStyle name="Normal 2 2 7 2" xfId="361"/>
    <cellStyle name="Normal 2 2 8" xfId="362"/>
    <cellStyle name="Normal 2 2 8 2" xfId="363"/>
    <cellStyle name="Normal 2 2 9" xfId="364"/>
    <cellStyle name="Normal 2 2 9 2" xfId="365"/>
    <cellStyle name="Normal 2 20" xfId="366"/>
    <cellStyle name="Normal 2 20 2" xfId="367"/>
    <cellStyle name="Normal 2 21" xfId="368"/>
    <cellStyle name="Normal 2 21 2" xfId="369"/>
    <cellStyle name="Normal 2 22" xfId="370"/>
    <cellStyle name="Normal 2 22 2" xfId="371"/>
    <cellStyle name="Normal 2 23" xfId="372"/>
    <cellStyle name="Normal 2 23 2" xfId="373"/>
    <cellStyle name="Normal 2 24" xfId="374"/>
    <cellStyle name="Normal 2 24 2" xfId="375"/>
    <cellStyle name="Normal 2 25" xfId="376"/>
    <cellStyle name="Normal 2 25 2" xfId="377"/>
    <cellStyle name="Normal 2 26" xfId="378"/>
    <cellStyle name="Normal 2 26 2" xfId="379"/>
    <cellStyle name="Normal 2 27" xfId="380"/>
    <cellStyle name="Normal 2 27 2" xfId="381"/>
    <cellStyle name="Normal 2 28" xfId="382"/>
    <cellStyle name="Normal 2 28 2" xfId="383"/>
    <cellStyle name="Normal 2 29" xfId="384"/>
    <cellStyle name="Normal 2 29 2" xfId="385"/>
    <cellStyle name="Normal 2 3" xfId="12"/>
    <cellStyle name="Normal 2 3 2" xfId="13"/>
    <cellStyle name="Normal 2 3 28" xfId="386"/>
    <cellStyle name="Normal 2 30" xfId="387"/>
    <cellStyle name="Normal 2 30 2" xfId="388"/>
    <cellStyle name="Normal 2 31" xfId="389"/>
    <cellStyle name="Normal 2 31 2" xfId="390"/>
    <cellStyle name="Normal 2 32" xfId="391"/>
    <cellStyle name="Normal 2 32 2" xfId="392"/>
    <cellStyle name="Normal 2 33" xfId="393"/>
    <cellStyle name="Normal 2 33 2" xfId="394"/>
    <cellStyle name="Normal 2 34" xfId="395"/>
    <cellStyle name="Normal 2 34 2" xfId="396"/>
    <cellStyle name="Normal 2 35" xfId="397"/>
    <cellStyle name="Normal 2 35 2" xfId="398"/>
    <cellStyle name="Normal 2 36" xfId="399"/>
    <cellStyle name="Normal 2 36 2" xfId="400"/>
    <cellStyle name="Normal 2 37" xfId="401"/>
    <cellStyle name="Normal 2 38" xfId="402"/>
    <cellStyle name="Normal 2 4" xfId="14"/>
    <cellStyle name="Normal 2 4 2" xfId="403"/>
    <cellStyle name="Normal 2 5" xfId="404"/>
    <cellStyle name="Normal 2 5 2" xfId="405"/>
    <cellStyle name="Normal 2 6" xfId="406"/>
    <cellStyle name="Normal 2 6 2" xfId="407"/>
    <cellStyle name="Normal 2 7" xfId="408"/>
    <cellStyle name="Normal 2 7 2" xfId="409"/>
    <cellStyle name="Normal 2 8" xfId="410"/>
    <cellStyle name="Normal 2 8 2" xfId="411"/>
    <cellStyle name="Normal 2 9" xfId="412"/>
    <cellStyle name="Normal 2 9 2" xfId="413"/>
    <cellStyle name="Normal 3" xfId="15"/>
    <cellStyle name="Normal 3 2" xfId="16"/>
    <cellStyle name="Normal 3 2 2" xfId="414"/>
    <cellStyle name="Normal 3 3" xfId="17"/>
    <cellStyle name="Normal 3 3 2" xfId="415"/>
    <cellStyle name="Normal 4" xfId="18"/>
    <cellStyle name="Normal 4 10" xfId="416"/>
    <cellStyle name="Normal 4 10 2" xfId="417"/>
    <cellStyle name="Normal 4 11" xfId="418"/>
    <cellStyle name="Normal 4 11 2" xfId="419"/>
    <cellStyle name="Normal 4 12" xfId="420"/>
    <cellStyle name="Normal 4 12 2" xfId="421"/>
    <cellStyle name="Normal 4 13" xfId="422"/>
    <cellStyle name="Normal 4 13 2" xfId="423"/>
    <cellStyle name="Normal 4 14" xfId="424"/>
    <cellStyle name="Normal 4 14 2" xfId="425"/>
    <cellStyle name="Normal 4 15" xfId="426"/>
    <cellStyle name="Normal 4 15 2" xfId="427"/>
    <cellStyle name="Normal 4 16" xfId="428"/>
    <cellStyle name="Normal 4 16 2" xfId="429"/>
    <cellStyle name="Normal 4 17" xfId="430"/>
    <cellStyle name="Normal 4 17 2" xfId="431"/>
    <cellStyle name="Normal 4 18" xfId="432"/>
    <cellStyle name="Normal 4 18 2" xfId="433"/>
    <cellStyle name="Normal 4 19" xfId="434"/>
    <cellStyle name="Normal 4 19 2" xfId="435"/>
    <cellStyle name="Normal 4 2" xfId="436"/>
    <cellStyle name="Normal 4 2 2" xfId="437"/>
    <cellStyle name="Normal 4 20" xfId="438"/>
    <cellStyle name="Normal 4 20 2" xfId="439"/>
    <cellStyle name="Normal 4 21" xfId="440"/>
    <cellStyle name="Normal 4 21 2" xfId="441"/>
    <cellStyle name="Normal 4 22" xfId="442"/>
    <cellStyle name="Normal 4 22 2" xfId="443"/>
    <cellStyle name="Normal 4 23" xfId="444"/>
    <cellStyle name="Normal 4 23 2" xfId="445"/>
    <cellStyle name="Normal 4 24" xfId="446"/>
    <cellStyle name="Normal 4 24 2" xfId="447"/>
    <cellStyle name="Normal 4 25" xfId="448"/>
    <cellStyle name="Normal 4 25 2" xfId="449"/>
    <cellStyle name="Normal 4 26" xfId="450"/>
    <cellStyle name="Normal 4 26 2" xfId="451"/>
    <cellStyle name="Normal 4 27" xfId="452"/>
    <cellStyle name="Normal 4 27 2" xfId="453"/>
    <cellStyle name="Normal 4 28" xfId="454"/>
    <cellStyle name="Normal 4 28 2" xfId="455"/>
    <cellStyle name="Normal 4 29" xfId="456"/>
    <cellStyle name="Normal 4 29 2" xfId="457"/>
    <cellStyle name="Normal 4 3" xfId="458"/>
    <cellStyle name="Normal 4 3 2" xfId="459"/>
    <cellStyle name="Normal 4 30" xfId="460"/>
    <cellStyle name="Normal 4 30 2" xfId="461"/>
    <cellStyle name="Normal 4 31" xfId="462"/>
    <cellStyle name="Normal 4 31 2" xfId="463"/>
    <cellStyle name="Normal 4 32" xfId="464"/>
    <cellStyle name="Normal 4 32 2" xfId="465"/>
    <cellStyle name="Normal 4 33" xfId="466"/>
    <cellStyle name="Normal 4 33 2" xfId="467"/>
    <cellStyle name="Normal 4 34" xfId="468"/>
    <cellStyle name="Normal 4 34 2" xfId="469"/>
    <cellStyle name="Normal 4 35" xfId="470"/>
    <cellStyle name="Normal 4 35 2" xfId="471"/>
    <cellStyle name="Normal 4 36" xfId="472"/>
    <cellStyle name="Normal 4 36 2" xfId="473"/>
    <cellStyle name="Normal 4 37" xfId="474"/>
    <cellStyle name="Normal 4 37 2" xfId="475"/>
    <cellStyle name="Normal 4 38" xfId="476"/>
    <cellStyle name="Normal 4 38 2" xfId="477"/>
    <cellStyle name="Normal 4 39" xfId="478"/>
    <cellStyle name="Normal 4 39 2" xfId="479"/>
    <cellStyle name="Normal 4 4" xfId="480"/>
    <cellStyle name="Normal 4 4 2" xfId="481"/>
    <cellStyle name="Normal 4 40" xfId="482"/>
    <cellStyle name="Normal 4 40 2" xfId="483"/>
    <cellStyle name="Normal 4 41" xfId="484"/>
    <cellStyle name="Normal 4 41 2" xfId="485"/>
    <cellStyle name="Normal 4 42" xfId="486"/>
    <cellStyle name="Normal 4 42 2" xfId="487"/>
    <cellStyle name="Normal 4 43" xfId="488"/>
    <cellStyle name="Normal 4 43 2" xfId="489"/>
    <cellStyle name="Normal 4 44" xfId="490"/>
    <cellStyle name="Normal 4 44 2" xfId="491"/>
    <cellStyle name="Normal 4 45" xfId="492"/>
    <cellStyle name="Normal 4 45 2" xfId="493"/>
    <cellStyle name="Normal 4 46" xfId="494"/>
    <cellStyle name="Normal 4 5" xfId="495"/>
    <cellStyle name="Normal 4 5 2" xfId="496"/>
    <cellStyle name="Normal 4 6" xfId="497"/>
    <cellStyle name="Normal 4 6 2" xfId="498"/>
    <cellStyle name="Normal 4 7" xfId="499"/>
    <cellStyle name="Normal 4 7 2" xfId="500"/>
    <cellStyle name="Normal 4 8" xfId="501"/>
    <cellStyle name="Normal 4 8 2" xfId="502"/>
    <cellStyle name="Normal 4 9" xfId="503"/>
    <cellStyle name="Normal 4 9 2" xfId="504"/>
    <cellStyle name="Normal 45" xfId="505"/>
    <cellStyle name="Normal 45 2" xfId="506"/>
    <cellStyle name="Normal 5" xfId="19"/>
    <cellStyle name="Normal 5 10" xfId="507"/>
    <cellStyle name="Normal 5 10 2" xfId="508"/>
    <cellStyle name="Normal 5 11" xfId="509"/>
    <cellStyle name="Normal 5 11 2" xfId="510"/>
    <cellStyle name="Normal 5 12" xfId="511"/>
    <cellStyle name="Normal 5 12 2" xfId="512"/>
    <cellStyle name="Normal 5 13" xfId="513"/>
    <cellStyle name="Normal 5 13 2" xfId="514"/>
    <cellStyle name="Normal 5 14" xfId="515"/>
    <cellStyle name="Normal 5 14 2" xfId="516"/>
    <cellStyle name="Normal 5 15" xfId="517"/>
    <cellStyle name="Normal 5 15 2" xfId="518"/>
    <cellStyle name="Normal 5 16" xfId="519"/>
    <cellStyle name="Normal 5 16 2" xfId="520"/>
    <cellStyle name="Normal 5 17" xfId="521"/>
    <cellStyle name="Normal 5 17 2" xfId="522"/>
    <cellStyle name="Normal 5 18" xfId="523"/>
    <cellStyle name="Normal 5 18 2" xfId="524"/>
    <cellStyle name="Normal 5 19" xfId="525"/>
    <cellStyle name="Normal 5 19 2" xfId="526"/>
    <cellStyle name="Normal 5 2" xfId="20"/>
    <cellStyle name="Normal 5 2 2" xfId="527"/>
    <cellStyle name="Normal 5 20" xfId="528"/>
    <cellStyle name="Normal 5 20 2" xfId="529"/>
    <cellStyle name="Normal 5 21" xfId="530"/>
    <cellStyle name="Normal 5 21 2" xfId="531"/>
    <cellStyle name="Normal 5 22" xfId="532"/>
    <cellStyle name="Normal 5 22 2" xfId="533"/>
    <cellStyle name="Normal 5 23" xfId="534"/>
    <cellStyle name="Normal 5 23 2" xfId="535"/>
    <cellStyle name="Normal 5 24" xfId="536"/>
    <cellStyle name="Normal 5 24 2" xfId="537"/>
    <cellStyle name="Normal 5 25" xfId="538"/>
    <cellStyle name="Normal 5 25 2" xfId="539"/>
    <cellStyle name="Normal 5 26" xfId="540"/>
    <cellStyle name="Normal 5 26 2" xfId="541"/>
    <cellStyle name="Normal 5 27" xfId="542"/>
    <cellStyle name="Normal 5 27 2" xfId="543"/>
    <cellStyle name="Normal 5 28" xfId="544"/>
    <cellStyle name="Normal 5 28 2" xfId="545"/>
    <cellStyle name="Normal 5 29" xfId="546"/>
    <cellStyle name="Normal 5 29 2" xfId="547"/>
    <cellStyle name="Normal 5 3" xfId="21"/>
    <cellStyle name="Normal 5 3 2" xfId="22"/>
    <cellStyle name="Normal 5 3 3" xfId="23"/>
    <cellStyle name="Normal 5 30" xfId="548"/>
    <cellStyle name="Normal 5 30 2" xfId="549"/>
    <cellStyle name="Normal 5 31" xfId="550"/>
    <cellStyle name="Normal 5 31 2" xfId="551"/>
    <cellStyle name="Normal 5 32" xfId="552"/>
    <cellStyle name="Normal 5 32 2" xfId="553"/>
    <cellStyle name="Normal 5 33" xfId="554"/>
    <cellStyle name="Normal 5 33 2" xfId="555"/>
    <cellStyle name="Normal 5 34" xfId="556"/>
    <cellStyle name="Normal 5 34 2" xfId="557"/>
    <cellStyle name="Normal 5 35" xfId="558"/>
    <cellStyle name="Normal 5 35 2" xfId="559"/>
    <cellStyle name="Normal 5 36" xfId="560"/>
    <cellStyle name="Normal 5 36 2" xfId="561"/>
    <cellStyle name="Normal 5 37" xfId="562"/>
    <cellStyle name="Normal 5 37 2" xfId="563"/>
    <cellStyle name="Normal 5 38" xfId="564"/>
    <cellStyle name="Normal 5 38 2" xfId="565"/>
    <cellStyle name="Normal 5 39" xfId="566"/>
    <cellStyle name="Normal 5 39 2" xfId="567"/>
    <cellStyle name="Normal 5 4" xfId="24"/>
    <cellStyle name="Normal 5 4 2" xfId="568"/>
    <cellStyle name="Normal 5 40" xfId="569"/>
    <cellStyle name="Normal 5 40 2" xfId="570"/>
    <cellStyle name="Normal 5 41" xfId="571"/>
    <cellStyle name="Normal 5 41 2" xfId="572"/>
    <cellStyle name="Normal 5 42" xfId="573"/>
    <cellStyle name="Normal 5 42 2" xfId="574"/>
    <cellStyle name="Normal 5 43" xfId="575"/>
    <cellStyle name="Normal 5 43 2" xfId="576"/>
    <cellStyle name="Normal 5 44" xfId="577"/>
    <cellStyle name="Normal 5 44 2" xfId="578"/>
    <cellStyle name="Normal 5 45" xfId="579"/>
    <cellStyle name="Normal 5 45 2" xfId="580"/>
    <cellStyle name="Normal 5 46" xfId="581"/>
    <cellStyle name="Normal 5 5" xfId="582"/>
    <cellStyle name="Normal 5 5 2" xfId="583"/>
    <cellStyle name="Normal 5 6" xfId="584"/>
    <cellStyle name="Normal 5 6 2" xfId="585"/>
    <cellStyle name="Normal 5 7" xfId="586"/>
    <cellStyle name="Normal 5 7 2" xfId="587"/>
    <cellStyle name="Normal 5 8" xfId="588"/>
    <cellStyle name="Normal 5 8 2" xfId="589"/>
    <cellStyle name="Normal 5 9" xfId="590"/>
    <cellStyle name="Normal 5 9 2" xfId="591"/>
    <cellStyle name="Normal 6" xfId="25"/>
    <cellStyle name="Normal 6 2" xfId="26"/>
    <cellStyle name="Normal 7" xfId="27"/>
    <cellStyle name="Normal 7 10" xfId="592"/>
    <cellStyle name="Normal 7 10 2" xfId="593"/>
    <cellStyle name="Normal 7 11" xfId="594"/>
    <cellStyle name="Normal 7 11 2" xfId="595"/>
    <cellStyle name="Normal 7 12" xfId="596"/>
    <cellStyle name="Normal 7 12 2" xfId="597"/>
    <cellStyle name="Normal 7 13" xfId="598"/>
    <cellStyle name="Normal 7 13 2" xfId="599"/>
    <cellStyle name="Normal 7 14" xfId="600"/>
    <cellStyle name="Normal 7 14 2" xfId="601"/>
    <cellStyle name="Normal 7 15" xfId="602"/>
    <cellStyle name="Normal 7 15 2" xfId="603"/>
    <cellStyle name="Normal 7 16" xfId="604"/>
    <cellStyle name="Normal 7 16 2" xfId="605"/>
    <cellStyle name="Normal 7 17" xfId="606"/>
    <cellStyle name="Normal 7 17 2" xfId="607"/>
    <cellStyle name="Normal 7 18" xfId="608"/>
    <cellStyle name="Normal 7 18 2" xfId="609"/>
    <cellStyle name="Normal 7 19" xfId="610"/>
    <cellStyle name="Normal 7 19 2" xfId="611"/>
    <cellStyle name="Normal 7 2" xfId="612"/>
    <cellStyle name="Normal 7 2 2" xfId="613"/>
    <cellStyle name="Normal 7 20" xfId="614"/>
    <cellStyle name="Normal 7 20 2" xfId="615"/>
    <cellStyle name="Normal 7 21" xfId="616"/>
    <cellStyle name="Normal 7 21 2" xfId="617"/>
    <cellStyle name="Normal 7 22" xfId="618"/>
    <cellStyle name="Normal 7 22 2" xfId="619"/>
    <cellStyle name="Normal 7 23" xfId="620"/>
    <cellStyle name="Normal 7 23 2" xfId="621"/>
    <cellStyle name="Normal 7 24" xfId="622"/>
    <cellStyle name="Normal 7 24 2" xfId="623"/>
    <cellStyle name="Normal 7 25" xfId="624"/>
    <cellStyle name="Normal 7 25 2" xfId="625"/>
    <cellStyle name="Normal 7 26" xfId="626"/>
    <cellStyle name="Normal 7 26 2" xfId="627"/>
    <cellStyle name="Normal 7 27" xfId="628"/>
    <cellStyle name="Normal 7 27 2" xfId="629"/>
    <cellStyle name="Normal 7 28" xfId="630"/>
    <cellStyle name="Normal 7 28 2" xfId="631"/>
    <cellStyle name="Normal 7 29" xfId="632"/>
    <cellStyle name="Normal 7 29 2" xfId="633"/>
    <cellStyle name="Normal 7 3" xfId="634"/>
    <cellStyle name="Normal 7 3 2" xfId="635"/>
    <cellStyle name="Normal 7 30" xfId="636"/>
    <cellStyle name="Normal 7 30 2" xfId="637"/>
    <cellStyle name="Normal 7 31" xfId="638"/>
    <cellStyle name="Normal 7 31 2" xfId="639"/>
    <cellStyle name="Normal 7 32" xfId="640"/>
    <cellStyle name="Normal 7 32 2" xfId="641"/>
    <cellStyle name="Normal 7 33" xfId="642"/>
    <cellStyle name="Normal 7 33 2" xfId="643"/>
    <cellStyle name="Normal 7 34" xfId="644"/>
    <cellStyle name="Normal 7 34 2" xfId="645"/>
    <cellStyle name="Normal 7 35" xfId="646"/>
    <cellStyle name="Normal 7 35 2" xfId="647"/>
    <cellStyle name="Normal 7 36" xfId="648"/>
    <cellStyle name="Normal 7 36 2" xfId="649"/>
    <cellStyle name="Normal 7 37" xfId="650"/>
    <cellStyle name="Normal 7 37 2" xfId="651"/>
    <cellStyle name="Normal 7 38" xfId="652"/>
    <cellStyle name="Normal 7 38 2" xfId="653"/>
    <cellStyle name="Normal 7 39" xfId="654"/>
    <cellStyle name="Normal 7 39 2" xfId="655"/>
    <cellStyle name="Normal 7 4" xfId="656"/>
    <cellStyle name="Normal 7 4 2" xfId="657"/>
    <cellStyle name="Normal 7 40" xfId="658"/>
    <cellStyle name="Normal 7 40 2" xfId="659"/>
    <cellStyle name="Normal 7 41" xfId="660"/>
    <cellStyle name="Normal 7 41 2" xfId="661"/>
    <cellStyle name="Normal 7 42" xfId="662"/>
    <cellStyle name="Normal 7 42 2" xfId="663"/>
    <cellStyle name="Normal 7 43" xfId="664"/>
    <cellStyle name="Normal 7 43 2" xfId="665"/>
    <cellStyle name="Normal 7 44" xfId="666"/>
    <cellStyle name="Normal 7 44 2" xfId="667"/>
    <cellStyle name="Normal 7 45" xfId="668"/>
    <cellStyle name="Normal 7 45 2" xfId="669"/>
    <cellStyle name="Normal 7 46" xfId="670"/>
    <cellStyle name="Normal 7 5" xfId="671"/>
    <cellStyle name="Normal 7 5 2" xfId="672"/>
    <cellStyle name="Normal 7 6" xfId="673"/>
    <cellStyle name="Normal 7 6 2" xfId="674"/>
    <cellStyle name="Normal 7 7" xfId="675"/>
    <cellStyle name="Normal 7 7 2" xfId="676"/>
    <cellStyle name="Normal 7 8" xfId="677"/>
    <cellStyle name="Normal 7 8 2" xfId="678"/>
    <cellStyle name="Normal 7 9" xfId="679"/>
    <cellStyle name="Normal 7 9 2" xfId="680"/>
    <cellStyle name="Normal 8" xfId="28"/>
    <cellStyle name="Normal 8 10" xfId="681"/>
    <cellStyle name="Normal 8 10 2" xfId="682"/>
    <cellStyle name="Normal 8 11" xfId="683"/>
    <cellStyle name="Normal 8 11 2" xfId="684"/>
    <cellStyle name="Normal 8 12" xfId="685"/>
    <cellStyle name="Normal 8 12 2" xfId="686"/>
    <cellStyle name="Normal 8 13" xfId="687"/>
    <cellStyle name="Normal 8 13 2" xfId="688"/>
    <cellStyle name="Normal 8 14" xfId="689"/>
    <cellStyle name="Normal 8 14 2" xfId="690"/>
    <cellStyle name="Normal 8 15" xfId="691"/>
    <cellStyle name="Normal 8 15 2" xfId="692"/>
    <cellStyle name="Normal 8 16" xfId="693"/>
    <cellStyle name="Normal 8 16 2" xfId="694"/>
    <cellStyle name="Normal 8 17" xfId="695"/>
    <cellStyle name="Normal 8 17 2" xfId="696"/>
    <cellStyle name="Normal 8 18" xfId="697"/>
    <cellStyle name="Normal 8 18 2" xfId="698"/>
    <cellStyle name="Normal 8 19" xfId="699"/>
    <cellStyle name="Normal 8 19 2" xfId="700"/>
    <cellStyle name="Normal 8 2" xfId="29"/>
    <cellStyle name="Normal 8 2 2" xfId="701"/>
    <cellStyle name="Normal 8 20" xfId="702"/>
    <cellStyle name="Normal 8 20 2" xfId="703"/>
    <cellStyle name="Normal 8 21" xfId="704"/>
    <cellStyle name="Normal 8 21 2" xfId="705"/>
    <cellStyle name="Normal 8 22" xfId="706"/>
    <cellStyle name="Normal 8 22 2" xfId="707"/>
    <cellStyle name="Normal 8 23" xfId="708"/>
    <cellStyle name="Normal 8 23 2" xfId="709"/>
    <cellStyle name="Normal 8 24" xfId="710"/>
    <cellStyle name="Normal 8 24 2" xfId="711"/>
    <cellStyle name="Normal 8 25" xfId="712"/>
    <cellStyle name="Normal 8 25 2" xfId="713"/>
    <cellStyle name="Normal 8 26" xfId="714"/>
    <cellStyle name="Normal 8 26 2" xfId="715"/>
    <cellStyle name="Normal 8 27" xfId="716"/>
    <cellStyle name="Normal 8 27 2" xfId="717"/>
    <cellStyle name="Normal 8 28" xfId="718"/>
    <cellStyle name="Normal 8 28 2" xfId="719"/>
    <cellStyle name="Normal 8 29" xfId="720"/>
    <cellStyle name="Normal 8 29 2" xfId="721"/>
    <cellStyle name="Normal 8 3" xfId="30"/>
    <cellStyle name="Normal 8 3 2" xfId="722"/>
    <cellStyle name="Normal 8 30" xfId="723"/>
    <cellStyle name="Normal 8 30 2" xfId="724"/>
    <cellStyle name="Normal 8 31" xfId="725"/>
    <cellStyle name="Normal 8 31 2" xfId="726"/>
    <cellStyle name="Normal 8 32" xfId="727"/>
    <cellStyle name="Normal 8 32 2" xfId="728"/>
    <cellStyle name="Normal 8 33" xfId="729"/>
    <cellStyle name="Normal 8 33 2" xfId="730"/>
    <cellStyle name="Normal 8 34" xfId="731"/>
    <cellStyle name="Normal 8 34 2" xfId="732"/>
    <cellStyle name="Normal 8 35" xfId="733"/>
    <cellStyle name="Normal 8 35 2" xfId="734"/>
    <cellStyle name="Normal 8 36" xfId="735"/>
    <cellStyle name="Normal 8 36 2" xfId="736"/>
    <cellStyle name="Normal 8 37" xfId="737"/>
    <cellStyle name="Normal 8 37 2" xfId="738"/>
    <cellStyle name="Normal 8 38" xfId="739"/>
    <cellStyle name="Normal 8 38 2" xfId="740"/>
    <cellStyle name="Normal 8 39" xfId="741"/>
    <cellStyle name="Normal 8 39 2" xfId="742"/>
    <cellStyle name="Normal 8 4" xfId="743"/>
    <cellStyle name="Normal 8 4 2" xfId="744"/>
    <cellStyle name="Normal 8 40" xfId="745"/>
    <cellStyle name="Normal 8 40 2" xfId="746"/>
    <cellStyle name="Normal 8 41" xfId="747"/>
    <cellStyle name="Normal 8 41 2" xfId="748"/>
    <cellStyle name="Normal 8 42" xfId="749"/>
    <cellStyle name="Normal 8 42 2" xfId="750"/>
    <cellStyle name="Normal 8 43" xfId="751"/>
    <cellStyle name="Normal 8 43 2" xfId="752"/>
    <cellStyle name="Normal 8 44" xfId="753"/>
    <cellStyle name="Normal 8 44 2" xfId="754"/>
    <cellStyle name="Normal 8 45" xfId="755"/>
    <cellStyle name="Normal 8 45 2" xfId="756"/>
    <cellStyle name="Normal 8 46" xfId="757"/>
    <cellStyle name="Normal 8 47 10" xfId="758"/>
    <cellStyle name="Normal 8 5" xfId="759"/>
    <cellStyle name="Normal 8 5 2" xfId="760"/>
    <cellStyle name="Normal 8 6" xfId="761"/>
    <cellStyle name="Normal 8 6 2" xfId="762"/>
    <cellStyle name="Normal 8 7" xfId="763"/>
    <cellStyle name="Normal 8 7 2" xfId="764"/>
    <cellStyle name="Normal 8 8" xfId="765"/>
    <cellStyle name="Normal 8 8 2" xfId="766"/>
    <cellStyle name="Normal 8 9" xfId="767"/>
    <cellStyle name="Normal 8 9 2" xfId="768"/>
    <cellStyle name="Normal 9" xfId="31"/>
    <cellStyle name="Normal 9 2" xfId="769"/>
    <cellStyle name="Percent" xfId="773" builtinId="5"/>
    <cellStyle name="Percent 2" xfId="32"/>
    <cellStyle name="Percent 2 2" xfId="33"/>
    <cellStyle name="Percent 2 3" xfId="34"/>
    <cellStyle name="Percent 3" xfId="35"/>
    <cellStyle name="Percent 3 2" xfId="36"/>
    <cellStyle name="Percent 4" xfId="37"/>
    <cellStyle name="Style 1" xfId="770"/>
  </cellStyles>
  <dxfs count="2769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660066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339966"/>
      </font>
    </dxf>
    <dxf>
      <font>
        <b/>
        <i val="0"/>
        <color rgb="FF990033"/>
      </font>
    </dxf>
    <dxf>
      <font>
        <b/>
        <i val="0"/>
        <color rgb="FF003366"/>
      </font>
    </dxf>
    <dxf>
      <font>
        <b/>
        <i val="0"/>
        <color rgb="FF990000"/>
      </font>
    </dxf>
    <dxf>
      <font>
        <b/>
        <i val="0"/>
        <color rgb="FF006600"/>
      </font>
    </dxf>
    <dxf>
      <font>
        <b/>
        <i val="0"/>
        <color rgb="FF006600"/>
      </font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660066"/>
      </font>
    </dxf>
    <dxf>
      <font>
        <b/>
        <i val="0"/>
        <color rgb="FFC00000"/>
      </font>
    </dxf>
    <dxf>
      <font>
        <b/>
        <i val="0"/>
        <color rgb="FF660066"/>
      </font>
    </dxf>
    <dxf>
      <font>
        <b/>
        <i val="0"/>
        <color rgb="FFC00000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660066"/>
      </font>
    </dxf>
    <dxf>
      <font>
        <b/>
        <i val="0"/>
        <color rgb="FFC00000"/>
      </font>
    </dxf>
    <dxf>
      <font>
        <b/>
        <i val="0"/>
        <color rgb="FF660066"/>
      </font>
    </dxf>
    <dxf>
      <font>
        <b/>
        <i val="0"/>
        <color rgb="FFC00000"/>
      </font>
    </dxf>
    <dxf>
      <font>
        <b/>
        <i val="0"/>
        <color rgb="FF660066"/>
      </font>
    </dxf>
    <dxf>
      <font>
        <b/>
        <i val="0"/>
        <color rgb="FFC00000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5050"/>
      </font>
    </dxf>
    <dxf>
      <font>
        <b/>
        <i val="0"/>
        <color theme="0"/>
      </font>
      <fill>
        <patternFill>
          <bgColor theme="3" tint="0.39994506668294322"/>
        </patternFill>
      </fill>
    </dxf>
    <dxf>
      <font>
        <b/>
        <i val="0"/>
        <color rgb="FFCC0000"/>
      </font>
    </dxf>
    <dxf>
      <font>
        <b/>
        <i val="0"/>
        <color rgb="FF660066"/>
      </font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5050"/>
      </font>
    </dxf>
    <dxf>
      <font>
        <b/>
        <i val="0"/>
        <color theme="0"/>
      </font>
      <fill>
        <patternFill>
          <bgColor theme="3" tint="0.39994506668294322"/>
        </patternFill>
      </fill>
    </dxf>
    <dxf>
      <font>
        <b/>
        <i val="0"/>
        <color rgb="FFCC0000"/>
      </font>
    </dxf>
    <dxf>
      <font>
        <b/>
        <i val="0"/>
        <color rgb="FF660066"/>
      </font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5050"/>
      </font>
    </dxf>
    <dxf>
      <font>
        <b/>
        <i val="0"/>
        <color theme="0"/>
      </font>
      <fill>
        <patternFill>
          <bgColor theme="3" tint="0.39994506668294322"/>
        </patternFill>
      </fill>
    </dxf>
    <dxf>
      <font>
        <b/>
        <i val="0"/>
        <color rgb="FFCC0000"/>
      </font>
    </dxf>
    <dxf>
      <font>
        <b/>
        <i val="0"/>
        <color rgb="FF660066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660066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C00000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CC0000"/>
      </font>
    </dxf>
    <dxf>
      <font>
        <b/>
        <i val="0"/>
        <color rgb="FF660066"/>
      </font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339966"/>
      </font>
    </dxf>
    <dxf>
      <font>
        <b/>
        <i val="0"/>
        <color rgb="FF990033"/>
      </font>
    </dxf>
    <dxf>
      <font>
        <b/>
        <i val="0"/>
        <color rgb="FF003366"/>
      </font>
    </dxf>
    <dxf>
      <font>
        <b/>
        <i val="0"/>
        <color rgb="FF990000"/>
      </font>
    </dxf>
    <dxf>
      <font>
        <b/>
        <i val="0"/>
        <color rgb="FF006600"/>
      </font>
    </dxf>
    <dxf>
      <font>
        <b/>
        <i val="0"/>
        <color rgb="FF00660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rgb="FFFF0000"/>
      </font>
    </dxf>
    <dxf>
      <font>
        <b/>
        <i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0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rgb="FFFF0000"/>
      </font>
    </dxf>
    <dxf>
      <font>
        <b/>
        <i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0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rgb="FFFF0000"/>
      </font>
    </dxf>
    <dxf>
      <font>
        <b/>
        <i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0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 val="0"/>
        <i/>
        <color rgb="FFFF0000"/>
      </font>
      <fill>
        <patternFill>
          <bgColor theme="4" tint="0.79998168889431442"/>
        </patternFill>
      </fill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/>
        <i val="0"/>
        <color theme="6" tint="-0.499984740745262"/>
      </font>
    </dxf>
    <dxf>
      <font>
        <b val="0"/>
        <i/>
        <color rgb="FFFF0000"/>
      </font>
      <fill>
        <patternFill>
          <bgColor theme="4" tint="0.79998168889431442"/>
        </patternFill>
      </fill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/>
        <i val="0"/>
        <color theme="6" tint="-0.499984740745262"/>
      </font>
    </dxf>
    <dxf>
      <font>
        <b val="0"/>
        <i/>
        <color rgb="FFFF0000"/>
      </font>
      <fill>
        <patternFill>
          <bgColor theme="4" tint="0.79998168889431442"/>
        </patternFill>
      </fill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/>
        <i val="0"/>
        <color theme="6" tint="-0.499984740745262"/>
      </font>
    </dxf>
    <dxf>
      <font>
        <b val="0"/>
        <i/>
        <color rgb="FFFF0000"/>
      </font>
      <fill>
        <patternFill>
          <bgColor theme="4" tint="0.79998168889431442"/>
        </patternFill>
      </fill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/>
        <i val="0"/>
        <color theme="6" tint="-0.499984740745262"/>
      </font>
    </dxf>
    <dxf>
      <font>
        <b val="0"/>
        <i/>
        <color rgb="FFFF0000"/>
      </font>
      <fill>
        <patternFill>
          <bgColor theme="4" tint="0.79998168889431442"/>
        </patternFill>
      </fill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 val="0"/>
        <i/>
        <color rgb="FFFF0000"/>
      </font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/>
        <i val="0"/>
        <color theme="6" tint="-0.499984740745262"/>
      </font>
    </dxf>
    <dxf>
      <font>
        <b val="0"/>
        <i/>
        <color rgb="FFFF0000"/>
      </font>
      <fill>
        <patternFill>
          <bgColor theme="4" tint="0.79998168889431442"/>
        </patternFill>
      </fill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/>
        <i val="0"/>
        <color theme="6" tint="-0.499984740745262"/>
      </font>
    </dxf>
    <dxf>
      <font>
        <b val="0"/>
        <i/>
        <color rgb="FFFF0000"/>
      </font>
      <fill>
        <patternFill>
          <bgColor theme="4" tint="0.79998168889431442"/>
        </patternFill>
      </fill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/>
        <color theme="0"/>
      </font>
      <fill>
        <patternFill>
          <bgColor rgb="FFC00000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/>
        <i val="0"/>
        <color theme="6" tint="-0.499984740745262"/>
      </font>
    </dxf>
    <dxf>
      <font>
        <b val="0"/>
        <i/>
        <color rgb="FFFF0000"/>
      </font>
      <fill>
        <patternFill>
          <bgColor theme="4" tint="0.79998168889431442"/>
        </patternFill>
      </fill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/>
        <color theme="0"/>
      </font>
      <fill>
        <patternFill>
          <bgColor rgb="FFC00000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6" tint="-0.499984740745262"/>
      </font>
    </dxf>
    <dxf>
      <font>
        <b val="0"/>
        <i/>
        <color rgb="FFFF0000"/>
      </font>
      <fill>
        <patternFill>
          <bgColor theme="4" tint="0.79998168889431442"/>
        </patternFill>
      </fill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/>
        <color theme="0"/>
      </font>
      <fill>
        <patternFill>
          <bgColor rgb="FFC00000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6" tint="-0.499984740745262"/>
      </font>
    </dxf>
    <dxf>
      <font>
        <b val="0"/>
        <i/>
        <color rgb="FFFF0000"/>
      </font>
      <fill>
        <patternFill>
          <bgColor theme="4" tint="0.79998168889431442"/>
        </patternFill>
      </fill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/>
        <color theme="0"/>
      </font>
      <fill>
        <patternFill>
          <bgColor rgb="FFC00000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 val="0"/>
        <i/>
        <color rgb="FFFF0000"/>
      </font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rgb="FFFF0000"/>
      </font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rgb="FFFF0000"/>
      </font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rgb="FFFF0000"/>
      </font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/>
        <i val="0"/>
        <color theme="6" tint="-0.499984740745262"/>
      </font>
    </dxf>
    <dxf>
      <font>
        <b val="0"/>
        <i/>
        <color rgb="FFFF0000"/>
      </font>
      <fill>
        <patternFill>
          <bgColor theme="4" tint="0.79998168889431442"/>
        </patternFill>
      </fill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/>
        <i val="0"/>
        <color theme="6" tint="-0.499984740745262"/>
      </font>
    </dxf>
    <dxf>
      <font>
        <b val="0"/>
        <i/>
        <color rgb="FFFF0000"/>
      </font>
      <fill>
        <patternFill>
          <bgColor theme="4" tint="0.79998168889431442"/>
        </patternFill>
      </fill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/>
        <i val="0"/>
        <color theme="6" tint="-0.499984740745262"/>
      </font>
    </dxf>
    <dxf>
      <font>
        <b val="0"/>
        <i/>
        <color rgb="FFFF000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/>
        <color theme="0"/>
      </font>
      <fill>
        <patternFill>
          <bgColor rgb="FFC00000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ill>
        <patternFill>
          <bgColor theme="7" tint="0.79998168889431442"/>
        </pattern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 val="0"/>
        <i/>
        <color theme="1"/>
      </font>
      <fill>
        <patternFill>
          <bgColor theme="5" tint="0.39994506668294322"/>
        </patternFill>
      </fill>
    </dxf>
    <dxf>
      <font>
        <b/>
        <i val="0"/>
        <color rgb="FFB0AC00"/>
      </font>
      <fill>
        <patternFill>
          <bgColor theme="0"/>
        </patternFill>
      </fill>
    </dxf>
    <dxf>
      <font>
        <b/>
        <i val="0"/>
        <color theme="9" tint="-0.499984740745262"/>
      </font>
      <fill>
        <patternFill>
          <bgColor theme="0"/>
        </patternFill>
      </fill>
    </dxf>
    <dxf>
      <font>
        <b/>
        <i val="0"/>
        <color theme="5" tint="-0.499984740745262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7" tint="0.59996337778862885"/>
        </patternFill>
      </fill>
    </dxf>
    <dxf>
      <font>
        <b/>
        <i/>
        <color rgb="FF7030A0"/>
      </font>
      <fill>
        <patternFill>
          <bgColor theme="8" tint="0.79998168889431442"/>
        </patternFill>
      </fill>
    </dxf>
    <dxf>
      <font>
        <b/>
        <i val="0"/>
        <color theme="9" tint="-0.499984740745262"/>
      </font>
    </dxf>
    <dxf>
      <font>
        <b val="0"/>
        <i/>
        <color theme="0"/>
      </font>
      <fill>
        <patternFill>
          <bgColor theme="1" tint="4.9989318521683403E-2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 val="0"/>
        <i/>
        <color theme="0"/>
      </font>
      <fill>
        <patternFill>
          <bgColor theme="1" tint="4.9989318521683403E-2"/>
        </pattern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  <dxf>
      <font>
        <b/>
        <i val="0"/>
        <color theme="6" tint="-0.499984740745262"/>
      </font>
    </dxf>
    <dxf>
      <font>
        <b val="0"/>
        <i/>
        <color rgb="FFFF0000"/>
      </font>
      <fill>
        <patternFill>
          <bgColor theme="4" tint="0.79998168889431442"/>
        </patternFill>
      </fill>
    </dxf>
    <dxf>
      <font>
        <b/>
        <i val="0"/>
        <color theme="9" tint="-0.24994659260841701"/>
      </font>
    </dxf>
    <dxf>
      <font>
        <b/>
        <i val="0"/>
        <color theme="8" tint="-0.24994659260841701"/>
      </font>
    </dxf>
    <dxf>
      <font>
        <b/>
        <i val="0"/>
        <color theme="7" tint="-0.499984740745262"/>
      </font>
    </dxf>
    <dxf>
      <font>
        <color rgb="FFFF0000"/>
      </font>
    </dxf>
    <dxf>
      <font>
        <b val="0"/>
        <i/>
        <color theme="0"/>
      </font>
      <fill>
        <patternFill>
          <bgColor theme="1" tint="0.34998626667073579"/>
        </patternFill>
      </fill>
    </dxf>
    <dxf>
      <font>
        <b val="0"/>
        <i/>
        <color auto="1"/>
      </font>
      <fill>
        <patternFill>
          <bgColor theme="7" tint="0.59996337778862885"/>
        </patternFill>
      </fill>
    </dxf>
    <dxf>
      <font>
        <b/>
        <i val="0"/>
        <color theme="7"/>
      </font>
    </dxf>
    <dxf>
      <font>
        <color rgb="FFFF0000"/>
      </font>
      <fill>
        <patternFill>
          <bgColor theme="7" tint="0.79998168889431442"/>
        </patternFill>
      </fill>
    </dxf>
    <dxf>
      <font>
        <b val="0"/>
        <i/>
        <color rgb="FF00B0F0"/>
      </font>
      <fill>
        <patternFill>
          <bgColor theme="0" tint="-4.9989318521683403E-2"/>
        </patternFill>
      </fill>
    </dxf>
    <dxf>
      <font>
        <b val="0"/>
        <i/>
        <color rgb="FF7030A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0000"/>
      <color rgb="FFFF5D5D"/>
      <color rgb="FFB0AC00"/>
      <color rgb="FFD1CC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opLeftCell="A4" workbookViewId="0">
      <selection sqref="A1:A2"/>
    </sheetView>
  </sheetViews>
  <sheetFormatPr defaultRowHeight="15"/>
  <cols>
    <col min="1" max="1" width="53.42578125" style="44" customWidth="1"/>
    <col min="2" max="2" width="2.140625" style="44" customWidth="1"/>
    <col min="3" max="4" width="109" style="44" bestFit="1" customWidth="1"/>
    <col min="5" max="16384" width="9.140625" style="44"/>
  </cols>
  <sheetData>
    <row r="1" spans="1:4">
      <c r="A1" s="273" t="s">
        <v>6003</v>
      </c>
      <c r="B1" s="159"/>
      <c r="C1" s="273" t="s">
        <v>6043</v>
      </c>
      <c r="D1" s="160"/>
    </row>
    <row r="2" spans="1:4" ht="15.75" thickBot="1">
      <c r="A2" s="274"/>
      <c r="B2" s="160"/>
      <c r="C2" s="274"/>
    </row>
    <row r="3" spans="1:4">
      <c r="A3" s="172" t="s">
        <v>6004</v>
      </c>
      <c r="B3" s="160"/>
      <c r="C3" s="161" t="s">
        <v>6005</v>
      </c>
    </row>
    <row r="4" spans="1:4">
      <c r="A4" s="172" t="s">
        <v>6006</v>
      </c>
      <c r="B4" s="160"/>
      <c r="C4" s="162" t="s">
        <v>6007</v>
      </c>
    </row>
    <row r="5" spans="1:4">
      <c r="A5" s="172" t="s">
        <v>6008</v>
      </c>
      <c r="B5" s="160"/>
      <c r="C5" s="162" t="s">
        <v>6009</v>
      </c>
    </row>
    <row r="6" spans="1:4">
      <c r="A6" s="172" t="s">
        <v>6010</v>
      </c>
      <c r="B6" s="160"/>
      <c r="C6" s="162" t="s">
        <v>6011</v>
      </c>
    </row>
    <row r="7" spans="1:4">
      <c r="A7" s="172" t="s">
        <v>6012</v>
      </c>
      <c r="B7" s="160"/>
      <c r="C7" s="162" t="s">
        <v>6013</v>
      </c>
    </row>
    <row r="8" spans="1:4" ht="15.75" thickBot="1">
      <c r="A8" s="173" t="s">
        <v>6014</v>
      </c>
      <c r="B8" s="160"/>
      <c r="C8" s="163" t="s">
        <v>6015</v>
      </c>
    </row>
    <row r="9" spans="1:4">
      <c r="A9" s="273" t="s">
        <v>6044</v>
      </c>
      <c r="C9" s="273" t="s">
        <v>6042</v>
      </c>
    </row>
    <row r="10" spans="1:4" ht="15.75" thickBot="1">
      <c r="A10" s="274"/>
      <c r="C10" s="274" t="s">
        <v>6016</v>
      </c>
    </row>
    <row r="11" spans="1:4">
      <c r="A11" s="174" t="s">
        <v>6045</v>
      </c>
      <c r="C11" s="208" t="s">
        <v>6036</v>
      </c>
    </row>
    <row r="12" spans="1:4" ht="15" customHeight="1">
      <c r="A12" s="271" t="s">
        <v>6046</v>
      </c>
      <c r="C12" s="164" t="s">
        <v>6017</v>
      </c>
    </row>
    <row r="13" spans="1:4">
      <c r="A13" s="271"/>
      <c r="C13" s="164" t="s">
        <v>6018</v>
      </c>
    </row>
    <row r="14" spans="1:4">
      <c r="A14" s="271"/>
      <c r="C14" s="208" t="s">
        <v>6037</v>
      </c>
    </row>
    <row r="15" spans="1:4">
      <c r="A15" s="271"/>
      <c r="C15" s="164" t="s">
        <v>6038</v>
      </c>
    </row>
    <row r="16" spans="1:4">
      <c r="A16" s="174" t="s">
        <v>6047</v>
      </c>
      <c r="C16" s="208" t="s">
        <v>6019</v>
      </c>
    </row>
    <row r="17" spans="1:3">
      <c r="A17" s="271" t="s">
        <v>6048</v>
      </c>
      <c r="C17" s="164" t="s">
        <v>6039</v>
      </c>
    </row>
    <row r="18" spans="1:3">
      <c r="A18" s="272"/>
      <c r="C18" s="165" t="s">
        <v>6020</v>
      </c>
    </row>
    <row r="19" spans="1:3">
      <c r="A19" s="272"/>
      <c r="C19" s="165" t="s">
        <v>6021</v>
      </c>
    </row>
    <row r="20" spans="1:3">
      <c r="A20" s="272"/>
      <c r="C20" s="166" t="s">
        <v>6005</v>
      </c>
    </row>
    <row r="21" spans="1:3">
      <c r="C21" s="168" t="s">
        <v>6022</v>
      </c>
    </row>
    <row r="22" spans="1:3">
      <c r="C22" s="209" t="s">
        <v>6023</v>
      </c>
    </row>
    <row r="23" spans="1:3">
      <c r="C23" s="169" t="s">
        <v>6024</v>
      </c>
    </row>
    <row r="24" spans="1:3">
      <c r="C24" s="210" t="s">
        <v>6025</v>
      </c>
    </row>
    <row r="25" spans="1:3">
      <c r="C25" s="168" t="s">
        <v>6026</v>
      </c>
    </row>
    <row r="26" spans="1:3">
      <c r="C26" s="211" t="s">
        <v>6027</v>
      </c>
    </row>
    <row r="27" spans="1:3">
      <c r="C27" s="167" t="s">
        <v>6028</v>
      </c>
    </row>
    <row r="28" spans="1:3">
      <c r="C28" s="168" t="s">
        <v>6029</v>
      </c>
    </row>
    <row r="29" spans="1:3">
      <c r="C29" s="167" t="s">
        <v>6030</v>
      </c>
    </row>
    <row r="30" spans="1:3">
      <c r="C30" s="168" t="s">
        <v>6040</v>
      </c>
    </row>
    <row r="31" spans="1:3">
      <c r="C31" s="170" t="s">
        <v>6031</v>
      </c>
    </row>
    <row r="32" spans="1:3">
      <c r="C32" s="171" t="s">
        <v>6032</v>
      </c>
    </row>
    <row r="33" spans="3:3">
      <c r="C33" s="168" t="s">
        <v>6033</v>
      </c>
    </row>
    <row r="34" spans="3:3">
      <c r="C34" s="168" t="s">
        <v>6034</v>
      </c>
    </row>
    <row r="35" spans="3:3">
      <c r="C35" s="168" t="s">
        <v>6041</v>
      </c>
    </row>
    <row r="36" spans="3:3">
      <c r="C36" s="167" t="s">
        <v>6035</v>
      </c>
    </row>
  </sheetData>
  <mergeCells count="6">
    <mergeCell ref="A17:A20"/>
    <mergeCell ref="A1:A2"/>
    <mergeCell ref="C1:C2"/>
    <mergeCell ref="C9:C10"/>
    <mergeCell ref="A9:A10"/>
    <mergeCell ref="A12:A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35"/>
  <sheetViews>
    <sheetView workbookViewId="0">
      <pane ySplit="2" topLeftCell="A219" activePane="bottomLeft" state="frozen"/>
      <selection activeCell="B1" sqref="B1"/>
      <selection pane="bottomLeft" activeCell="H231" sqref="H231"/>
    </sheetView>
  </sheetViews>
  <sheetFormatPr defaultRowHeight="15" outlineLevelCol="1"/>
  <cols>
    <col min="1" max="1" width="8.7109375" bestFit="1" customWidth="1"/>
    <col min="2" max="2" width="47.7109375" bestFit="1" customWidth="1"/>
    <col min="3" max="3" width="3" customWidth="1"/>
    <col min="4" max="7" width="4" bestFit="1" customWidth="1"/>
    <col min="8" max="8" width="13.7109375" bestFit="1" customWidth="1" outlineLevel="1"/>
    <col min="9" max="9" width="15.42578125" bestFit="1" customWidth="1" outlineLevel="1"/>
    <col min="10" max="10" width="8.140625" customWidth="1" outlineLevel="1"/>
    <col min="11" max="11" width="2.85546875" customWidth="1"/>
    <col min="12" max="14" width="4" bestFit="1" customWidth="1"/>
    <col min="15" max="15" width="2.85546875" bestFit="1" customWidth="1"/>
    <col min="16" max="16" width="25.7109375" style="44" bestFit="1" customWidth="1"/>
    <col min="17" max="17" width="2.7109375" bestFit="1" customWidth="1"/>
    <col min="18" max="20" width="4" bestFit="1" customWidth="1"/>
    <col min="21" max="21" width="2.85546875" bestFit="1" customWidth="1"/>
    <col min="22" max="22" width="22.28515625" style="44" bestFit="1" customWidth="1"/>
    <col min="23" max="23" width="2.7109375" bestFit="1" customWidth="1"/>
    <col min="24" max="26" width="4" bestFit="1" customWidth="1"/>
    <col min="27" max="27" width="2.85546875" bestFit="1" customWidth="1"/>
    <col min="28" max="28" width="29.140625" style="44" bestFit="1" customWidth="1"/>
    <col min="29" max="29" width="2.7109375" bestFit="1" customWidth="1"/>
    <col min="30" max="32" width="4" bestFit="1" customWidth="1"/>
    <col min="33" max="33" width="2.85546875" bestFit="1" customWidth="1"/>
    <col min="34" max="34" width="20.140625" bestFit="1" customWidth="1"/>
  </cols>
  <sheetData>
    <row r="1" spans="1:34" s="44" customFormat="1" ht="15.75" customHeight="1">
      <c r="A1" s="275" t="s">
        <v>17</v>
      </c>
      <c r="B1" s="275" t="s">
        <v>1</v>
      </c>
      <c r="C1" s="276" t="s">
        <v>5860</v>
      </c>
      <c r="D1" s="277"/>
      <c r="E1" s="277"/>
      <c r="F1" s="277"/>
      <c r="G1" s="278"/>
      <c r="H1" s="282" t="s">
        <v>3245</v>
      </c>
      <c r="I1" s="275" t="s">
        <v>5861</v>
      </c>
      <c r="J1" s="283" t="s">
        <v>5862</v>
      </c>
      <c r="K1" s="276" t="s">
        <v>5863</v>
      </c>
      <c r="L1" s="277"/>
      <c r="M1" s="277"/>
      <c r="N1" s="277"/>
      <c r="O1" s="278"/>
      <c r="P1" s="282" t="s">
        <v>3245</v>
      </c>
      <c r="Q1" s="276" t="s">
        <v>5921</v>
      </c>
      <c r="R1" s="277"/>
      <c r="S1" s="277"/>
      <c r="T1" s="277"/>
      <c r="U1" s="278"/>
      <c r="V1" s="282" t="s">
        <v>3245</v>
      </c>
      <c r="W1" s="276" t="s">
        <v>5864</v>
      </c>
      <c r="X1" s="277"/>
      <c r="Y1" s="277"/>
      <c r="Z1" s="277"/>
      <c r="AA1" s="278"/>
      <c r="AB1" s="282" t="s">
        <v>3245</v>
      </c>
      <c r="AC1" s="276" t="s">
        <v>5865</v>
      </c>
      <c r="AD1" s="277"/>
      <c r="AE1" s="277"/>
      <c r="AF1" s="277"/>
      <c r="AG1" s="278"/>
      <c r="AH1" s="282" t="s">
        <v>3245</v>
      </c>
    </row>
    <row r="2" spans="1:34">
      <c r="A2" s="275"/>
      <c r="B2" s="275"/>
      <c r="C2" s="22" t="s">
        <v>3131</v>
      </c>
      <c r="D2" s="22" t="s">
        <v>3132</v>
      </c>
      <c r="E2" s="22" t="s">
        <v>3133</v>
      </c>
      <c r="F2" s="22" t="s">
        <v>3134</v>
      </c>
      <c r="G2" s="22" t="s">
        <v>3135</v>
      </c>
      <c r="H2" s="276"/>
      <c r="I2" s="277"/>
      <c r="J2" s="283"/>
      <c r="K2" s="22" t="s">
        <v>3131</v>
      </c>
      <c r="L2" s="22" t="s">
        <v>3132</v>
      </c>
      <c r="M2" s="22" t="s">
        <v>3133</v>
      </c>
      <c r="N2" s="22" t="s">
        <v>3134</v>
      </c>
      <c r="O2" s="22" t="s">
        <v>3135</v>
      </c>
      <c r="P2" s="276"/>
      <c r="Q2" s="22" t="s">
        <v>3131</v>
      </c>
      <c r="R2" s="22" t="s">
        <v>3132</v>
      </c>
      <c r="S2" s="22" t="s">
        <v>3133</v>
      </c>
      <c r="T2" s="22" t="s">
        <v>3134</v>
      </c>
      <c r="U2" s="22" t="s">
        <v>3135</v>
      </c>
      <c r="V2" s="276"/>
      <c r="W2" s="22" t="s">
        <v>3131</v>
      </c>
      <c r="X2" s="22" t="s">
        <v>3132</v>
      </c>
      <c r="Y2" s="22" t="s">
        <v>3133</v>
      </c>
      <c r="Z2" s="22" t="s">
        <v>3134</v>
      </c>
      <c r="AA2" s="22" t="s">
        <v>3135</v>
      </c>
      <c r="AB2" s="276"/>
      <c r="AC2" s="22" t="s">
        <v>3131</v>
      </c>
      <c r="AD2" s="22" t="s">
        <v>3132</v>
      </c>
      <c r="AE2" s="22" t="s">
        <v>3133</v>
      </c>
      <c r="AF2" s="22" t="s">
        <v>3134</v>
      </c>
      <c r="AG2" s="22" t="s">
        <v>3135</v>
      </c>
      <c r="AH2" s="276"/>
    </row>
    <row r="3" spans="1:34">
      <c r="A3" s="146">
        <v>159</v>
      </c>
      <c r="B3" s="147" t="s">
        <v>5838</v>
      </c>
      <c r="C3" s="148">
        <v>3</v>
      </c>
      <c r="D3" s="148">
        <v>3</v>
      </c>
      <c r="E3" s="148">
        <v>2</v>
      </c>
      <c r="F3" s="148">
        <v>2</v>
      </c>
      <c r="G3" s="148">
        <v>3</v>
      </c>
      <c r="H3" s="149"/>
      <c r="I3" s="46" t="s">
        <v>5866</v>
      </c>
      <c r="J3" s="46" t="s">
        <v>5878</v>
      </c>
      <c r="K3" s="141">
        <v>3</v>
      </c>
      <c r="L3" s="141">
        <v>2.5</v>
      </c>
      <c r="M3" s="141">
        <v>2</v>
      </c>
      <c r="N3" s="141">
        <v>2</v>
      </c>
      <c r="O3" s="141">
        <v>3</v>
      </c>
      <c r="P3" s="141" t="s">
        <v>62</v>
      </c>
      <c r="Q3" s="77">
        <v>3</v>
      </c>
      <c r="R3" s="77">
        <v>2</v>
      </c>
      <c r="S3" s="77">
        <v>2</v>
      </c>
      <c r="T3" s="77">
        <v>2</v>
      </c>
      <c r="U3" s="77">
        <v>3</v>
      </c>
      <c r="V3" s="141" t="s">
        <v>62</v>
      </c>
      <c r="W3" s="141">
        <v>3</v>
      </c>
      <c r="X3" s="141">
        <v>2.5</v>
      </c>
      <c r="Y3" s="141">
        <v>2</v>
      </c>
      <c r="Z3" s="141">
        <v>2</v>
      </c>
      <c r="AA3" s="141">
        <v>3</v>
      </c>
      <c r="AB3" s="141" t="s">
        <v>62</v>
      </c>
      <c r="AC3" s="77">
        <v>3</v>
      </c>
      <c r="AD3" s="77">
        <v>2</v>
      </c>
      <c r="AE3" s="77">
        <v>2</v>
      </c>
      <c r="AF3" s="77">
        <v>2</v>
      </c>
      <c r="AG3" s="77">
        <v>3</v>
      </c>
      <c r="AH3" s="150" t="s">
        <v>62</v>
      </c>
    </row>
    <row r="4" spans="1:34">
      <c r="A4" s="146">
        <v>159</v>
      </c>
      <c r="B4" s="147" t="s">
        <v>5840</v>
      </c>
      <c r="C4" s="148">
        <v>3</v>
      </c>
      <c r="D4" s="148">
        <v>2</v>
      </c>
      <c r="E4" s="148">
        <v>2</v>
      </c>
      <c r="F4" s="148">
        <v>2</v>
      </c>
      <c r="G4" s="148">
        <v>3</v>
      </c>
      <c r="H4" s="140" t="s">
        <v>5867</v>
      </c>
      <c r="I4" s="46" t="s">
        <v>3125</v>
      </c>
      <c r="J4" s="46" t="s">
        <v>5870</v>
      </c>
      <c r="K4" s="141">
        <v>3</v>
      </c>
      <c r="L4" s="141">
        <v>2</v>
      </c>
      <c r="M4" s="141">
        <v>2</v>
      </c>
      <c r="N4" s="141">
        <v>2</v>
      </c>
      <c r="O4" s="141">
        <v>3</v>
      </c>
      <c r="P4" s="141" t="s">
        <v>3321</v>
      </c>
      <c r="Q4" s="77">
        <v>3</v>
      </c>
      <c r="R4" s="77">
        <v>2</v>
      </c>
      <c r="S4" s="77">
        <v>2.5</v>
      </c>
      <c r="T4" s="77">
        <v>2</v>
      </c>
      <c r="U4" s="77">
        <v>3</v>
      </c>
      <c r="V4" s="141" t="s">
        <v>5872</v>
      </c>
      <c r="W4" s="141">
        <v>3</v>
      </c>
      <c r="X4" s="141">
        <v>2.5</v>
      </c>
      <c r="Y4" s="141">
        <v>2.5</v>
      </c>
      <c r="Z4" s="141">
        <v>2</v>
      </c>
      <c r="AA4" s="141">
        <v>3</v>
      </c>
      <c r="AB4" s="141" t="s">
        <v>5873</v>
      </c>
      <c r="AC4" s="77">
        <v>3</v>
      </c>
      <c r="AD4" s="77">
        <v>2</v>
      </c>
      <c r="AE4" s="77">
        <v>2.5</v>
      </c>
      <c r="AF4" s="77">
        <v>2</v>
      </c>
      <c r="AG4" s="77">
        <v>3</v>
      </c>
      <c r="AH4" s="150" t="s">
        <v>62</v>
      </c>
    </row>
    <row r="5" spans="1:34">
      <c r="A5" s="146">
        <v>159</v>
      </c>
      <c r="B5" s="147" t="s">
        <v>5843</v>
      </c>
      <c r="C5" s="148">
        <v>3</v>
      </c>
      <c r="D5" s="148">
        <v>3</v>
      </c>
      <c r="E5" s="148">
        <v>2</v>
      </c>
      <c r="F5" s="148">
        <v>2</v>
      </c>
      <c r="G5" s="148">
        <v>3</v>
      </c>
      <c r="H5" s="140" t="s">
        <v>293</v>
      </c>
      <c r="I5" s="46" t="s">
        <v>3125</v>
      </c>
      <c r="J5" s="46"/>
      <c r="K5" s="141">
        <v>3</v>
      </c>
      <c r="L5" s="141">
        <v>2</v>
      </c>
      <c r="M5" s="141">
        <v>2</v>
      </c>
      <c r="N5" s="141">
        <v>1.5</v>
      </c>
      <c r="O5" s="141">
        <v>3</v>
      </c>
      <c r="P5" s="141" t="s">
        <v>3321</v>
      </c>
      <c r="Q5" s="77">
        <v>3</v>
      </c>
      <c r="R5" s="77">
        <v>2.5</v>
      </c>
      <c r="S5" s="77">
        <v>2.5</v>
      </c>
      <c r="T5" s="77">
        <v>2</v>
      </c>
      <c r="U5" s="77">
        <v>3</v>
      </c>
      <c r="V5" s="141" t="s">
        <v>5873</v>
      </c>
      <c r="W5" s="141">
        <v>3</v>
      </c>
      <c r="X5" s="141">
        <v>3</v>
      </c>
      <c r="Y5" s="141">
        <v>2.5</v>
      </c>
      <c r="Z5" s="141">
        <v>2</v>
      </c>
      <c r="AA5" s="141">
        <v>3</v>
      </c>
      <c r="AB5" s="141" t="s">
        <v>5875</v>
      </c>
      <c r="AC5" s="77">
        <v>3</v>
      </c>
      <c r="AD5" s="77">
        <v>3</v>
      </c>
      <c r="AE5" s="77">
        <v>2.5</v>
      </c>
      <c r="AF5" s="77">
        <v>2</v>
      </c>
      <c r="AG5" s="77">
        <v>3</v>
      </c>
      <c r="AH5" s="150" t="s">
        <v>170</v>
      </c>
    </row>
    <row r="6" spans="1:34">
      <c r="A6" s="146">
        <v>159</v>
      </c>
      <c r="B6" s="147" t="s">
        <v>5845</v>
      </c>
      <c r="C6" s="148">
        <v>3</v>
      </c>
      <c r="D6" s="148">
        <v>3</v>
      </c>
      <c r="E6" s="148">
        <v>2</v>
      </c>
      <c r="F6" s="148">
        <v>2</v>
      </c>
      <c r="G6" s="148">
        <v>3</v>
      </c>
      <c r="H6" s="140"/>
      <c r="I6" s="46" t="s">
        <v>5868</v>
      </c>
      <c r="J6" s="46" t="s">
        <v>5878</v>
      </c>
      <c r="K6" s="141">
        <v>3</v>
      </c>
      <c r="L6" s="141">
        <v>2</v>
      </c>
      <c r="M6" s="141">
        <v>2</v>
      </c>
      <c r="N6" s="141">
        <v>1.5</v>
      </c>
      <c r="O6" s="141">
        <v>3</v>
      </c>
      <c r="P6" s="141" t="s">
        <v>3321</v>
      </c>
      <c r="Q6" s="77">
        <v>3</v>
      </c>
      <c r="R6" s="77">
        <v>2.5</v>
      </c>
      <c r="S6" s="77">
        <v>2</v>
      </c>
      <c r="T6" s="77">
        <v>2</v>
      </c>
      <c r="U6" s="77">
        <v>3</v>
      </c>
      <c r="V6" s="141" t="s">
        <v>5874</v>
      </c>
      <c r="W6" s="141">
        <v>3</v>
      </c>
      <c r="X6" s="141">
        <v>2.5</v>
      </c>
      <c r="Y6" s="141">
        <v>2</v>
      </c>
      <c r="Z6" s="141">
        <v>2</v>
      </c>
      <c r="AA6" s="141">
        <v>3</v>
      </c>
      <c r="AB6" s="141" t="s">
        <v>62</v>
      </c>
      <c r="AC6" s="77">
        <v>3</v>
      </c>
      <c r="AD6" s="77">
        <v>2</v>
      </c>
      <c r="AE6" s="77">
        <v>2</v>
      </c>
      <c r="AF6" s="77">
        <v>2</v>
      </c>
      <c r="AG6" s="77">
        <v>3</v>
      </c>
      <c r="AH6" s="150" t="s">
        <v>62</v>
      </c>
    </row>
    <row r="7" spans="1:34">
      <c r="A7" s="146">
        <v>159</v>
      </c>
      <c r="B7" s="147" t="s">
        <v>5848</v>
      </c>
      <c r="C7" s="148">
        <v>3</v>
      </c>
      <c r="D7" s="148">
        <v>3</v>
      </c>
      <c r="E7" s="148">
        <v>2</v>
      </c>
      <c r="F7" s="148">
        <v>2.5</v>
      </c>
      <c r="G7" s="148">
        <v>3</v>
      </c>
      <c r="H7" s="140"/>
      <c r="I7" s="46" t="s">
        <v>625</v>
      </c>
      <c r="J7" s="46" t="s">
        <v>5878</v>
      </c>
      <c r="K7" s="141">
        <v>3</v>
      </c>
      <c r="L7" s="141">
        <v>2</v>
      </c>
      <c r="M7" s="141">
        <v>1.5</v>
      </c>
      <c r="N7" s="141">
        <v>1</v>
      </c>
      <c r="O7" s="141">
        <v>3</v>
      </c>
      <c r="P7" s="141" t="s">
        <v>3818</v>
      </c>
      <c r="Q7" s="77">
        <v>3</v>
      </c>
      <c r="R7" s="77">
        <v>2</v>
      </c>
      <c r="S7" s="77">
        <v>2</v>
      </c>
      <c r="T7" s="77">
        <v>1.5</v>
      </c>
      <c r="U7" s="77">
        <v>3</v>
      </c>
      <c r="V7" s="141" t="s">
        <v>62</v>
      </c>
      <c r="W7" s="141">
        <v>3</v>
      </c>
      <c r="X7" s="141">
        <v>2</v>
      </c>
      <c r="Y7" s="141">
        <v>2</v>
      </c>
      <c r="Z7" s="141">
        <v>1.5</v>
      </c>
      <c r="AA7" s="141">
        <v>3</v>
      </c>
      <c r="AB7" s="141" t="s">
        <v>5877</v>
      </c>
      <c r="AC7" s="77">
        <v>3</v>
      </c>
      <c r="AD7" s="77">
        <v>1.5</v>
      </c>
      <c r="AE7" s="77">
        <v>2</v>
      </c>
      <c r="AF7" s="77">
        <v>2</v>
      </c>
      <c r="AG7" s="77">
        <v>3</v>
      </c>
      <c r="AH7" s="150" t="s">
        <v>3321</v>
      </c>
    </row>
    <row r="8" spans="1:34">
      <c r="A8" s="146">
        <v>159</v>
      </c>
      <c r="B8" s="147" t="s">
        <v>5851</v>
      </c>
      <c r="C8" s="148">
        <v>3</v>
      </c>
      <c r="D8" s="148">
        <v>3</v>
      </c>
      <c r="E8" s="148">
        <v>2</v>
      </c>
      <c r="F8" s="148">
        <v>2</v>
      </c>
      <c r="G8" s="148">
        <v>3</v>
      </c>
      <c r="H8" s="140" t="s">
        <v>293</v>
      </c>
      <c r="I8" s="46" t="s">
        <v>3125</v>
      </c>
      <c r="J8" s="46"/>
      <c r="K8" s="141">
        <v>3</v>
      </c>
      <c r="L8" s="141">
        <v>2</v>
      </c>
      <c r="M8" s="141">
        <v>2</v>
      </c>
      <c r="N8" s="141">
        <v>2</v>
      </c>
      <c r="O8" s="141">
        <v>3</v>
      </c>
      <c r="P8" s="141" t="s">
        <v>62</v>
      </c>
      <c r="Q8" s="77">
        <v>3</v>
      </c>
      <c r="R8" s="77">
        <v>2.5</v>
      </c>
      <c r="S8" s="77">
        <v>2</v>
      </c>
      <c r="T8" s="77">
        <v>2</v>
      </c>
      <c r="U8" s="77">
        <v>3</v>
      </c>
      <c r="V8" s="141" t="s">
        <v>5872</v>
      </c>
      <c r="W8" s="141">
        <v>3</v>
      </c>
      <c r="X8" s="141">
        <v>3</v>
      </c>
      <c r="Y8" s="141">
        <v>2.5</v>
      </c>
      <c r="Z8" s="141">
        <v>2</v>
      </c>
      <c r="AA8" s="141">
        <v>3</v>
      </c>
      <c r="AB8" s="141" t="s">
        <v>5875</v>
      </c>
      <c r="AC8" s="77">
        <v>3</v>
      </c>
      <c r="AD8" s="77">
        <v>2.5</v>
      </c>
      <c r="AE8" s="77">
        <v>2</v>
      </c>
      <c r="AF8" s="77">
        <v>2</v>
      </c>
      <c r="AG8" s="77">
        <v>3</v>
      </c>
      <c r="AH8" s="150" t="s">
        <v>4891</v>
      </c>
    </row>
    <row r="9" spans="1:34">
      <c r="A9" s="146">
        <v>159</v>
      </c>
      <c r="B9" s="147" t="s">
        <v>5853</v>
      </c>
      <c r="C9" s="148">
        <v>3</v>
      </c>
      <c r="D9" s="148">
        <v>2.5</v>
      </c>
      <c r="E9" s="148">
        <v>2</v>
      </c>
      <c r="F9" s="148">
        <v>2</v>
      </c>
      <c r="G9" s="148">
        <v>3</v>
      </c>
      <c r="H9" s="140" t="s">
        <v>293</v>
      </c>
      <c r="I9" s="46" t="s">
        <v>3125</v>
      </c>
      <c r="J9" s="46"/>
      <c r="K9" s="141">
        <v>3</v>
      </c>
      <c r="L9" s="141">
        <v>2.5</v>
      </c>
      <c r="M9" s="141">
        <v>2.5</v>
      </c>
      <c r="N9" s="141">
        <v>2</v>
      </c>
      <c r="O9" s="141">
        <v>3</v>
      </c>
      <c r="P9" s="141" t="s">
        <v>5871</v>
      </c>
      <c r="Q9" s="77">
        <v>3</v>
      </c>
      <c r="R9" s="77">
        <v>3</v>
      </c>
      <c r="S9" s="77">
        <v>2.5</v>
      </c>
      <c r="T9" s="77">
        <v>2</v>
      </c>
      <c r="U9" s="77">
        <v>3</v>
      </c>
      <c r="V9" s="141" t="s">
        <v>5875</v>
      </c>
      <c r="W9" s="141">
        <v>3</v>
      </c>
      <c r="X9" s="141">
        <v>3</v>
      </c>
      <c r="Y9" s="141">
        <v>2.5</v>
      </c>
      <c r="Z9" s="141">
        <v>2</v>
      </c>
      <c r="AA9" s="141">
        <v>3</v>
      </c>
      <c r="AB9" s="141" t="s">
        <v>5875</v>
      </c>
      <c r="AC9" s="77">
        <v>3</v>
      </c>
      <c r="AD9" s="77">
        <v>2.5</v>
      </c>
      <c r="AE9" s="77">
        <v>2.5</v>
      </c>
      <c r="AF9" s="77">
        <v>2</v>
      </c>
      <c r="AG9" s="77">
        <v>3</v>
      </c>
      <c r="AH9" s="150" t="s">
        <v>4891</v>
      </c>
    </row>
    <row r="10" spans="1:34">
      <c r="A10" s="146">
        <v>159</v>
      </c>
      <c r="B10" s="147" t="s">
        <v>5855</v>
      </c>
      <c r="C10" s="148">
        <v>3</v>
      </c>
      <c r="D10" s="148">
        <v>3</v>
      </c>
      <c r="E10" s="148">
        <v>2</v>
      </c>
      <c r="F10" s="148">
        <v>2</v>
      </c>
      <c r="G10" s="148">
        <v>3</v>
      </c>
      <c r="H10" s="140" t="s">
        <v>5869</v>
      </c>
      <c r="I10" s="46" t="s">
        <v>3122</v>
      </c>
      <c r="J10" s="46" t="s">
        <v>5870</v>
      </c>
      <c r="K10" s="141">
        <v>3</v>
      </c>
      <c r="L10" s="141">
        <v>2.5</v>
      </c>
      <c r="M10" s="141">
        <v>2</v>
      </c>
      <c r="N10" s="141">
        <v>1.5</v>
      </c>
      <c r="O10" s="141">
        <v>3</v>
      </c>
      <c r="P10" s="141" t="s">
        <v>62</v>
      </c>
      <c r="Q10" s="77">
        <v>3</v>
      </c>
      <c r="R10" s="77">
        <v>3</v>
      </c>
      <c r="S10" s="77">
        <v>2</v>
      </c>
      <c r="T10" s="77">
        <v>2</v>
      </c>
      <c r="U10" s="77">
        <v>3</v>
      </c>
      <c r="V10" s="141" t="s">
        <v>5872</v>
      </c>
      <c r="W10" s="141">
        <v>3</v>
      </c>
      <c r="X10" s="141">
        <v>3</v>
      </c>
      <c r="Y10" s="141">
        <v>2</v>
      </c>
      <c r="Z10" s="141">
        <v>2</v>
      </c>
      <c r="AA10" s="141">
        <v>3</v>
      </c>
      <c r="AB10" s="141" t="s">
        <v>5872</v>
      </c>
      <c r="AC10" s="77">
        <v>3</v>
      </c>
      <c r="AD10" s="77">
        <v>2.5</v>
      </c>
      <c r="AE10" s="77">
        <v>2</v>
      </c>
      <c r="AF10" s="77">
        <v>2</v>
      </c>
      <c r="AG10" s="77">
        <v>3</v>
      </c>
      <c r="AH10" s="150" t="s">
        <v>62</v>
      </c>
    </row>
    <row r="11" spans="1:34">
      <c r="A11" s="146">
        <v>159</v>
      </c>
      <c r="B11" s="147" t="s">
        <v>5858</v>
      </c>
      <c r="C11" s="148">
        <v>3</v>
      </c>
      <c r="D11" s="148">
        <v>2.5</v>
      </c>
      <c r="E11" s="148">
        <v>2</v>
      </c>
      <c r="F11" s="148">
        <v>2</v>
      </c>
      <c r="G11" s="148">
        <v>3</v>
      </c>
      <c r="H11" s="140" t="s">
        <v>293</v>
      </c>
      <c r="I11" s="46" t="s">
        <v>3125</v>
      </c>
      <c r="J11" s="46"/>
      <c r="K11" s="141">
        <v>3</v>
      </c>
      <c r="L11" s="141">
        <v>3</v>
      </c>
      <c r="M11" s="141">
        <v>1.5</v>
      </c>
      <c r="N11" s="141">
        <v>1.5</v>
      </c>
      <c r="O11" s="141">
        <v>3</v>
      </c>
      <c r="P11" s="141" t="s">
        <v>3321</v>
      </c>
      <c r="Q11" s="77">
        <v>3</v>
      </c>
      <c r="R11" s="77">
        <v>3</v>
      </c>
      <c r="S11" s="77">
        <v>1.5</v>
      </c>
      <c r="T11" s="77">
        <v>2</v>
      </c>
      <c r="U11" s="77">
        <v>3</v>
      </c>
      <c r="V11" s="141" t="s">
        <v>5874</v>
      </c>
      <c r="W11" s="141">
        <v>3</v>
      </c>
      <c r="X11" s="141">
        <v>3</v>
      </c>
      <c r="Y11" s="141">
        <v>2</v>
      </c>
      <c r="Z11" s="141">
        <v>2</v>
      </c>
      <c r="AA11" s="141">
        <v>3</v>
      </c>
      <c r="AB11" s="141" t="s">
        <v>62</v>
      </c>
      <c r="AC11" s="77">
        <v>3</v>
      </c>
      <c r="AD11" s="77">
        <v>2.5</v>
      </c>
      <c r="AE11" s="77">
        <v>2</v>
      </c>
      <c r="AF11" s="77">
        <v>2</v>
      </c>
      <c r="AG11" s="77">
        <v>3</v>
      </c>
      <c r="AH11" s="150" t="s">
        <v>62</v>
      </c>
    </row>
    <row r="12" spans="1:34">
      <c r="A12" s="146">
        <v>159</v>
      </c>
      <c r="B12" s="147" t="s">
        <v>5666</v>
      </c>
      <c r="C12" s="148">
        <v>3</v>
      </c>
      <c r="D12" s="148">
        <v>2.5</v>
      </c>
      <c r="E12" s="148">
        <v>2</v>
      </c>
      <c r="F12" s="148">
        <v>2</v>
      </c>
      <c r="G12" s="148">
        <v>3</v>
      </c>
      <c r="H12" s="140" t="s">
        <v>5869</v>
      </c>
      <c r="I12" s="46" t="s">
        <v>3122</v>
      </c>
      <c r="J12" s="46" t="s">
        <v>5870</v>
      </c>
      <c r="K12" s="141">
        <v>3</v>
      </c>
      <c r="L12" s="141">
        <v>2.5</v>
      </c>
      <c r="M12" s="141">
        <v>2</v>
      </c>
      <c r="N12" s="141">
        <v>2</v>
      </c>
      <c r="O12" s="141">
        <v>3</v>
      </c>
      <c r="P12" s="141" t="s">
        <v>62</v>
      </c>
      <c r="Q12" s="77">
        <v>3</v>
      </c>
      <c r="R12" s="77">
        <v>2.5</v>
      </c>
      <c r="S12" s="77">
        <v>2</v>
      </c>
      <c r="T12" s="77">
        <v>2.5</v>
      </c>
      <c r="U12" s="77">
        <v>3</v>
      </c>
      <c r="V12" s="141" t="s">
        <v>5876</v>
      </c>
      <c r="W12" s="141">
        <v>3</v>
      </c>
      <c r="X12" s="141">
        <v>2.5</v>
      </c>
      <c r="Y12" s="141">
        <v>2</v>
      </c>
      <c r="Z12" s="141">
        <v>2.5</v>
      </c>
      <c r="AA12" s="141">
        <v>3</v>
      </c>
      <c r="AB12" s="141" t="s">
        <v>5876</v>
      </c>
      <c r="AC12" s="77">
        <v>3</v>
      </c>
      <c r="AD12" s="77">
        <v>2.5</v>
      </c>
      <c r="AE12" s="77">
        <v>2</v>
      </c>
      <c r="AF12" s="77">
        <v>2.5</v>
      </c>
      <c r="AG12" s="77">
        <v>3</v>
      </c>
      <c r="AH12" s="150" t="s">
        <v>171</v>
      </c>
    </row>
    <row r="13" spans="1:34">
      <c r="A13" s="146">
        <v>155</v>
      </c>
      <c r="B13" s="147" t="s">
        <v>5694</v>
      </c>
      <c r="C13" s="148">
        <v>3</v>
      </c>
      <c r="D13" s="148">
        <v>2.5</v>
      </c>
      <c r="E13" s="148">
        <v>2</v>
      </c>
      <c r="F13" s="148">
        <v>2</v>
      </c>
      <c r="G13" s="148">
        <v>3</v>
      </c>
      <c r="H13" s="142" t="s">
        <v>4891</v>
      </c>
      <c r="I13" s="46" t="s">
        <v>3122</v>
      </c>
      <c r="J13" s="46"/>
      <c r="K13" s="143">
        <v>3</v>
      </c>
      <c r="L13" s="143">
        <v>2.5</v>
      </c>
      <c r="M13" s="143">
        <v>2</v>
      </c>
      <c r="N13" s="143">
        <v>2</v>
      </c>
      <c r="O13" s="143">
        <v>3</v>
      </c>
      <c r="P13" s="143" t="s">
        <v>62</v>
      </c>
      <c r="Q13" s="175"/>
      <c r="R13" s="175"/>
      <c r="S13" s="175"/>
      <c r="T13" s="175"/>
      <c r="U13" s="175"/>
      <c r="V13" s="175"/>
      <c r="W13" s="143">
        <v>3</v>
      </c>
      <c r="X13" s="143">
        <v>2.5</v>
      </c>
      <c r="Y13" s="143">
        <v>2</v>
      </c>
      <c r="Z13" s="143">
        <v>2.5</v>
      </c>
      <c r="AA13" s="143">
        <v>3</v>
      </c>
      <c r="AB13" s="143" t="s">
        <v>5916</v>
      </c>
      <c r="AC13" s="77">
        <v>3</v>
      </c>
      <c r="AD13" s="77">
        <v>3</v>
      </c>
      <c r="AE13" s="77">
        <v>2</v>
      </c>
      <c r="AF13" s="77">
        <v>2.5</v>
      </c>
      <c r="AG13" s="77">
        <v>3</v>
      </c>
      <c r="AH13" s="150" t="s">
        <v>61</v>
      </c>
    </row>
    <row r="14" spans="1:34">
      <c r="A14" s="146">
        <v>155</v>
      </c>
      <c r="B14" s="147" t="s">
        <v>5695</v>
      </c>
      <c r="C14" s="148">
        <v>3</v>
      </c>
      <c r="D14" s="148">
        <v>2.5</v>
      </c>
      <c r="E14" s="148">
        <v>2</v>
      </c>
      <c r="F14" s="148">
        <v>2</v>
      </c>
      <c r="G14" s="148">
        <v>3</v>
      </c>
      <c r="H14" s="142" t="s">
        <v>4891</v>
      </c>
      <c r="I14" s="46" t="s">
        <v>3122</v>
      </c>
      <c r="J14" s="46"/>
      <c r="K14" s="143">
        <v>3</v>
      </c>
      <c r="L14" s="143">
        <v>2</v>
      </c>
      <c r="M14" s="143">
        <v>2</v>
      </c>
      <c r="N14" s="143">
        <v>1.5</v>
      </c>
      <c r="O14" s="143">
        <v>3</v>
      </c>
      <c r="P14" s="143" t="s">
        <v>62</v>
      </c>
      <c r="Q14" s="175"/>
      <c r="R14" s="175"/>
      <c r="S14" s="175"/>
      <c r="T14" s="175"/>
      <c r="U14" s="175"/>
      <c r="V14" s="175"/>
      <c r="W14" s="143">
        <v>3</v>
      </c>
      <c r="X14" s="143">
        <v>2</v>
      </c>
      <c r="Y14" s="143">
        <v>2</v>
      </c>
      <c r="Z14" s="143">
        <v>1.5</v>
      </c>
      <c r="AA14" s="143">
        <v>3</v>
      </c>
      <c r="AB14" s="143" t="s">
        <v>5917</v>
      </c>
      <c r="AC14" s="77">
        <v>3</v>
      </c>
      <c r="AD14" s="77">
        <v>2.5</v>
      </c>
      <c r="AE14" s="77">
        <v>2</v>
      </c>
      <c r="AF14" s="77">
        <v>2</v>
      </c>
      <c r="AG14" s="77">
        <v>3</v>
      </c>
      <c r="AH14" s="150" t="s">
        <v>62</v>
      </c>
    </row>
    <row r="15" spans="1:34">
      <c r="A15" s="146">
        <v>155</v>
      </c>
      <c r="B15" s="147" t="s">
        <v>5699</v>
      </c>
      <c r="C15" s="148">
        <v>3</v>
      </c>
      <c r="D15" s="148">
        <v>2</v>
      </c>
      <c r="E15" s="148">
        <v>2.5</v>
      </c>
      <c r="F15" s="148">
        <v>2</v>
      </c>
      <c r="G15" s="148">
        <v>3</v>
      </c>
      <c r="H15" s="142" t="s">
        <v>4891</v>
      </c>
      <c r="I15" s="46" t="s">
        <v>3122</v>
      </c>
      <c r="J15" s="46"/>
      <c r="K15" s="143">
        <v>3</v>
      </c>
      <c r="L15" s="143">
        <v>2</v>
      </c>
      <c r="M15" s="143">
        <v>2</v>
      </c>
      <c r="N15" s="143">
        <v>2</v>
      </c>
      <c r="O15" s="143">
        <v>3</v>
      </c>
      <c r="P15" s="143" t="s">
        <v>62</v>
      </c>
      <c r="Q15" s="175"/>
      <c r="R15" s="175"/>
      <c r="S15" s="175"/>
      <c r="T15" s="175"/>
      <c r="U15" s="175"/>
      <c r="V15" s="175"/>
      <c r="W15" s="143">
        <v>3</v>
      </c>
      <c r="X15" s="143">
        <v>2.5</v>
      </c>
      <c r="Y15" s="143">
        <v>2</v>
      </c>
      <c r="Z15" s="143">
        <v>2.5</v>
      </c>
      <c r="AA15" s="143">
        <v>3</v>
      </c>
      <c r="AB15" s="143" t="s">
        <v>5916</v>
      </c>
      <c r="AC15" s="77">
        <v>3</v>
      </c>
      <c r="AD15" s="77">
        <v>2.5</v>
      </c>
      <c r="AE15" s="77">
        <v>2.5</v>
      </c>
      <c r="AF15" s="77">
        <v>2.5</v>
      </c>
      <c r="AG15" s="77">
        <v>3</v>
      </c>
      <c r="AH15" s="150" t="s">
        <v>170</v>
      </c>
    </row>
    <row r="16" spans="1:34">
      <c r="A16" s="146">
        <v>155</v>
      </c>
      <c r="B16" s="147" t="s">
        <v>5701</v>
      </c>
      <c r="C16" s="148">
        <v>3</v>
      </c>
      <c r="D16" s="148">
        <v>3</v>
      </c>
      <c r="E16" s="148">
        <v>2</v>
      </c>
      <c r="F16" s="148">
        <v>2</v>
      </c>
      <c r="G16" s="148">
        <v>3</v>
      </c>
      <c r="H16" s="142" t="s">
        <v>4891</v>
      </c>
      <c r="I16" s="46" t="s">
        <v>3122</v>
      </c>
      <c r="J16" s="46"/>
      <c r="K16" s="143">
        <v>3</v>
      </c>
      <c r="L16" s="143">
        <v>2</v>
      </c>
      <c r="M16" s="143">
        <v>2</v>
      </c>
      <c r="N16" s="143">
        <v>2</v>
      </c>
      <c r="O16" s="143">
        <v>3</v>
      </c>
      <c r="P16" s="143" t="s">
        <v>62</v>
      </c>
      <c r="Q16" s="175"/>
      <c r="R16" s="175"/>
      <c r="S16" s="175"/>
      <c r="T16" s="175"/>
      <c r="U16" s="175"/>
      <c r="V16" s="175"/>
      <c r="W16" s="143">
        <v>3</v>
      </c>
      <c r="X16" s="143">
        <v>2.5</v>
      </c>
      <c r="Y16" s="143">
        <v>2.5</v>
      </c>
      <c r="Z16" s="143">
        <v>2</v>
      </c>
      <c r="AA16" s="143">
        <v>3</v>
      </c>
      <c r="AB16" s="143" t="s">
        <v>5918</v>
      </c>
      <c r="AC16" s="77">
        <v>3</v>
      </c>
      <c r="AD16" s="77">
        <v>2.5</v>
      </c>
      <c r="AE16" s="77">
        <v>2</v>
      </c>
      <c r="AF16" s="77">
        <v>2</v>
      </c>
      <c r="AG16" s="77">
        <v>3</v>
      </c>
      <c r="AH16" s="150" t="s">
        <v>62</v>
      </c>
    </row>
    <row r="17" spans="1:34">
      <c r="A17" s="146">
        <v>155</v>
      </c>
      <c r="B17" s="147" t="s">
        <v>5702</v>
      </c>
      <c r="C17" s="148">
        <v>3</v>
      </c>
      <c r="D17" s="148">
        <v>2</v>
      </c>
      <c r="E17" s="148">
        <v>2.5</v>
      </c>
      <c r="F17" s="148">
        <v>2</v>
      </c>
      <c r="G17" s="148">
        <v>3</v>
      </c>
      <c r="H17" s="142" t="s">
        <v>4891</v>
      </c>
      <c r="I17" s="46" t="s">
        <v>3122</v>
      </c>
      <c r="J17" s="46"/>
      <c r="K17" s="143">
        <v>3</v>
      </c>
      <c r="L17" s="143">
        <v>2</v>
      </c>
      <c r="M17" s="143">
        <v>2</v>
      </c>
      <c r="N17" s="143">
        <v>1.5</v>
      </c>
      <c r="O17" s="143">
        <v>3</v>
      </c>
      <c r="P17" s="143" t="s">
        <v>62</v>
      </c>
      <c r="Q17" s="175"/>
      <c r="R17" s="175"/>
      <c r="S17" s="175"/>
      <c r="T17" s="175"/>
      <c r="U17" s="175"/>
      <c r="V17" s="175"/>
      <c r="W17" s="143">
        <v>3</v>
      </c>
      <c r="X17" s="143">
        <v>2.5</v>
      </c>
      <c r="Y17" s="143">
        <v>2</v>
      </c>
      <c r="Z17" s="143">
        <v>2.5</v>
      </c>
      <c r="AA17" s="143">
        <v>3</v>
      </c>
      <c r="AB17" s="143" t="s">
        <v>5919</v>
      </c>
      <c r="AC17" s="77">
        <v>3</v>
      </c>
      <c r="AD17" s="77">
        <v>2.5</v>
      </c>
      <c r="AE17" s="77">
        <v>2.5</v>
      </c>
      <c r="AF17" s="77">
        <v>2</v>
      </c>
      <c r="AG17" s="77">
        <v>3</v>
      </c>
      <c r="AH17" s="150" t="s">
        <v>170</v>
      </c>
    </row>
    <row r="18" spans="1:34">
      <c r="A18" s="146">
        <v>156</v>
      </c>
      <c r="B18" s="147" t="s">
        <v>5721</v>
      </c>
      <c r="C18" s="148">
        <v>3</v>
      </c>
      <c r="D18" s="148">
        <v>2</v>
      </c>
      <c r="E18" s="148">
        <v>2</v>
      </c>
      <c r="F18" s="148">
        <v>2</v>
      </c>
      <c r="G18" s="148">
        <v>3</v>
      </c>
      <c r="H18" s="142" t="s">
        <v>4891</v>
      </c>
      <c r="I18" s="46" t="s">
        <v>3122</v>
      </c>
      <c r="J18" s="46"/>
      <c r="K18" s="143">
        <v>3</v>
      </c>
      <c r="L18" s="143">
        <v>2.5</v>
      </c>
      <c r="M18" s="143">
        <v>2</v>
      </c>
      <c r="N18" s="143">
        <v>2</v>
      </c>
      <c r="O18" s="143">
        <v>3</v>
      </c>
      <c r="P18" s="143" t="s">
        <v>62</v>
      </c>
      <c r="Q18" s="175"/>
      <c r="R18" s="175"/>
      <c r="S18" s="175"/>
      <c r="T18" s="175"/>
      <c r="U18" s="175"/>
      <c r="V18" s="175"/>
      <c r="W18" s="143">
        <v>3</v>
      </c>
      <c r="X18" s="143">
        <v>2.5</v>
      </c>
      <c r="Y18" s="143">
        <v>2</v>
      </c>
      <c r="Z18" s="143">
        <v>2.5</v>
      </c>
      <c r="AA18" s="143">
        <v>3</v>
      </c>
      <c r="AB18" s="143" t="s">
        <v>5916</v>
      </c>
      <c r="AC18" s="77">
        <v>3</v>
      </c>
      <c r="AD18" s="77">
        <v>2.5</v>
      </c>
      <c r="AE18" s="77">
        <v>2.5</v>
      </c>
      <c r="AF18" s="77">
        <v>2.5</v>
      </c>
      <c r="AG18" s="77">
        <v>3</v>
      </c>
      <c r="AH18" s="150" t="s">
        <v>171</v>
      </c>
    </row>
    <row r="19" spans="1:34">
      <c r="A19" s="146">
        <v>156</v>
      </c>
      <c r="B19" s="147" t="s">
        <v>5723</v>
      </c>
      <c r="C19" s="148">
        <v>3</v>
      </c>
      <c r="D19" s="148">
        <v>3</v>
      </c>
      <c r="E19" s="148">
        <v>2</v>
      </c>
      <c r="F19" s="148">
        <v>2</v>
      </c>
      <c r="G19" s="148">
        <v>3</v>
      </c>
      <c r="H19" s="142" t="s">
        <v>4891</v>
      </c>
      <c r="I19" s="46" t="s">
        <v>3122</v>
      </c>
      <c r="J19" s="46"/>
      <c r="K19" s="143">
        <v>3</v>
      </c>
      <c r="L19" s="143">
        <v>2</v>
      </c>
      <c r="M19" s="143">
        <v>2</v>
      </c>
      <c r="N19" s="143">
        <v>2</v>
      </c>
      <c r="O19" s="143">
        <v>3</v>
      </c>
      <c r="P19" s="143" t="s">
        <v>62</v>
      </c>
      <c r="Q19" s="175"/>
      <c r="R19" s="175"/>
      <c r="S19" s="175"/>
      <c r="T19" s="175"/>
      <c r="U19" s="175"/>
      <c r="V19" s="175"/>
      <c r="W19" s="143">
        <v>3</v>
      </c>
      <c r="X19" s="143">
        <v>2.5</v>
      </c>
      <c r="Y19" s="143">
        <v>2</v>
      </c>
      <c r="Z19" s="143">
        <v>2.5</v>
      </c>
      <c r="AA19" s="143">
        <v>3</v>
      </c>
      <c r="AB19" s="143" t="s">
        <v>5916</v>
      </c>
      <c r="AC19" s="77">
        <v>3</v>
      </c>
      <c r="AD19" s="77">
        <v>2.5</v>
      </c>
      <c r="AE19" s="77">
        <v>2</v>
      </c>
      <c r="AF19" s="77">
        <v>2.5</v>
      </c>
      <c r="AG19" s="77">
        <v>3</v>
      </c>
      <c r="AH19" s="150" t="s">
        <v>171</v>
      </c>
    </row>
    <row r="20" spans="1:34">
      <c r="A20" s="146">
        <v>156</v>
      </c>
      <c r="B20" s="147" t="s">
        <v>5727</v>
      </c>
      <c r="C20" s="148">
        <v>3</v>
      </c>
      <c r="D20" s="148">
        <v>2</v>
      </c>
      <c r="E20" s="148">
        <v>2</v>
      </c>
      <c r="F20" s="148">
        <v>2</v>
      </c>
      <c r="G20" s="148">
        <v>3</v>
      </c>
      <c r="H20" s="142" t="s">
        <v>4891</v>
      </c>
      <c r="I20" s="46" t="s">
        <v>3122</v>
      </c>
      <c r="J20" s="46"/>
      <c r="K20" s="143">
        <v>3</v>
      </c>
      <c r="L20" s="143">
        <v>2</v>
      </c>
      <c r="M20" s="143">
        <v>2</v>
      </c>
      <c r="N20" s="143">
        <v>1.5</v>
      </c>
      <c r="O20" s="143">
        <v>3</v>
      </c>
      <c r="P20" s="143" t="s">
        <v>62</v>
      </c>
      <c r="Q20" s="175"/>
      <c r="R20" s="175"/>
      <c r="S20" s="175"/>
      <c r="T20" s="175"/>
      <c r="U20" s="175"/>
      <c r="V20" s="175"/>
      <c r="W20" s="143">
        <v>3</v>
      </c>
      <c r="X20" s="143">
        <v>2.5</v>
      </c>
      <c r="Y20" s="143">
        <v>2</v>
      </c>
      <c r="Z20" s="143">
        <v>2.5</v>
      </c>
      <c r="AA20" s="143">
        <v>3</v>
      </c>
      <c r="AB20" s="143" t="s">
        <v>5916</v>
      </c>
      <c r="AC20" s="77">
        <v>3</v>
      </c>
      <c r="AD20" s="77">
        <v>2</v>
      </c>
      <c r="AE20" s="77">
        <v>2</v>
      </c>
      <c r="AF20" s="77">
        <v>2</v>
      </c>
      <c r="AG20" s="77">
        <v>3</v>
      </c>
      <c r="AH20" s="150" t="s">
        <v>62</v>
      </c>
    </row>
    <row r="21" spans="1:34">
      <c r="A21" s="146">
        <v>150</v>
      </c>
      <c r="B21" s="147" t="s">
        <v>5311</v>
      </c>
      <c r="C21" s="148">
        <v>3</v>
      </c>
      <c r="D21" s="148">
        <v>2</v>
      </c>
      <c r="E21" s="148">
        <v>2</v>
      </c>
      <c r="F21" s="148">
        <v>2</v>
      </c>
      <c r="G21" s="148">
        <v>2.5</v>
      </c>
      <c r="H21" s="142" t="s">
        <v>4891</v>
      </c>
      <c r="I21" s="46" t="s">
        <v>3122</v>
      </c>
      <c r="J21" s="46"/>
      <c r="K21" s="143">
        <v>3</v>
      </c>
      <c r="L21" s="143">
        <v>2</v>
      </c>
      <c r="M21" s="143">
        <v>2.5</v>
      </c>
      <c r="N21" s="143">
        <v>2</v>
      </c>
      <c r="O21" s="143">
        <v>3</v>
      </c>
      <c r="P21" s="143" t="s">
        <v>62</v>
      </c>
      <c r="Q21" s="175"/>
      <c r="R21" s="175"/>
      <c r="S21" s="175"/>
      <c r="T21" s="175"/>
      <c r="U21" s="175"/>
      <c r="V21" s="175"/>
      <c r="W21" s="143">
        <v>3</v>
      </c>
      <c r="X21" s="143">
        <v>2</v>
      </c>
      <c r="Y21" s="143">
        <v>2</v>
      </c>
      <c r="Z21" s="143">
        <v>1.5</v>
      </c>
      <c r="AA21" s="143">
        <v>3</v>
      </c>
      <c r="AB21" s="143" t="s">
        <v>5917</v>
      </c>
      <c r="AC21" s="77">
        <v>3</v>
      </c>
      <c r="AD21" s="77">
        <v>2</v>
      </c>
      <c r="AE21" s="77">
        <v>2</v>
      </c>
      <c r="AF21" s="77">
        <v>2</v>
      </c>
      <c r="AG21" s="77">
        <v>2.5</v>
      </c>
      <c r="AH21" s="150" t="s">
        <v>3321</v>
      </c>
    </row>
    <row r="22" spans="1:34">
      <c r="A22" s="146" t="s">
        <v>5884</v>
      </c>
      <c r="B22" s="147" t="s">
        <v>5774</v>
      </c>
      <c r="C22" s="148">
        <v>3</v>
      </c>
      <c r="D22" s="148">
        <v>2</v>
      </c>
      <c r="E22" s="148">
        <v>2.5</v>
      </c>
      <c r="F22" s="148">
        <v>2.5</v>
      </c>
      <c r="G22" s="148">
        <v>3</v>
      </c>
      <c r="H22" s="142" t="s">
        <v>4891</v>
      </c>
      <c r="I22" s="46" t="s">
        <v>3122</v>
      </c>
      <c r="J22" s="46"/>
      <c r="K22" s="143">
        <v>3</v>
      </c>
      <c r="L22" s="143">
        <v>2</v>
      </c>
      <c r="M22" s="143">
        <v>3</v>
      </c>
      <c r="N22" s="143">
        <v>2.5</v>
      </c>
      <c r="O22" s="143">
        <v>3</v>
      </c>
      <c r="P22" s="143" t="s">
        <v>5915</v>
      </c>
      <c r="Q22" s="175"/>
      <c r="R22" s="175"/>
      <c r="S22" s="175"/>
      <c r="T22" s="175"/>
      <c r="U22" s="175"/>
      <c r="V22" s="175"/>
      <c r="W22" s="143">
        <v>3</v>
      </c>
      <c r="X22" s="143">
        <v>2.5</v>
      </c>
      <c r="Y22" s="143">
        <v>3</v>
      </c>
      <c r="Z22" s="143">
        <v>2.5</v>
      </c>
      <c r="AA22" s="143">
        <v>3</v>
      </c>
      <c r="AB22" s="143" t="s">
        <v>5918</v>
      </c>
      <c r="AC22" s="77">
        <v>3</v>
      </c>
      <c r="AD22" s="77">
        <v>3</v>
      </c>
      <c r="AE22" s="77">
        <v>3</v>
      </c>
      <c r="AF22" s="77">
        <v>2.5</v>
      </c>
      <c r="AG22" s="77">
        <v>3</v>
      </c>
      <c r="AH22" s="150" t="s">
        <v>60</v>
      </c>
    </row>
    <row r="23" spans="1:34">
      <c r="A23" s="151" t="s">
        <v>5914</v>
      </c>
      <c r="B23" s="152" t="s">
        <v>5889</v>
      </c>
      <c r="C23" s="153">
        <v>3</v>
      </c>
      <c r="D23" s="153">
        <v>2</v>
      </c>
      <c r="E23" s="153">
        <v>2</v>
      </c>
      <c r="F23" s="153">
        <v>2</v>
      </c>
      <c r="G23" s="153">
        <v>3</v>
      </c>
      <c r="H23" s="142" t="s">
        <v>5867</v>
      </c>
      <c r="I23" s="46" t="s">
        <v>3125</v>
      </c>
      <c r="J23" s="46"/>
      <c r="K23" s="143">
        <v>3</v>
      </c>
      <c r="L23" s="143">
        <v>2.5</v>
      </c>
      <c r="M23" s="143">
        <v>2</v>
      </c>
      <c r="N23" s="143">
        <v>1.5</v>
      </c>
      <c r="O23" s="143">
        <v>3</v>
      </c>
      <c r="P23" s="143" t="s">
        <v>5917</v>
      </c>
      <c r="Q23" s="143">
        <v>3</v>
      </c>
      <c r="R23" s="143">
        <v>2.5</v>
      </c>
      <c r="S23" s="143">
        <v>2</v>
      </c>
      <c r="T23" s="143">
        <v>2</v>
      </c>
      <c r="U23" s="143">
        <v>3</v>
      </c>
      <c r="V23" s="143" t="s">
        <v>5922</v>
      </c>
      <c r="W23" s="143">
        <v>3</v>
      </c>
      <c r="X23" s="143">
        <v>2</v>
      </c>
      <c r="Y23" s="143">
        <v>2</v>
      </c>
      <c r="Z23" s="143">
        <v>2.5</v>
      </c>
      <c r="AA23" s="143">
        <v>3</v>
      </c>
      <c r="AB23" s="143" t="s">
        <v>5872</v>
      </c>
      <c r="AC23" s="77">
        <v>3</v>
      </c>
      <c r="AD23" s="77">
        <v>2.5</v>
      </c>
      <c r="AE23" s="77">
        <v>2</v>
      </c>
      <c r="AF23" s="77">
        <v>2</v>
      </c>
      <c r="AG23" s="77">
        <v>3</v>
      </c>
      <c r="AH23" s="150" t="s">
        <v>4970</v>
      </c>
    </row>
    <row r="24" spans="1:34">
      <c r="A24" s="146" t="s">
        <v>5914</v>
      </c>
      <c r="B24" s="147" t="s">
        <v>5892</v>
      </c>
      <c r="C24" s="153">
        <v>3</v>
      </c>
      <c r="D24" s="153">
        <v>2</v>
      </c>
      <c r="E24" s="153">
        <v>1.5</v>
      </c>
      <c r="F24" s="153">
        <v>2</v>
      </c>
      <c r="G24" s="153">
        <v>3</v>
      </c>
      <c r="H24" s="142" t="s">
        <v>5867</v>
      </c>
      <c r="I24" s="46" t="s">
        <v>3125</v>
      </c>
      <c r="J24" s="46"/>
      <c r="K24" s="143">
        <v>3</v>
      </c>
      <c r="L24" s="143">
        <v>2</v>
      </c>
      <c r="M24" s="143">
        <v>2</v>
      </c>
      <c r="N24" s="143">
        <v>2.5</v>
      </c>
      <c r="O24" s="143">
        <v>3</v>
      </c>
      <c r="P24" s="143" t="s">
        <v>5922</v>
      </c>
      <c r="Q24" s="143">
        <v>3</v>
      </c>
      <c r="R24" s="143">
        <v>2</v>
      </c>
      <c r="S24" s="143">
        <v>2</v>
      </c>
      <c r="T24" s="143">
        <v>2</v>
      </c>
      <c r="U24" s="143">
        <v>3</v>
      </c>
      <c r="V24" s="143" t="s">
        <v>5917</v>
      </c>
      <c r="W24" s="143">
        <v>3</v>
      </c>
      <c r="X24" s="143">
        <v>2.5</v>
      </c>
      <c r="Y24" s="143">
        <v>2</v>
      </c>
      <c r="Z24" s="143">
        <v>2.5</v>
      </c>
      <c r="AA24" s="143">
        <v>3</v>
      </c>
      <c r="AB24" s="143" t="s">
        <v>5872</v>
      </c>
      <c r="AC24" s="77">
        <v>3</v>
      </c>
      <c r="AD24" s="77">
        <v>2.5</v>
      </c>
      <c r="AE24" s="77">
        <v>2</v>
      </c>
      <c r="AF24" s="77">
        <v>2</v>
      </c>
      <c r="AG24" s="77">
        <v>3</v>
      </c>
      <c r="AH24" s="150" t="s">
        <v>3244</v>
      </c>
    </row>
    <row r="25" spans="1:34">
      <c r="A25" s="146" t="s">
        <v>5914</v>
      </c>
      <c r="B25" s="147" t="s">
        <v>5894</v>
      </c>
      <c r="C25" s="148">
        <v>3</v>
      </c>
      <c r="D25" s="148">
        <v>2</v>
      </c>
      <c r="E25" s="148">
        <v>2</v>
      </c>
      <c r="F25" s="148">
        <v>2</v>
      </c>
      <c r="G25" s="148">
        <v>3</v>
      </c>
      <c r="H25" s="142" t="s">
        <v>5867</v>
      </c>
      <c r="I25" s="46" t="s">
        <v>3125</v>
      </c>
      <c r="J25" s="46"/>
      <c r="K25" s="143">
        <v>3</v>
      </c>
      <c r="L25" s="143">
        <v>2</v>
      </c>
      <c r="M25" s="143">
        <v>2</v>
      </c>
      <c r="N25" s="143">
        <v>1.5</v>
      </c>
      <c r="O25" s="143">
        <v>3</v>
      </c>
      <c r="P25" s="143" t="s">
        <v>3818</v>
      </c>
      <c r="Q25" s="143">
        <v>3</v>
      </c>
      <c r="R25" s="143">
        <v>2</v>
      </c>
      <c r="S25" s="143">
        <v>1.5</v>
      </c>
      <c r="T25" s="143">
        <v>1.5</v>
      </c>
      <c r="U25" s="143">
        <v>3</v>
      </c>
      <c r="V25" s="143" t="s">
        <v>3818</v>
      </c>
      <c r="W25" s="143">
        <v>3</v>
      </c>
      <c r="X25" s="143">
        <v>2</v>
      </c>
      <c r="Y25" s="143">
        <v>2</v>
      </c>
      <c r="Z25" s="143">
        <v>2</v>
      </c>
      <c r="AA25" s="143">
        <v>3</v>
      </c>
      <c r="AB25" s="143" t="s">
        <v>5877</v>
      </c>
      <c r="AC25" s="77">
        <v>3</v>
      </c>
      <c r="AD25" s="77">
        <v>2</v>
      </c>
      <c r="AE25" s="77">
        <v>2</v>
      </c>
      <c r="AF25" s="77">
        <v>2</v>
      </c>
      <c r="AG25" s="77">
        <v>3</v>
      </c>
      <c r="AH25" s="150" t="s">
        <v>3321</v>
      </c>
    </row>
    <row r="26" spans="1:34">
      <c r="A26" s="146" t="s">
        <v>5914</v>
      </c>
      <c r="B26" s="147" t="s">
        <v>5898</v>
      </c>
      <c r="C26" s="44"/>
      <c r="D26" s="44"/>
      <c r="E26" s="44"/>
      <c r="F26" s="44"/>
      <c r="G26" s="44"/>
      <c r="H26" s="142" t="s">
        <v>5867</v>
      </c>
      <c r="I26" s="155" t="s">
        <v>5920</v>
      </c>
      <c r="J26" s="46"/>
      <c r="K26" s="143">
        <v>3</v>
      </c>
      <c r="L26" s="143">
        <v>1.5</v>
      </c>
      <c r="M26" s="143">
        <v>2</v>
      </c>
      <c r="N26" s="143">
        <v>2</v>
      </c>
      <c r="O26" s="143">
        <v>3</v>
      </c>
      <c r="P26" s="143" t="s">
        <v>3818</v>
      </c>
      <c r="Q26" s="143">
        <v>3</v>
      </c>
      <c r="R26" s="143">
        <v>2</v>
      </c>
      <c r="S26" s="143">
        <v>2</v>
      </c>
      <c r="T26" s="143">
        <v>2</v>
      </c>
      <c r="U26" s="143">
        <v>3</v>
      </c>
      <c r="V26" s="143" t="s">
        <v>5917</v>
      </c>
      <c r="W26" s="143">
        <v>3</v>
      </c>
      <c r="X26" s="143">
        <v>2</v>
      </c>
      <c r="Y26" s="143">
        <v>2.5</v>
      </c>
      <c r="Z26" s="143">
        <v>2.5</v>
      </c>
      <c r="AA26" s="143">
        <v>3</v>
      </c>
      <c r="AB26" s="143" t="s">
        <v>5872</v>
      </c>
      <c r="AC26" s="77">
        <v>3</v>
      </c>
      <c r="AD26" s="77">
        <v>2</v>
      </c>
      <c r="AE26" s="77">
        <v>2.5</v>
      </c>
      <c r="AF26" s="77">
        <v>2.5</v>
      </c>
      <c r="AG26" s="77">
        <v>3</v>
      </c>
      <c r="AH26" s="150" t="s">
        <v>3244</v>
      </c>
    </row>
    <row r="27" spans="1:34">
      <c r="A27" s="146" t="s">
        <v>5914</v>
      </c>
      <c r="B27" s="147" t="s">
        <v>5900</v>
      </c>
      <c r="C27" s="148">
        <v>3</v>
      </c>
      <c r="D27" s="148">
        <v>2</v>
      </c>
      <c r="E27" s="148">
        <v>2</v>
      </c>
      <c r="F27" s="148">
        <v>1.5</v>
      </c>
      <c r="G27" s="148">
        <v>3</v>
      </c>
      <c r="H27" s="142" t="s">
        <v>5867</v>
      </c>
      <c r="I27" s="155" t="s">
        <v>3122</v>
      </c>
      <c r="J27" s="46"/>
      <c r="K27" s="143">
        <v>3</v>
      </c>
      <c r="L27" s="143">
        <v>2.5</v>
      </c>
      <c r="M27" s="143">
        <v>1</v>
      </c>
      <c r="N27" s="143">
        <v>1.5</v>
      </c>
      <c r="O27" s="143">
        <v>3</v>
      </c>
      <c r="P27" s="143" t="s">
        <v>3818</v>
      </c>
      <c r="Q27" s="143">
        <v>3</v>
      </c>
      <c r="R27" s="143">
        <v>2.5</v>
      </c>
      <c r="S27" s="143">
        <v>1.5</v>
      </c>
      <c r="T27" s="143">
        <v>1.5</v>
      </c>
      <c r="U27" s="143">
        <v>3</v>
      </c>
      <c r="V27" s="143" t="s">
        <v>3818</v>
      </c>
      <c r="W27" s="143">
        <v>3</v>
      </c>
      <c r="X27" s="143">
        <v>3</v>
      </c>
      <c r="Y27" s="143">
        <v>2</v>
      </c>
      <c r="Z27" s="143">
        <v>1.5</v>
      </c>
      <c r="AA27" s="143">
        <v>3</v>
      </c>
      <c r="AB27" s="143" t="s">
        <v>5877</v>
      </c>
      <c r="AC27" s="77">
        <v>3</v>
      </c>
      <c r="AD27" s="77">
        <v>2.5</v>
      </c>
      <c r="AE27" s="77">
        <v>2</v>
      </c>
      <c r="AF27" s="77">
        <v>1.5</v>
      </c>
      <c r="AG27" s="77">
        <v>3</v>
      </c>
      <c r="AH27" s="150" t="s">
        <v>3818</v>
      </c>
    </row>
    <row r="28" spans="1:34">
      <c r="A28" s="146" t="s">
        <v>5914</v>
      </c>
      <c r="B28" s="147" t="s">
        <v>5904</v>
      </c>
      <c r="C28" s="153">
        <v>3</v>
      </c>
      <c r="D28" s="153">
        <v>2</v>
      </c>
      <c r="E28" s="153">
        <v>2</v>
      </c>
      <c r="F28" s="153">
        <v>2</v>
      </c>
      <c r="G28" s="153">
        <v>3</v>
      </c>
      <c r="H28" s="142" t="s">
        <v>5867</v>
      </c>
      <c r="I28" s="155" t="s">
        <v>3122</v>
      </c>
      <c r="J28" s="46"/>
      <c r="K28" s="143">
        <v>3</v>
      </c>
      <c r="L28" s="143">
        <v>1.5</v>
      </c>
      <c r="M28" s="143">
        <v>1.5</v>
      </c>
      <c r="N28" s="143">
        <v>1.5</v>
      </c>
      <c r="O28" s="143">
        <v>3</v>
      </c>
      <c r="P28" s="143" t="s">
        <v>3818</v>
      </c>
      <c r="Q28" s="143">
        <v>3</v>
      </c>
      <c r="R28" s="143">
        <v>1.5</v>
      </c>
      <c r="S28" s="143">
        <v>1.5</v>
      </c>
      <c r="T28" s="143">
        <v>1.5</v>
      </c>
      <c r="U28" s="143">
        <v>3</v>
      </c>
      <c r="V28" s="143" t="s">
        <v>3818</v>
      </c>
      <c r="W28" s="143">
        <v>3</v>
      </c>
      <c r="X28" s="143">
        <v>2</v>
      </c>
      <c r="Y28" s="143">
        <v>2</v>
      </c>
      <c r="Z28" s="143">
        <v>1.5</v>
      </c>
      <c r="AA28" s="143">
        <v>3</v>
      </c>
      <c r="AB28" s="143" t="s">
        <v>5877</v>
      </c>
      <c r="AC28" s="77">
        <v>3</v>
      </c>
      <c r="AD28" s="77">
        <v>1.5</v>
      </c>
      <c r="AE28" s="77">
        <v>1.5</v>
      </c>
      <c r="AF28" s="77">
        <v>1.5</v>
      </c>
      <c r="AG28" s="77">
        <v>3</v>
      </c>
      <c r="AH28" s="150" t="s">
        <v>3818</v>
      </c>
    </row>
    <row r="29" spans="1:34">
      <c r="A29" s="146" t="s">
        <v>5914</v>
      </c>
      <c r="B29" s="147" t="s">
        <v>5906</v>
      </c>
      <c r="C29" s="153">
        <v>3</v>
      </c>
      <c r="D29" s="153">
        <v>2</v>
      </c>
      <c r="E29" s="153">
        <v>2</v>
      </c>
      <c r="F29" s="153">
        <v>2</v>
      </c>
      <c r="G29" s="153">
        <v>3</v>
      </c>
      <c r="H29" s="142" t="s">
        <v>5867</v>
      </c>
      <c r="I29" s="46" t="s">
        <v>3125</v>
      </c>
      <c r="J29" s="46"/>
      <c r="K29" s="143">
        <v>3</v>
      </c>
      <c r="L29" s="143">
        <v>2.5</v>
      </c>
      <c r="M29" s="143">
        <v>1.5</v>
      </c>
      <c r="N29" s="143">
        <v>2</v>
      </c>
      <c r="O29" s="143">
        <v>3</v>
      </c>
      <c r="P29" s="143" t="s">
        <v>5917</v>
      </c>
      <c r="Q29" s="143">
        <v>3</v>
      </c>
      <c r="R29" s="143">
        <v>2.5</v>
      </c>
      <c r="S29" s="143">
        <v>2</v>
      </c>
      <c r="T29" s="143">
        <v>2</v>
      </c>
      <c r="U29" s="143">
        <v>3</v>
      </c>
      <c r="V29" s="143" t="s">
        <v>5922</v>
      </c>
      <c r="W29" s="143">
        <v>3</v>
      </c>
      <c r="X29" s="143">
        <v>2</v>
      </c>
      <c r="Y29" s="143">
        <v>2</v>
      </c>
      <c r="Z29" s="143">
        <v>2.5</v>
      </c>
      <c r="AA29" s="143">
        <v>3</v>
      </c>
      <c r="AB29" s="143" t="s">
        <v>5872</v>
      </c>
      <c r="AC29" s="77">
        <v>3</v>
      </c>
      <c r="AD29" s="77">
        <v>2.5</v>
      </c>
      <c r="AE29" s="77">
        <v>2</v>
      </c>
      <c r="AF29" s="77">
        <v>2.5</v>
      </c>
      <c r="AG29" s="77">
        <v>3</v>
      </c>
      <c r="AH29" s="150" t="s">
        <v>3244</v>
      </c>
    </row>
    <row r="30" spans="1:34">
      <c r="A30" s="146" t="s">
        <v>5914</v>
      </c>
      <c r="B30" s="147" t="s">
        <v>5908</v>
      </c>
      <c r="C30" s="148">
        <v>3</v>
      </c>
      <c r="D30" s="148">
        <v>2.5</v>
      </c>
      <c r="E30" s="148">
        <v>2</v>
      </c>
      <c r="F30" s="148">
        <v>2</v>
      </c>
      <c r="G30" s="148">
        <v>3</v>
      </c>
      <c r="H30" s="142" t="s">
        <v>5867</v>
      </c>
      <c r="I30" s="154" t="s">
        <v>5868</v>
      </c>
      <c r="J30" s="46" t="s">
        <v>5878</v>
      </c>
      <c r="K30" s="143">
        <v>3</v>
      </c>
      <c r="L30" s="143">
        <v>2</v>
      </c>
      <c r="M30" s="143">
        <v>2</v>
      </c>
      <c r="N30" s="143">
        <v>2</v>
      </c>
      <c r="O30" s="143">
        <v>3</v>
      </c>
      <c r="P30" s="143" t="s">
        <v>5917</v>
      </c>
      <c r="Q30" s="143">
        <v>3</v>
      </c>
      <c r="R30" s="143">
        <v>2</v>
      </c>
      <c r="S30" s="143">
        <v>2</v>
      </c>
      <c r="T30" s="143">
        <v>2</v>
      </c>
      <c r="U30" s="143">
        <v>3</v>
      </c>
      <c r="V30" s="143" t="s">
        <v>5917</v>
      </c>
      <c r="W30" s="143">
        <v>3</v>
      </c>
      <c r="X30" s="143">
        <v>2</v>
      </c>
      <c r="Y30" s="143">
        <v>2.5</v>
      </c>
      <c r="Z30" s="143">
        <v>2.5</v>
      </c>
      <c r="AA30" s="143">
        <v>3</v>
      </c>
      <c r="AB30" s="143" t="s">
        <v>5872</v>
      </c>
      <c r="AC30" s="77">
        <v>3</v>
      </c>
      <c r="AD30" s="77">
        <v>2.5</v>
      </c>
      <c r="AE30" s="77">
        <v>2</v>
      </c>
      <c r="AF30" s="77">
        <v>2</v>
      </c>
      <c r="AG30" s="77">
        <v>2.5</v>
      </c>
      <c r="AH30" s="150" t="s">
        <v>4970</v>
      </c>
    </row>
    <row r="31" spans="1:34">
      <c r="A31" s="146" t="s">
        <v>5914</v>
      </c>
      <c r="B31" s="147" t="s">
        <v>5910</v>
      </c>
      <c r="C31" s="148">
        <v>3</v>
      </c>
      <c r="D31" s="148">
        <v>2</v>
      </c>
      <c r="E31" s="148">
        <v>2</v>
      </c>
      <c r="F31" s="148">
        <v>1.5</v>
      </c>
      <c r="G31" s="148">
        <v>3</v>
      </c>
      <c r="H31" s="142" t="s">
        <v>5867</v>
      </c>
      <c r="I31" s="155" t="s">
        <v>3122</v>
      </c>
      <c r="J31" s="46"/>
      <c r="K31" s="143">
        <v>3</v>
      </c>
      <c r="L31" s="143">
        <v>2.5</v>
      </c>
      <c r="M31" s="143">
        <v>1.5</v>
      </c>
      <c r="N31" s="143">
        <v>1.5</v>
      </c>
      <c r="O31" s="143">
        <v>3</v>
      </c>
      <c r="P31" s="143" t="s">
        <v>3818</v>
      </c>
      <c r="Q31" s="143">
        <v>3</v>
      </c>
      <c r="R31" s="143">
        <v>2.5</v>
      </c>
      <c r="S31" s="143">
        <v>1.5</v>
      </c>
      <c r="T31" s="143">
        <v>1</v>
      </c>
      <c r="U31" s="143">
        <v>3</v>
      </c>
      <c r="V31" s="143" t="s">
        <v>3818</v>
      </c>
      <c r="W31" s="143">
        <v>3</v>
      </c>
      <c r="X31" s="143">
        <v>2.5</v>
      </c>
      <c r="Y31" s="143">
        <v>2</v>
      </c>
      <c r="Z31" s="143">
        <v>2</v>
      </c>
      <c r="AA31" s="143">
        <v>3</v>
      </c>
      <c r="AB31" s="143" t="s">
        <v>5877</v>
      </c>
      <c r="AC31" s="77">
        <v>3</v>
      </c>
      <c r="AD31" s="77">
        <v>2.5</v>
      </c>
      <c r="AE31" s="77">
        <v>2</v>
      </c>
      <c r="AF31" s="77">
        <v>2</v>
      </c>
      <c r="AG31" s="77">
        <v>3</v>
      </c>
      <c r="AH31" s="150" t="s">
        <v>3321</v>
      </c>
    </row>
    <row r="32" spans="1:34">
      <c r="A32" s="146" t="s">
        <v>5914</v>
      </c>
      <c r="B32" s="147" t="s">
        <v>5912</v>
      </c>
      <c r="C32" s="148">
        <v>3</v>
      </c>
      <c r="D32" s="148">
        <v>2</v>
      </c>
      <c r="E32" s="148">
        <v>2</v>
      </c>
      <c r="F32" s="148">
        <v>2</v>
      </c>
      <c r="G32" s="148">
        <v>3</v>
      </c>
      <c r="H32" s="142" t="s">
        <v>5867</v>
      </c>
      <c r="I32" s="155" t="s">
        <v>3125</v>
      </c>
      <c r="J32" s="46"/>
      <c r="K32" s="143">
        <v>3</v>
      </c>
      <c r="L32" s="143">
        <v>2</v>
      </c>
      <c r="M32" s="143">
        <v>1.5</v>
      </c>
      <c r="N32" s="143">
        <v>2</v>
      </c>
      <c r="O32" s="143">
        <v>3</v>
      </c>
      <c r="P32" s="143" t="s">
        <v>3818</v>
      </c>
      <c r="Q32" s="143">
        <v>3</v>
      </c>
      <c r="R32" s="143">
        <v>2</v>
      </c>
      <c r="S32" s="143">
        <v>2</v>
      </c>
      <c r="T32" s="143">
        <v>2</v>
      </c>
      <c r="U32" s="143">
        <v>3</v>
      </c>
      <c r="V32" s="143" t="s">
        <v>5917</v>
      </c>
      <c r="W32" s="143">
        <v>3</v>
      </c>
      <c r="X32" s="143">
        <v>2</v>
      </c>
      <c r="Y32" s="143">
        <v>2</v>
      </c>
      <c r="Z32" s="143">
        <v>2.5</v>
      </c>
      <c r="AA32" s="143">
        <v>3</v>
      </c>
      <c r="AB32" s="143" t="s">
        <v>5874</v>
      </c>
      <c r="AC32" s="77">
        <v>3</v>
      </c>
      <c r="AD32" s="77">
        <v>2.5</v>
      </c>
      <c r="AE32" s="77">
        <v>1.5</v>
      </c>
      <c r="AF32" s="77">
        <v>2</v>
      </c>
      <c r="AG32" s="77">
        <v>3</v>
      </c>
      <c r="AH32" s="150" t="s">
        <v>62</v>
      </c>
    </row>
    <row r="33" spans="1:34">
      <c r="A33" s="146">
        <v>160</v>
      </c>
      <c r="B33" s="147" t="s">
        <v>5925</v>
      </c>
      <c r="C33" s="148">
        <v>3</v>
      </c>
      <c r="D33" s="148">
        <v>2.5</v>
      </c>
      <c r="E33" s="148">
        <v>2</v>
      </c>
      <c r="F33" s="148">
        <v>2</v>
      </c>
      <c r="G33" s="148">
        <v>3</v>
      </c>
      <c r="H33" s="148" t="s">
        <v>5869</v>
      </c>
      <c r="I33" s="148" t="s">
        <v>3122</v>
      </c>
      <c r="J33" s="46" t="s">
        <v>5870</v>
      </c>
      <c r="K33" s="143">
        <v>3</v>
      </c>
      <c r="L33" s="143">
        <v>2</v>
      </c>
      <c r="M33" s="143">
        <v>2</v>
      </c>
      <c r="N33" s="143">
        <v>2</v>
      </c>
      <c r="O33" s="143">
        <v>3</v>
      </c>
      <c r="P33" s="143" t="s">
        <v>62</v>
      </c>
      <c r="Q33" s="77">
        <v>3</v>
      </c>
      <c r="R33" s="77">
        <v>2.5</v>
      </c>
      <c r="S33" s="77">
        <v>2</v>
      </c>
      <c r="T33" s="77">
        <v>2</v>
      </c>
      <c r="U33" s="77">
        <v>3</v>
      </c>
      <c r="V33" s="143" t="s">
        <v>5872</v>
      </c>
      <c r="W33" s="143">
        <v>3</v>
      </c>
      <c r="X33" s="143">
        <v>2.5</v>
      </c>
      <c r="Y33" s="143">
        <v>2</v>
      </c>
      <c r="Z33" s="143">
        <v>2.5</v>
      </c>
      <c r="AA33" s="143">
        <v>3</v>
      </c>
      <c r="AB33" s="143" t="s">
        <v>5872</v>
      </c>
      <c r="AC33" s="77">
        <v>3</v>
      </c>
      <c r="AD33" s="77">
        <v>2.5</v>
      </c>
      <c r="AE33" s="77">
        <v>2</v>
      </c>
      <c r="AF33" s="77">
        <v>2.5</v>
      </c>
      <c r="AG33" s="77">
        <v>3</v>
      </c>
      <c r="AH33" s="150" t="s">
        <v>4891</v>
      </c>
    </row>
    <row r="34" spans="1:34">
      <c r="A34" s="146">
        <v>160</v>
      </c>
      <c r="B34" s="147" t="s">
        <v>5926</v>
      </c>
      <c r="C34" s="148">
        <v>3</v>
      </c>
      <c r="D34" s="148">
        <v>3</v>
      </c>
      <c r="E34" s="148">
        <v>2</v>
      </c>
      <c r="F34" s="148">
        <v>2</v>
      </c>
      <c r="G34" s="148">
        <v>3</v>
      </c>
      <c r="H34" s="148" t="s">
        <v>293</v>
      </c>
      <c r="I34" s="148" t="s">
        <v>3125</v>
      </c>
      <c r="J34" s="46"/>
      <c r="K34" s="143">
        <v>3</v>
      </c>
      <c r="L34" s="143">
        <v>2.5</v>
      </c>
      <c r="M34" s="143">
        <v>2</v>
      </c>
      <c r="N34" s="143">
        <v>2</v>
      </c>
      <c r="O34" s="143">
        <v>3</v>
      </c>
      <c r="P34" s="143" t="s">
        <v>4891</v>
      </c>
      <c r="Q34" s="77">
        <v>3</v>
      </c>
      <c r="R34" s="77">
        <v>2</v>
      </c>
      <c r="S34" s="77">
        <v>2</v>
      </c>
      <c r="T34" s="77">
        <v>2</v>
      </c>
      <c r="U34" s="77">
        <v>3</v>
      </c>
      <c r="V34" s="143" t="s">
        <v>5874</v>
      </c>
      <c r="W34" s="143">
        <v>3</v>
      </c>
      <c r="X34" s="143">
        <v>2.5</v>
      </c>
      <c r="Y34" s="143">
        <v>2.5</v>
      </c>
      <c r="Z34" s="143">
        <v>2.5</v>
      </c>
      <c r="AA34" s="143">
        <v>3</v>
      </c>
      <c r="AB34" s="143" t="s">
        <v>5873</v>
      </c>
      <c r="AC34" s="77">
        <v>3</v>
      </c>
      <c r="AD34" s="77">
        <v>2.5</v>
      </c>
      <c r="AE34" s="77">
        <v>2</v>
      </c>
      <c r="AF34" s="77">
        <v>2</v>
      </c>
      <c r="AG34" s="77">
        <v>3</v>
      </c>
      <c r="AH34" s="150" t="s">
        <v>4891</v>
      </c>
    </row>
    <row r="35" spans="1:34">
      <c r="A35" s="146">
        <v>160</v>
      </c>
      <c r="B35" s="147" t="s">
        <v>5927</v>
      </c>
      <c r="C35" s="156">
        <v>3</v>
      </c>
      <c r="D35" s="148">
        <v>2</v>
      </c>
      <c r="E35" s="148">
        <v>2.5</v>
      </c>
      <c r="F35" s="148">
        <v>2</v>
      </c>
      <c r="G35" s="148">
        <v>3</v>
      </c>
      <c r="H35" s="148" t="s">
        <v>293</v>
      </c>
      <c r="I35" s="148" t="s">
        <v>3125</v>
      </c>
      <c r="J35" s="46"/>
      <c r="K35" s="143">
        <v>3</v>
      </c>
      <c r="L35" s="143">
        <v>2.5</v>
      </c>
      <c r="M35" s="143">
        <v>2.5</v>
      </c>
      <c r="N35" s="143">
        <v>2</v>
      </c>
      <c r="O35" s="143">
        <v>3</v>
      </c>
      <c r="P35" s="143" t="s">
        <v>4891</v>
      </c>
      <c r="Q35" s="77">
        <v>3</v>
      </c>
      <c r="R35" s="77">
        <v>2.5</v>
      </c>
      <c r="S35" s="77">
        <v>2.5</v>
      </c>
      <c r="T35" s="77">
        <v>2</v>
      </c>
      <c r="U35" s="77">
        <v>3</v>
      </c>
      <c r="V35" s="143" t="s">
        <v>5873</v>
      </c>
      <c r="W35" s="143">
        <v>3</v>
      </c>
      <c r="X35" s="143">
        <v>3</v>
      </c>
      <c r="Y35" s="143">
        <v>2.5</v>
      </c>
      <c r="Z35" s="143">
        <v>2</v>
      </c>
      <c r="AA35" s="143">
        <v>3</v>
      </c>
      <c r="AB35" s="143" t="s">
        <v>5875</v>
      </c>
      <c r="AC35" s="77">
        <v>3</v>
      </c>
      <c r="AD35" s="77">
        <v>2.5</v>
      </c>
      <c r="AE35" s="77">
        <v>2.5</v>
      </c>
      <c r="AF35" s="77">
        <v>2</v>
      </c>
      <c r="AG35" s="77">
        <v>3</v>
      </c>
      <c r="AH35" s="150" t="s">
        <v>4891</v>
      </c>
    </row>
    <row r="36" spans="1:34">
      <c r="A36" s="146">
        <v>160</v>
      </c>
      <c r="B36" s="147" t="s">
        <v>5928</v>
      </c>
      <c r="C36" s="148">
        <v>3</v>
      </c>
      <c r="D36" s="148">
        <v>3</v>
      </c>
      <c r="E36" s="148">
        <v>2</v>
      </c>
      <c r="F36" s="148">
        <v>2</v>
      </c>
      <c r="G36" s="148">
        <v>3</v>
      </c>
      <c r="H36" s="148" t="s">
        <v>293</v>
      </c>
      <c r="I36" s="148" t="s">
        <v>3125</v>
      </c>
      <c r="J36" s="46"/>
      <c r="K36" s="143">
        <v>3</v>
      </c>
      <c r="L36" s="143">
        <v>2.5</v>
      </c>
      <c r="M36" s="143">
        <v>2</v>
      </c>
      <c r="N36" s="143">
        <v>2</v>
      </c>
      <c r="O36" s="143">
        <v>3</v>
      </c>
      <c r="P36" s="143" t="s">
        <v>62</v>
      </c>
      <c r="Q36" s="77">
        <v>3</v>
      </c>
      <c r="R36" s="77">
        <v>2.5</v>
      </c>
      <c r="S36" s="77">
        <v>2</v>
      </c>
      <c r="T36" s="77">
        <v>2</v>
      </c>
      <c r="U36" s="77">
        <v>3</v>
      </c>
      <c r="V36" s="143" t="s">
        <v>5872</v>
      </c>
      <c r="W36" s="143">
        <v>3</v>
      </c>
      <c r="X36" s="143">
        <v>3</v>
      </c>
      <c r="Y36" s="143">
        <v>2</v>
      </c>
      <c r="Z36" s="143">
        <v>2.5</v>
      </c>
      <c r="AA36" s="143">
        <v>3</v>
      </c>
      <c r="AB36" s="143" t="s">
        <v>5872</v>
      </c>
      <c r="AC36" s="77">
        <v>3</v>
      </c>
      <c r="AD36" s="77">
        <v>2.5</v>
      </c>
      <c r="AE36" s="77">
        <v>2</v>
      </c>
      <c r="AF36" s="77">
        <v>2.5</v>
      </c>
      <c r="AG36" s="77">
        <v>3</v>
      </c>
      <c r="AH36" s="150" t="s">
        <v>61</v>
      </c>
    </row>
    <row r="37" spans="1:34">
      <c r="A37" s="146">
        <v>160</v>
      </c>
      <c r="B37" s="147" t="s">
        <v>5929</v>
      </c>
      <c r="C37" s="148">
        <v>3</v>
      </c>
      <c r="D37" s="148">
        <v>3</v>
      </c>
      <c r="E37" s="148">
        <v>2</v>
      </c>
      <c r="F37" s="148">
        <v>2</v>
      </c>
      <c r="G37" s="148">
        <v>3</v>
      </c>
      <c r="H37" s="148"/>
      <c r="I37" s="148" t="s">
        <v>625</v>
      </c>
      <c r="J37" s="46" t="s">
        <v>5878</v>
      </c>
      <c r="K37" s="143">
        <v>3</v>
      </c>
      <c r="L37" s="143">
        <v>2</v>
      </c>
      <c r="M37" s="143">
        <v>2.5</v>
      </c>
      <c r="N37" s="143">
        <v>2</v>
      </c>
      <c r="O37" s="143">
        <v>3</v>
      </c>
      <c r="P37" s="143" t="s">
        <v>4891</v>
      </c>
      <c r="Q37" s="77">
        <v>3</v>
      </c>
      <c r="R37" s="77">
        <v>2.5</v>
      </c>
      <c r="S37" s="77">
        <v>2.5</v>
      </c>
      <c r="T37" s="77">
        <v>2</v>
      </c>
      <c r="U37" s="77">
        <v>3</v>
      </c>
      <c r="V37" s="143" t="s">
        <v>5873</v>
      </c>
      <c r="W37" s="143">
        <v>3</v>
      </c>
      <c r="X37" s="143">
        <v>2.5</v>
      </c>
      <c r="Y37" s="143">
        <v>2.5</v>
      </c>
      <c r="Z37" s="143">
        <v>2.5</v>
      </c>
      <c r="AA37" s="143">
        <v>3</v>
      </c>
      <c r="AB37" s="143" t="s">
        <v>5962</v>
      </c>
      <c r="AC37" s="77">
        <v>3</v>
      </c>
      <c r="AD37" s="77">
        <v>3</v>
      </c>
      <c r="AE37" s="77">
        <v>2</v>
      </c>
      <c r="AF37" s="77">
        <v>2.5</v>
      </c>
      <c r="AG37" s="77">
        <v>3</v>
      </c>
      <c r="AH37" s="150" t="s">
        <v>61</v>
      </c>
    </row>
    <row r="38" spans="1:34">
      <c r="A38" s="146">
        <v>160</v>
      </c>
      <c r="B38" s="147" t="s">
        <v>5930</v>
      </c>
      <c r="C38" s="148">
        <v>3</v>
      </c>
      <c r="D38" s="148">
        <v>3</v>
      </c>
      <c r="E38" s="148">
        <v>2</v>
      </c>
      <c r="F38" s="148">
        <v>2</v>
      </c>
      <c r="G38" s="148">
        <v>3</v>
      </c>
      <c r="H38" s="148" t="s">
        <v>5869</v>
      </c>
      <c r="I38" s="148" t="s">
        <v>3122</v>
      </c>
      <c r="J38" s="46" t="s">
        <v>5870</v>
      </c>
      <c r="K38" s="143">
        <v>3</v>
      </c>
      <c r="L38" s="143">
        <v>2</v>
      </c>
      <c r="M38" s="143">
        <v>1.5</v>
      </c>
      <c r="N38" s="143">
        <v>1.5</v>
      </c>
      <c r="O38" s="143">
        <v>3</v>
      </c>
      <c r="P38" s="143" t="s">
        <v>3321</v>
      </c>
      <c r="Q38" s="77">
        <v>3</v>
      </c>
      <c r="R38" s="77">
        <v>2.5</v>
      </c>
      <c r="S38" s="77">
        <v>2</v>
      </c>
      <c r="T38" s="77">
        <v>2</v>
      </c>
      <c r="U38" s="77">
        <v>3</v>
      </c>
      <c r="V38" s="143" t="s">
        <v>5874</v>
      </c>
      <c r="W38" s="143">
        <v>3</v>
      </c>
      <c r="X38" s="143">
        <v>2.5</v>
      </c>
      <c r="Y38" s="143">
        <v>2.5</v>
      </c>
      <c r="Z38" s="143">
        <v>2</v>
      </c>
      <c r="AA38" s="143">
        <v>3</v>
      </c>
      <c r="AB38" s="143" t="s">
        <v>5872</v>
      </c>
      <c r="AC38" s="77">
        <v>3</v>
      </c>
      <c r="AD38" s="77">
        <v>2.5</v>
      </c>
      <c r="AE38" s="77">
        <v>2</v>
      </c>
      <c r="AF38" s="77">
        <v>2</v>
      </c>
      <c r="AG38" s="77">
        <v>3</v>
      </c>
      <c r="AH38" s="150" t="s">
        <v>62</v>
      </c>
    </row>
    <row r="39" spans="1:34">
      <c r="A39" s="146">
        <v>160</v>
      </c>
      <c r="B39" s="147" t="s">
        <v>5932</v>
      </c>
      <c r="C39" s="148">
        <v>3</v>
      </c>
      <c r="D39" s="148">
        <v>2</v>
      </c>
      <c r="E39" s="148">
        <v>2.5</v>
      </c>
      <c r="F39" s="148">
        <v>2</v>
      </c>
      <c r="G39" s="148">
        <v>3</v>
      </c>
      <c r="H39" s="148" t="s">
        <v>293</v>
      </c>
      <c r="I39" s="148" t="s">
        <v>3125</v>
      </c>
      <c r="J39" s="46"/>
      <c r="K39" s="143">
        <v>3</v>
      </c>
      <c r="L39" s="143">
        <v>2.5</v>
      </c>
      <c r="M39" s="143">
        <v>2</v>
      </c>
      <c r="N39" s="143">
        <v>2</v>
      </c>
      <c r="O39" s="143">
        <v>3</v>
      </c>
      <c r="P39" s="143" t="s">
        <v>4891</v>
      </c>
      <c r="Q39" s="77">
        <v>3</v>
      </c>
      <c r="R39" s="77">
        <v>3</v>
      </c>
      <c r="S39" s="77">
        <v>2.5</v>
      </c>
      <c r="T39" s="77">
        <v>2.5</v>
      </c>
      <c r="U39" s="77">
        <v>3</v>
      </c>
      <c r="V39" s="143" t="s">
        <v>5960</v>
      </c>
      <c r="W39" s="143">
        <v>3</v>
      </c>
      <c r="X39" s="143">
        <v>3</v>
      </c>
      <c r="Y39" s="143">
        <v>2.5</v>
      </c>
      <c r="Z39" s="143">
        <v>2.5</v>
      </c>
      <c r="AA39" s="143">
        <v>3</v>
      </c>
      <c r="AB39" s="143" t="s">
        <v>5963</v>
      </c>
      <c r="AC39" s="77">
        <v>3</v>
      </c>
      <c r="AD39" s="77">
        <v>2.5</v>
      </c>
      <c r="AE39" s="77">
        <v>2</v>
      </c>
      <c r="AF39" s="77">
        <v>2</v>
      </c>
      <c r="AG39" s="77">
        <v>3</v>
      </c>
      <c r="AH39" s="150" t="s">
        <v>4891</v>
      </c>
    </row>
    <row r="40" spans="1:34">
      <c r="A40" s="146">
        <v>160</v>
      </c>
      <c r="B40" s="147" t="s">
        <v>5935</v>
      </c>
      <c r="C40" s="148">
        <v>3</v>
      </c>
      <c r="D40" s="148">
        <v>3</v>
      </c>
      <c r="E40" s="148">
        <v>2</v>
      </c>
      <c r="F40" s="148">
        <v>2</v>
      </c>
      <c r="G40" s="148">
        <v>3</v>
      </c>
      <c r="H40" s="148"/>
      <c r="I40" s="148" t="s">
        <v>105</v>
      </c>
      <c r="J40" s="46" t="s">
        <v>5878</v>
      </c>
      <c r="K40" s="143">
        <v>3</v>
      </c>
      <c r="L40" s="143">
        <v>2.5</v>
      </c>
      <c r="M40" s="143">
        <v>1.5</v>
      </c>
      <c r="N40" s="143">
        <v>2</v>
      </c>
      <c r="O40" s="143">
        <v>3</v>
      </c>
      <c r="P40" s="143" t="s">
        <v>62</v>
      </c>
      <c r="Q40" s="77">
        <v>3</v>
      </c>
      <c r="R40" s="77">
        <v>2.5</v>
      </c>
      <c r="S40" s="77">
        <v>2</v>
      </c>
      <c r="T40" s="77">
        <v>2.5</v>
      </c>
      <c r="U40" s="77">
        <v>3</v>
      </c>
      <c r="V40" s="143" t="s">
        <v>5961</v>
      </c>
      <c r="W40" s="143">
        <v>3</v>
      </c>
      <c r="X40" s="143">
        <v>2.5</v>
      </c>
      <c r="Y40" s="143">
        <v>2</v>
      </c>
      <c r="Z40" s="143">
        <v>2.5</v>
      </c>
      <c r="AA40" s="143">
        <v>3</v>
      </c>
      <c r="AB40" s="143" t="s">
        <v>5872</v>
      </c>
      <c r="AC40" s="77">
        <v>3</v>
      </c>
      <c r="AD40" s="77">
        <v>2.5</v>
      </c>
      <c r="AE40" s="77">
        <v>2</v>
      </c>
      <c r="AF40" s="77">
        <v>2</v>
      </c>
      <c r="AG40" s="77">
        <v>3</v>
      </c>
      <c r="AH40" s="150" t="s">
        <v>4891</v>
      </c>
    </row>
    <row r="41" spans="1:34">
      <c r="A41" s="146">
        <v>160</v>
      </c>
      <c r="B41" s="147" t="s">
        <v>5938</v>
      </c>
      <c r="C41" s="148">
        <v>3</v>
      </c>
      <c r="D41" s="148">
        <v>3</v>
      </c>
      <c r="E41" s="148">
        <v>2</v>
      </c>
      <c r="F41" s="148">
        <v>2</v>
      </c>
      <c r="G41" s="148">
        <v>3</v>
      </c>
      <c r="H41" s="148" t="s">
        <v>293</v>
      </c>
      <c r="I41" s="148" t="s">
        <v>3125</v>
      </c>
      <c r="J41" s="46"/>
      <c r="K41" s="143">
        <v>3</v>
      </c>
      <c r="L41" s="143">
        <v>3</v>
      </c>
      <c r="M41" s="143">
        <v>2</v>
      </c>
      <c r="N41" s="143">
        <v>3</v>
      </c>
      <c r="O41" s="143">
        <v>3</v>
      </c>
      <c r="P41" s="143" t="s">
        <v>61</v>
      </c>
      <c r="Q41" s="77">
        <v>3</v>
      </c>
      <c r="R41" s="77">
        <v>3</v>
      </c>
      <c r="S41" s="77">
        <v>2</v>
      </c>
      <c r="T41" s="77">
        <v>2.5</v>
      </c>
      <c r="U41" s="77">
        <v>3</v>
      </c>
      <c r="V41" s="143" t="s">
        <v>5876</v>
      </c>
      <c r="W41" s="143">
        <v>3</v>
      </c>
      <c r="X41" s="143">
        <v>3</v>
      </c>
      <c r="Y41" s="143">
        <v>2.5</v>
      </c>
      <c r="Z41" s="143">
        <v>2.5</v>
      </c>
      <c r="AA41" s="143">
        <v>3</v>
      </c>
      <c r="AB41" s="143" t="s">
        <v>5964</v>
      </c>
      <c r="AC41" s="77">
        <v>3</v>
      </c>
      <c r="AD41" s="77">
        <v>3</v>
      </c>
      <c r="AE41" s="77">
        <v>2.5</v>
      </c>
      <c r="AF41" s="77">
        <v>2.5</v>
      </c>
      <c r="AG41" s="77">
        <v>3</v>
      </c>
      <c r="AH41" s="150" t="s">
        <v>170</v>
      </c>
    </row>
    <row r="42" spans="1:34">
      <c r="A42" s="146">
        <v>160</v>
      </c>
      <c r="B42" s="147" t="s">
        <v>3980</v>
      </c>
      <c r="C42" s="148">
        <v>3</v>
      </c>
      <c r="D42" s="148">
        <v>3</v>
      </c>
      <c r="E42" s="148">
        <v>2</v>
      </c>
      <c r="F42" s="148">
        <v>2</v>
      </c>
      <c r="G42" s="148">
        <v>3</v>
      </c>
      <c r="H42" s="148" t="s">
        <v>293</v>
      </c>
      <c r="I42" s="148" t="s">
        <v>3125</v>
      </c>
      <c r="J42" s="46"/>
      <c r="K42" s="143">
        <v>3</v>
      </c>
      <c r="L42" s="143">
        <v>2.5</v>
      </c>
      <c r="M42" s="143">
        <v>2</v>
      </c>
      <c r="N42" s="143">
        <v>2</v>
      </c>
      <c r="O42" s="143">
        <v>3</v>
      </c>
      <c r="P42" s="143" t="s">
        <v>4891</v>
      </c>
      <c r="Q42" s="77">
        <v>3</v>
      </c>
      <c r="R42" s="77">
        <v>3</v>
      </c>
      <c r="S42" s="77">
        <v>2</v>
      </c>
      <c r="T42" s="77">
        <v>2.5</v>
      </c>
      <c r="U42" s="77">
        <v>3</v>
      </c>
      <c r="V42" s="143" t="s">
        <v>5876</v>
      </c>
      <c r="W42" s="143">
        <v>3</v>
      </c>
      <c r="X42" s="143">
        <v>3</v>
      </c>
      <c r="Y42" s="143">
        <v>2</v>
      </c>
      <c r="Z42" s="143">
        <v>2.5</v>
      </c>
      <c r="AA42" s="143">
        <v>3</v>
      </c>
      <c r="AB42" s="143" t="s">
        <v>5876</v>
      </c>
      <c r="AC42" s="77">
        <v>3</v>
      </c>
      <c r="AD42" s="77">
        <v>3</v>
      </c>
      <c r="AE42" s="77">
        <v>2</v>
      </c>
      <c r="AF42" s="77">
        <v>2.5</v>
      </c>
      <c r="AG42" s="77">
        <v>3</v>
      </c>
      <c r="AH42" s="150" t="s">
        <v>61</v>
      </c>
    </row>
    <row r="43" spans="1:34">
      <c r="A43" s="146">
        <v>160</v>
      </c>
      <c r="B43" s="147" t="s">
        <v>5957</v>
      </c>
      <c r="C43" s="148">
        <v>3</v>
      </c>
      <c r="D43" s="148">
        <v>2.5</v>
      </c>
      <c r="E43" s="148">
        <v>2</v>
      </c>
      <c r="F43" s="148">
        <v>2</v>
      </c>
      <c r="G43" s="148">
        <v>3</v>
      </c>
      <c r="H43" s="148" t="s">
        <v>293</v>
      </c>
      <c r="I43" s="148" t="s">
        <v>3125</v>
      </c>
      <c r="J43" s="46"/>
      <c r="K43" s="143">
        <v>3</v>
      </c>
      <c r="L43" s="143">
        <v>2.5</v>
      </c>
      <c r="M43" s="143">
        <v>2.5</v>
      </c>
      <c r="N43" s="143">
        <v>2</v>
      </c>
      <c r="O43" s="143">
        <v>3</v>
      </c>
      <c r="P43" s="143" t="s">
        <v>4891</v>
      </c>
      <c r="Q43" s="77">
        <v>3</v>
      </c>
      <c r="R43" s="77">
        <v>3</v>
      </c>
      <c r="S43" s="77">
        <v>2.5</v>
      </c>
      <c r="T43" s="77">
        <v>2</v>
      </c>
      <c r="U43" s="77">
        <v>3</v>
      </c>
      <c r="V43" s="143" t="s">
        <v>5875</v>
      </c>
      <c r="W43" s="143">
        <v>3</v>
      </c>
      <c r="X43" s="143">
        <v>3</v>
      </c>
      <c r="Y43" s="143">
        <v>2.5</v>
      </c>
      <c r="Z43" s="143">
        <v>2</v>
      </c>
      <c r="AA43" s="143">
        <v>3</v>
      </c>
      <c r="AB43" s="143" t="s">
        <v>5875</v>
      </c>
      <c r="AC43" s="77">
        <v>3</v>
      </c>
      <c r="AD43" s="77">
        <v>3</v>
      </c>
      <c r="AE43" s="77">
        <v>2.5</v>
      </c>
      <c r="AF43" s="77">
        <v>2</v>
      </c>
      <c r="AG43" s="77">
        <v>3</v>
      </c>
      <c r="AH43" s="150" t="s">
        <v>4891</v>
      </c>
    </row>
    <row r="44" spans="1:34">
      <c r="A44" s="151">
        <v>161</v>
      </c>
      <c r="B44" s="152" t="s">
        <v>5972</v>
      </c>
      <c r="C44" s="46">
        <v>3</v>
      </c>
      <c r="D44" s="46">
        <v>2</v>
      </c>
      <c r="E44" s="46">
        <v>3</v>
      </c>
      <c r="F44" s="46">
        <v>2</v>
      </c>
      <c r="G44" s="46">
        <v>3</v>
      </c>
      <c r="H44" s="148"/>
      <c r="I44" s="46" t="s">
        <v>5998</v>
      </c>
      <c r="J44" s="46" t="s">
        <v>5878</v>
      </c>
      <c r="K44" s="158">
        <v>3</v>
      </c>
      <c r="L44" s="158">
        <v>2.5</v>
      </c>
      <c r="M44" s="158">
        <v>2.5</v>
      </c>
      <c r="N44" s="158">
        <v>2</v>
      </c>
      <c r="O44" s="158">
        <v>3</v>
      </c>
      <c r="P44" s="158" t="s">
        <v>4891</v>
      </c>
      <c r="Q44" s="77">
        <v>3</v>
      </c>
      <c r="R44" s="77">
        <v>2</v>
      </c>
      <c r="S44" s="77">
        <v>2.5</v>
      </c>
      <c r="T44" s="77">
        <v>2.5</v>
      </c>
      <c r="U44" s="77">
        <v>3</v>
      </c>
      <c r="V44" s="158" t="s">
        <v>5873</v>
      </c>
      <c r="W44" s="158">
        <v>3</v>
      </c>
      <c r="X44" s="158">
        <v>2.5</v>
      </c>
      <c r="Y44" s="158">
        <v>2.5</v>
      </c>
      <c r="Z44" s="158">
        <v>2.5</v>
      </c>
      <c r="AA44" s="158">
        <v>3</v>
      </c>
      <c r="AB44" s="158" t="s">
        <v>5875</v>
      </c>
      <c r="AC44" s="77">
        <v>3</v>
      </c>
      <c r="AD44" s="77">
        <v>2.5</v>
      </c>
      <c r="AE44" s="77">
        <v>3</v>
      </c>
      <c r="AF44" s="77">
        <v>2.5</v>
      </c>
      <c r="AG44" s="77">
        <v>3</v>
      </c>
      <c r="AH44" s="150" t="s">
        <v>170</v>
      </c>
    </row>
    <row r="45" spans="1:34">
      <c r="A45" s="146">
        <v>161</v>
      </c>
      <c r="B45" s="147" t="s">
        <v>5975</v>
      </c>
      <c r="C45" s="46">
        <v>3</v>
      </c>
      <c r="D45" s="46">
        <v>3</v>
      </c>
      <c r="E45" s="46">
        <v>2</v>
      </c>
      <c r="F45" s="46">
        <v>2</v>
      </c>
      <c r="G45" s="46">
        <v>3</v>
      </c>
      <c r="H45" s="148"/>
      <c r="I45" s="46" t="s">
        <v>105</v>
      </c>
      <c r="J45" s="46" t="s">
        <v>5878</v>
      </c>
      <c r="K45" s="158">
        <v>3</v>
      </c>
      <c r="L45" s="158">
        <v>2.5</v>
      </c>
      <c r="M45" s="158">
        <v>2</v>
      </c>
      <c r="N45" s="158">
        <v>2</v>
      </c>
      <c r="O45" s="158">
        <v>3</v>
      </c>
      <c r="P45" s="158" t="s">
        <v>5999</v>
      </c>
      <c r="Q45" s="77">
        <v>3</v>
      </c>
      <c r="R45" s="77">
        <v>2</v>
      </c>
      <c r="S45" s="77">
        <v>2</v>
      </c>
      <c r="T45" s="77">
        <v>2</v>
      </c>
      <c r="U45" s="77">
        <v>3</v>
      </c>
      <c r="V45" s="158" t="s">
        <v>5874</v>
      </c>
      <c r="W45" s="158">
        <v>3</v>
      </c>
      <c r="X45" s="158">
        <v>2</v>
      </c>
      <c r="Y45" s="158">
        <v>2</v>
      </c>
      <c r="Z45" s="158">
        <v>2</v>
      </c>
      <c r="AA45" s="158">
        <v>3</v>
      </c>
      <c r="AB45" s="158" t="s">
        <v>5874</v>
      </c>
      <c r="AC45" s="77">
        <v>3</v>
      </c>
      <c r="AD45" s="77">
        <v>3</v>
      </c>
      <c r="AE45" s="77">
        <v>2.5</v>
      </c>
      <c r="AF45" s="77">
        <v>1.5</v>
      </c>
      <c r="AG45" s="77">
        <v>3</v>
      </c>
      <c r="AH45" s="150" t="s">
        <v>5997</v>
      </c>
    </row>
    <row r="46" spans="1:34">
      <c r="A46" s="146">
        <v>161</v>
      </c>
      <c r="B46" s="147" t="s">
        <v>5977</v>
      </c>
      <c r="C46" s="46">
        <v>3</v>
      </c>
      <c r="D46" s="46">
        <v>3</v>
      </c>
      <c r="E46" s="46">
        <v>2.5</v>
      </c>
      <c r="F46" s="46">
        <v>2</v>
      </c>
      <c r="G46" s="46">
        <v>3</v>
      </c>
      <c r="H46" s="148"/>
      <c r="I46" s="148" t="s">
        <v>5868</v>
      </c>
      <c r="J46" s="46" t="s">
        <v>5878</v>
      </c>
      <c r="K46" s="158">
        <v>3</v>
      </c>
      <c r="L46" s="158">
        <v>3</v>
      </c>
      <c r="M46" s="158">
        <v>2</v>
      </c>
      <c r="N46" s="158">
        <v>2</v>
      </c>
      <c r="O46" s="158">
        <v>3</v>
      </c>
      <c r="P46" s="158" t="s">
        <v>4891</v>
      </c>
      <c r="Q46" s="77">
        <v>3</v>
      </c>
      <c r="R46" s="77">
        <v>3</v>
      </c>
      <c r="S46" s="77">
        <v>2.5</v>
      </c>
      <c r="T46" s="77">
        <v>2.5</v>
      </c>
      <c r="U46" s="77">
        <v>3</v>
      </c>
      <c r="V46" s="158" t="s">
        <v>5873</v>
      </c>
      <c r="W46" s="158">
        <v>3</v>
      </c>
      <c r="X46" s="158">
        <v>3</v>
      </c>
      <c r="Y46" s="158">
        <v>2.5</v>
      </c>
      <c r="Z46" s="158">
        <v>2</v>
      </c>
      <c r="AA46" s="158">
        <v>3</v>
      </c>
      <c r="AB46" s="158" t="s">
        <v>5873</v>
      </c>
      <c r="AC46" s="77">
        <v>3</v>
      </c>
      <c r="AD46" s="77">
        <v>2.5</v>
      </c>
      <c r="AE46" s="77">
        <v>2.5</v>
      </c>
      <c r="AF46" s="77">
        <v>2</v>
      </c>
      <c r="AG46" s="77">
        <v>3</v>
      </c>
      <c r="AH46" s="150" t="s">
        <v>4891</v>
      </c>
    </row>
    <row r="47" spans="1:34">
      <c r="A47" s="146">
        <v>161</v>
      </c>
      <c r="B47" s="147" t="s">
        <v>5979</v>
      </c>
      <c r="C47" s="46">
        <v>3</v>
      </c>
      <c r="D47" s="46">
        <v>3</v>
      </c>
      <c r="E47" s="46">
        <v>2</v>
      </c>
      <c r="F47" s="46">
        <v>2</v>
      </c>
      <c r="G47" s="46">
        <v>3</v>
      </c>
      <c r="H47" s="148"/>
      <c r="I47" s="148" t="s">
        <v>105</v>
      </c>
      <c r="J47" s="46" t="s">
        <v>5878</v>
      </c>
      <c r="K47" s="158">
        <v>3</v>
      </c>
      <c r="L47" s="158">
        <v>2.5</v>
      </c>
      <c r="M47" s="158">
        <v>2</v>
      </c>
      <c r="N47" s="158">
        <v>1</v>
      </c>
      <c r="O47" s="158">
        <v>3</v>
      </c>
      <c r="P47" s="158" t="s">
        <v>3321</v>
      </c>
      <c r="Q47" s="77">
        <v>3</v>
      </c>
      <c r="R47" s="77">
        <v>2.5</v>
      </c>
      <c r="S47" s="77">
        <v>2</v>
      </c>
      <c r="T47" s="77">
        <v>2</v>
      </c>
      <c r="U47" s="77">
        <v>3</v>
      </c>
      <c r="V47" s="158" t="s">
        <v>5874</v>
      </c>
      <c r="W47" s="158">
        <v>3</v>
      </c>
      <c r="X47" s="158">
        <v>2</v>
      </c>
      <c r="Y47" s="158">
        <v>2</v>
      </c>
      <c r="Z47" s="158">
        <v>2</v>
      </c>
      <c r="AA47" s="158">
        <v>3</v>
      </c>
      <c r="AB47" s="158" t="s">
        <v>5874</v>
      </c>
      <c r="AC47" s="77">
        <v>3</v>
      </c>
      <c r="AD47" s="77">
        <v>2</v>
      </c>
      <c r="AE47" s="77">
        <v>2</v>
      </c>
      <c r="AF47" s="77">
        <v>1.5</v>
      </c>
      <c r="AG47" s="77">
        <v>3</v>
      </c>
      <c r="AH47" s="150" t="s">
        <v>3321</v>
      </c>
    </row>
    <row r="48" spans="1:34">
      <c r="A48" s="146">
        <v>161</v>
      </c>
      <c r="B48" s="147" t="s">
        <v>5983</v>
      </c>
      <c r="C48" s="153">
        <v>3</v>
      </c>
      <c r="D48" s="153">
        <v>2.5</v>
      </c>
      <c r="E48" s="153">
        <v>2.5</v>
      </c>
      <c r="F48" s="153">
        <v>2</v>
      </c>
      <c r="G48" s="153">
        <v>3</v>
      </c>
      <c r="H48" s="148" t="s">
        <v>293</v>
      </c>
      <c r="I48" s="153" t="s">
        <v>3125</v>
      </c>
      <c r="J48" s="46"/>
      <c r="K48" s="158">
        <v>3</v>
      </c>
      <c r="L48" s="158">
        <v>3</v>
      </c>
      <c r="M48" s="158">
        <v>2</v>
      </c>
      <c r="N48" s="158">
        <v>2</v>
      </c>
      <c r="O48" s="158">
        <v>3</v>
      </c>
      <c r="P48" s="158" t="s">
        <v>4891</v>
      </c>
      <c r="Q48" s="77">
        <v>3</v>
      </c>
      <c r="R48" s="77">
        <v>3</v>
      </c>
      <c r="S48" s="77">
        <v>2.5</v>
      </c>
      <c r="T48" s="77">
        <v>2</v>
      </c>
      <c r="U48" s="77">
        <v>3</v>
      </c>
      <c r="V48" s="158" t="s">
        <v>5875</v>
      </c>
      <c r="W48" s="158">
        <v>3</v>
      </c>
      <c r="X48" s="158">
        <v>3</v>
      </c>
      <c r="Y48" s="158">
        <v>2.5</v>
      </c>
      <c r="Z48" s="158">
        <v>2.5</v>
      </c>
      <c r="AA48" s="158">
        <v>3</v>
      </c>
      <c r="AB48" s="158" t="s">
        <v>5873</v>
      </c>
      <c r="AC48" s="77">
        <v>3</v>
      </c>
      <c r="AD48" s="77">
        <v>2.5</v>
      </c>
      <c r="AE48" s="77">
        <v>2</v>
      </c>
      <c r="AF48" s="77">
        <v>2</v>
      </c>
      <c r="AG48" s="77">
        <v>3</v>
      </c>
      <c r="AH48" s="150" t="s">
        <v>4891</v>
      </c>
    </row>
    <row r="49" spans="1:34">
      <c r="A49" s="146">
        <v>161</v>
      </c>
      <c r="B49" s="147" t="s">
        <v>5985</v>
      </c>
      <c r="C49" s="46">
        <v>3</v>
      </c>
      <c r="D49" s="46">
        <v>2</v>
      </c>
      <c r="E49" s="46">
        <v>2</v>
      </c>
      <c r="F49" s="46">
        <v>2</v>
      </c>
      <c r="G49" s="46">
        <v>3</v>
      </c>
      <c r="H49" s="148" t="s">
        <v>5869</v>
      </c>
      <c r="I49" s="148" t="s">
        <v>3125</v>
      </c>
      <c r="J49" s="46"/>
      <c r="K49" s="158">
        <v>3</v>
      </c>
      <c r="L49" s="158">
        <v>2</v>
      </c>
      <c r="M49" s="158">
        <v>2</v>
      </c>
      <c r="N49" s="158">
        <v>2</v>
      </c>
      <c r="O49" s="158">
        <v>3</v>
      </c>
      <c r="P49" s="158" t="s">
        <v>62</v>
      </c>
      <c r="Q49" s="77">
        <v>3</v>
      </c>
      <c r="R49" s="77">
        <v>2.5</v>
      </c>
      <c r="S49" s="77">
        <v>2</v>
      </c>
      <c r="T49" s="77">
        <v>2.5</v>
      </c>
      <c r="U49" s="77">
        <v>3</v>
      </c>
      <c r="V49" s="158" t="s">
        <v>5961</v>
      </c>
      <c r="W49" s="158">
        <v>3</v>
      </c>
      <c r="X49" s="158">
        <v>1.5</v>
      </c>
      <c r="Y49" s="158">
        <v>2</v>
      </c>
      <c r="Z49" s="158">
        <v>2</v>
      </c>
      <c r="AA49" s="158">
        <v>3</v>
      </c>
      <c r="AB49" s="158" t="s">
        <v>5874</v>
      </c>
      <c r="AC49" s="77">
        <v>3</v>
      </c>
      <c r="AD49" s="77">
        <v>2</v>
      </c>
      <c r="AE49" s="77">
        <v>2</v>
      </c>
      <c r="AF49" s="77">
        <v>2</v>
      </c>
      <c r="AG49" s="77">
        <v>3</v>
      </c>
      <c r="AH49" s="150" t="s">
        <v>62</v>
      </c>
    </row>
    <row r="50" spans="1:34">
      <c r="A50" s="146">
        <v>161</v>
      </c>
      <c r="B50" s="147" t="s">
        <v>5987</v>
      </c>
      <c r="C50" s="46">
        <v>3</v>
      </c>
      <c r="D50" s="46">
        <v>3</v>
      </c>
      <c r="E50" s="46">
        <v>2</v>
      </c>
      <c r="F50" s="46">
        <v>2</v>
      </c>
      <c r="G50" s="46">
        <v>3</v>
      </c>
      <c r="H50" s="148"/>
      <c r="I50" s="46" t="s">
        <v>105</v>
      </c>
      <c r="J50" s="46" t="s">
        <v>5878</v>
      </c>
      <c r="K50" s="158">
        <v>3</v>
      </c>
      <c r="L50" s="158">
        <v>2</v>
      </c>
      <c r="M50" s="158">
        <v>2</v>
      </c>
      <c r="N50" s="158">
        <v>2</v>
      </c>
      <c r="O50" s="158">
        <v>2.5</v>
      </c>
      <c r="P50" s="158" t="s">
        <v>3321</v>
      </c>
      <c r="Q50" s="77">
        <v>3</v>
      </c>
      <c r="R50" s="77">
        <v>2.5</v>
      </c>
      <c r="S50" s="77">
        <v>2</v>
      </c>
      <c r="T50" s="77">
        <v>2</v>
      </c>
      <c r="U50" s="77">
        <v>3</v>
      </c>
      <c r="V50" s="158" t="s">
        <v>5872</v>
      </c>
      <c r="W50" s="158">
        <v>3</v>
      </c>
      <c r="X50" s="158">
        <v>2.5</v>
      </c>
      <c r="Y50" s="158">
        <v>2</v>
      </c>
      <c r="Z50" s="158">
        <v>2</v>
      </c>
      <c r="AA50" s="158">
        <v>3</v>
      </c>
      <c r="AB50" s="158" t="s">
        <v>5874</v>
      </c>
      <c r="AC50" s="77">
        <v>3</v>
      </c>
      <c r="AD50" s="77">
        <v>2.5</v>
      </c>
      <c r="AE50" s="77">
        <v>2</v>
      </c>
      <c r="AF50" s="77">
        <v>2</v>
      </c>
      <c r="AG50" s="77">
        <v>3</v>
      </c>
      <c r="AH50" s="150" t="s">
        <v>62</v>
      </c>
    </row>
    <row r="51" spans="1:34">
      <c r="A51" s="146">
        <v>161</v>
      </c>
      <c r="B51" s="147" t="s">
        <v>5989</v>
      </c>
      <c r="C51" s="46">
        <v>3</v>
      </c>
      <c r="D51" s="46">
        <v>2.5</v>
      </c>
      <c r="E51" s="46">
        <v>2</v>
      </c>
      <c r="F51" s="46">
        <v>2</v>
      </c>
      <c r="G51" s="46">
        <v>3</v>
      </c>
      <c r="H51" s="148" t="s">
        <v>293</v>
      </c>
      <c r="I51" s="155" t="s">
        <v>3125</v>
      </c>
      <c r="J51" s="46"/>
      <c r="K51" s="158">
        <v>3</v>
      </c>
      <c r="L51" s="158">
        <v>2</v>
      </c>
      <c r="M51" s="158">
        <v>2</v>
      </c>
      <c r="N51" s="158">
        <v>2</v>
      </c>
      <c r="O51" s="158">
        <v>3</v>
      </c>
      <c r="P51" s="158" t="s">
        <v>5999</v>
      </c>
      <c r="Q51" s="77">
        <v>3</v>
      </c>
      <c r="R51" s="77">
        <v>2.5</v>
      </c>
      <c r="S51" s="77">
        <v>2</v>
      </c>
      <c r="T51" s="77">
        <v>2</v>
      </c>
      <c r="U51" s="77">
        <v>3</v>
      </c>
      <c r="V51" s="158" t="s">
        <v>5872</v>
      </c>
      <c r="W51" s="158">
        <v>3</v>
      </c>
      <c r="X51" s="158">
        <v>2.5</v>
      </c>
      <c r="Y51" s="158">
        <v>2</v>
      </c>
      <c r="Z51" s="158">
        <v>2</v>
      </c>
      <c r="AA51" s="158">
        <v>3</v>
      </c>
      <c r="AB51" s="158" t="s">
        <v>5872</v>
      </c>
      <c r="AC51" s="77">
        <v>3</v>
      </c>
      <c r="AD51" s="77">
        <v>2.5</v>
      </c>
      <c r="AE51" s="77">
        <v>2</v>
      </c>
      <c r="AF51" s="77">
        <v>2.5</v>
      </c>
      <c r="AG51" s="77">
        <v>3</v>
      </c>
      <c r="AH51" s="150" t="s">
        <v>171</v>
      </c>
    </row>
    <row r="52" spans="1:34">
      <c r="A52" s="146">
        <v>161</v>
      </c>
      <c r="B52" s="147" t="s">
        <v>5991</v>
      </c>
      <c r="C52" s="46">
        <v>3</v>
      </c>
      <c r="D52" s="46">
        <v>2.5</v>
      </c>
      <c r="E52" s="46">
        <v>2</v>
      </c>
      <c r="F52" s="46">
        <v>2</v>
      </c>
      <c r="G52" s="46">
        <v>3</v>
      </c>
      <c r="H52" s="148" t="s">
        <v>293</v>
      </c>
      <c r="I52" s="148" t="s">
        <v>3125</v>
      </c>
      <c r="J52" s="46"/>
      <c r="K52" s="158">
        <v>3</v>
      </c>
      <c r="L52" s="158">
        <v>2.5</v>
      </c>
      <c r="M52" s="158">
        <v>2.5</v>
      </c>
      <c r="N52" s="158">
        <v>2</v>
      </c>
      <c r="O52" s="158">
        <v>3</v>
      </c>
      <c r="P52" s="158" t="s">
        <v>4891</v>
      </c>
      <c r="Q52" s="77">
        <v>3</v>
      </c>
      <c r="R52" s="77">
        <v>3</v>
      </c>
      <c r="S52" s="77">
        <v>2</v>
      </c>
      <c r="T52" s="77">
        <v>2</v>
      </c>
      <c r="U52" s="77">
        <v>3</v>
      </c>
      <c r="V52" s="158" t="s">
        <v>5872</v>
      </c>
      <c r="W52" s="158">
        <v>3</v>
      </c>
      <c r="X52" s="158">
        <v>3</v>
      </c>
      <c r="Y52" s="158">
        <v>2</v>
      </c>
      <c r="Z52" s="158">
        <v>2</v>
      </c>
      <c r="AA52" s="158">
        <v>3</v>
      </c>
      <c r="AB52" s="158" t="s">
        <v>5872</v>
      </c>
      <c r="AC52" s="77">
        <v>3</v>
      </c>
      <c r="AD52" s="77">
        <v>3</v>
      </c>
      <c r="AE52" s="77">
        <v>2.5</v>
      </c>
      <c r="AF52" s="77">
        <v>2</v>
      </c>
      <c r="AG52" s="77">
        <v>3</v>
      </c>
      <c r="AH52" s="150" t="s">
        <v>170</v>
      </c>
    </row>
    <row r="53" spans="1:34">
      <c r="A53" s="146">
        <v>161</v>
      </c>
      <c r="B53" s="147" t="s">
        <v>5993</v>
      </c>
      <c r="C53" s="46">
        <v>3</v>
      </c>
      <c r="D53" s="46">
        <v>3</v>
      </c>
      <c r="E53" s="46">
        <v>2</v>
      </c>
      <c r="F53" s="46">
        <v>2</v>
      </c>
      <c r="G53" s="46">
        <v>3</v>
      </c>
      <c r="H53" s="148"/>
      <c r="I53" s="148" t="s">
        <v>5866</v>
      </c>
      <c r="J53" s="46" t="s">
        <v>5878</v>
      </c>
      <c r="K53" s="158">
        <v>3</v>
      </c>
      <c r="L53" s="158">
        <v>2.5</v>
      </c>
      <c r="M53" s="158">
        <v>2</v>
      </c>
      <c r="N53" s="158">
        <v>2.5</v>
      </c>
      <c r="O53" s="158">
        <v>3</v>
      </c>
      <c r="P53" s="158" t="s">
        <v>4891</v>
      </c>
      <c r="Q53" s="77">
        <v>3</v>
      </c>
      <c r="R53" s="77">
        <v>2</v>
      </c>
      <c r="S53" s="77">
        <v>2</v>
      </c>
      <c r="T53" s="77">
        <v>2</v>
      </c>
      <c r="U53" s="77">
        <v>3</v>
      </c>
      <c r="V53" s="158" t="s">
        <v>5874</v>
      </c>
      <c r="W53" s="158">
        <v>3</v>
      </c>
      <c r="X53" s="158">
        <v>2.5</v>
      </c>
      <c r="Y53" s="158">
        <v>2</v>
      </c>
      <c r="Z53" s="158">
        <v>2</v>
      </c>
      <c r="AA53" s="158">
        <v>3</v>
      </c>
      <c r="AB53" s="158" t="s">
        <v>5872</v>
      </c>
      <c r="AC53" s="77">
        <v>3</v>
      </c>
      <c r="AD53" s="77">
        <v>2.5</v>
      </c>
      <c r="AE53" s="77">
        <v>2</v>
      </c>
      <c r="AF53" s="77">
        <v>2</v>
      </c>
      <c r="AG53" s="77">
        <v>3</v>
      </c>
      <c r="AH53" s="150" t="s">
        <v>62</v>
      </c>
    </row>
    <row r="54" spans="1:34">
      <c r="A54" s="146">
        <v>161</v>
      </c>
      <c r="B54" s="147" t="s">
        <v>5995</v>
      </c>
      <c r="C54" s="46">
        <v>3</v>
      </c>
      <c r="D54" s="46">
        <v>3</v>
      </c>
      <c r="E54" s="46">
        <v>2</v>
      </c>
      <c r="F54" s="46">
        <v>2</v>
      </c>
      <c r="G54" s="46">
        <v>3</v>
      </c>
      <c r="H54" s="148" t="s">
        <v>293</v>
      </c>
      <c r="I54" s="148" t="s">
        <v>3125</v>
      </c>
      <c r="J54" s="46"/>
      <c r="K54" s="158">
        <v>3</v>
      </c>
      <c r="L54" s="158">
        <v>3</v>
      </c>
      <c r="M54" s="158">
        <v>2</v>
      </c>
      <c r="N54" s="158">
        <v>2</v>
      </c>
      <c r="O54" s="158">
        <v>3</v>
      </c>
      <c r="P54" s="158" t="s">
        <v>4891</v>
      </c>
      <c r="Q54" s="77">
        <v>3</v>
      </c>
      <c r="R54" s="77">
        <v>3</v>
      </c>
      <c r="S54" s="77">
        <v>2</v>
      </c>
      <c r="T54" s="77">
        <v>2</v>
      </c>
      <c r="U54" s="77">
        <v>3</v>
      </c>
      <c r="V54" s="158" t="s">
        <v>5872</v>
      </c>
      <c r="W54" s="158">
        <v>3</v>
      </c>
      <c r="X54" s="158">
        <v>3</v>
      </c>
      <c r="Y54" s="158">
        <v>2.5</v>
      </c>
      <c r="Z54" s="158">
        <v>2</v>
      </c>
      <c r="AA54" s="158">
        <v>3</v>
      </c>
      <c r="AB54" s="158" t="s">
        <v>5872</v>
      </c>
      <c r="AC54" s="77">
        <v>3</v>
      </c>
      <c r="AD54" s="77">
        <v>3</v>
      </c>
      <c r="AE54" s="77">
        <v>2</v>
      </c>
      <c r="AF54" s="77">
        <v>2</v>
      </c>
      <c r="AG54" s="77">
        <v>3</v>
      </c>
      <c r="AH54" s="150" t="s">
        <v>5997</v>
      </c>
    </row>
    <row r="55" spans="1:34">
      <c r="A55" s="146">
        <v>162</v>
      </c>
      <c r="B55" s="147" t="s">
        <v>6052</v>
      </c>
      <c r="C55" s="176">
        <v>3</v>
      </c>
      <c r="D55" s="176">
        <v>2.5</v>
      </c>
      <c r="E55" s="176">
        <v>2.5</v>
      </c>
      <c r="F55" s="176">
        <v>2</v>
      </c>
      <c r="G55" s="176">
        <v>3</v>
      </c>
      <c r="H55" s="148"/>
      <c r="I55" s="181" t="s">
        <v>3125</v>
      </c>
      <c r="J55" s="46"/>
      <c r="K55" s="175">
        <v>3</v>
      </c>
      <c r="L55" s="175">
        <v>2.5</v>
      </c>
      <c r="M55" s="175">
        <v>2.5</v>
      </c>
      <c r="N55" s="175">
        <v>2.5</v>
      </c>
      <c r="O55" s="175">
        <v>3</v>
      </c>
      <c r="P55" s="175" t="s">
        <v>5915</v>
      </c>
      <c r="Q55" s="77">
        <v>3</v>
      </c>
      <c r="R55" s="77">
        <v>2.5</v>
      </c>
      <c r="S55" s="77">
        <v>2.5</v>
      </c>
      <c r="T55" s="77">
        <v>2</v>
      </c>
      <c r="U55" s="77">
        <v>3</v>
      </c>
      <c r="V55" s="175" t="s">
        <v>5873</v>
      </c>
      <c r="W55" s="175">
        <v>3</v>
      </c>
      <c r="X55" s="175">
        <v>3</v>
      </c>
      <c r="Y55" s="175">
        <v>2.5</v>
      </c>
      <c r="Z55" s="175">
        <v>2</v>
      </c>
      <c r="AA55" s="175">
        <v>3</v>
      </c>
      <c r="AB55" s="175" t="s">
        <v>3246</v>
      </c>
      <c r="AC55" s="77">
        <v>3</v>
      </c>
      <c r="AD55" s="77">
        <v>2.5</v>
      </c>
      <c r="AE55" s="77">
        <v>2.5</v>
      </c>
      <c r="AF55" s="77">
        <v>2</v>
      </c>
      <c r="AG55" s="77">
        <v>3</v>
      </c>
      <c r="AH55" s="150" t="s">
        <v>170</v>
      </c>
    </row>
    <row r="56" spans="1:34">
      <c r="A56" s="146">
        <v>162</v>
      </c>
      <c r="B56" s="147" t="s">
        <v>6054</v>
      </c>
      <c r="C56" s="177">
        <v>3</v>
      </c>
      <c r="D56" s="177">
        <v>2</v>
      </c>
      <c r="E56" s="177">
        <v>3</v>
      </c>
      <c r="F56" s="177">
        <v>2</v>
      </c>
      <c r="G56" s="177">
        <v>3</v>
      </c>
      <c r="H56" s="148"/>
      <c r="I56" s="177" t="s">
        <v>5998</v>
      </c>
      <c r="J56" s="46" t="s">
        <v>5878</v>
      </c>
      <c r="K56" s="175">
        <v>3</v>
      </c>
      <c r="L56" s="175">
        <v>2.5</v>
      </c>
      <c r="M56" s="175">
        <v>2</v>
      </c>
      <c r="N56" s="175">
        <v>2</v>
      </c>
      <c r="O56" s="175">
        <v>3</v>
      </c>
      <c r="P56" s="175" t="s">
        <v>5999</v>
      </c>
      <c r="Q56" s="77">
        <v>3</v>
      </c>
      <c r="R56" s="77">
        <v>2.5</v>
      </c>
      <c r="S56" s="77">
        <v>2</v>
      </c>
      <c r="T56" s="77">
        <v>2.5</v>
      </c>
      <c r="U56" s="77">
        <v>3</v>
      </c>
      <c r="V56" s="175" t="s">
        <v>5961</v>
      </c>
      <c r="W56" s="175">
        <v>3</v>
      </c>
      <c r="X56" s="175">
        <v>2.5</v>
      </c>
      <c r="Y56" s="175">
        <v>2</v>
      </c>
      <c r="Z56" s="175">
        <v>2.5</v>
      </c>
      <c r="AA56" s="175">
        <v>3</v>
      </c>
      <c r="AB56" s="175" t="s">
        <v>5961</v>
      </c>
      <c r="AC56" s="77">
        <v>3</v>
      </c>
      <c r="AD56" s="77">
        <v>3</v>
      </c>
      <c r="AE56" s="77">
        <v>2.5</v>
      </c>
      <c r="AF56" s="77">
        <v>2</v>
      </c>
      <c r="AG56" s="77">
        <v>3</v>
      </c>
      <c r="AH56" s="150" t="s">
        <v>170</v>
      </c>
    </row>
    <row r="57" spans="1:34">
      <c r="A57" s="146">
        <v>162</v>
      </c>
      <c r="B57" s="147" t="s">
        <v>6056</v>
      </c>
      <c r="C57" s="178">
        <v>3</v>
      </c>
      <c r="D57" s="178">
        <v>3</v>
      </c>
      <c r="E57" s="178">
        <v>2</v>
      </c>
      <c r="F57" s="178">
        <v>2</v>
      </c>
      <c r="G57" s="178">
        <v>3</v>
      </c>
      <c r="H57" s="148"/>
      <c r="I57" s="46" t="s">
        <v>52</v>
      </c>
      <c r="J57" s="46" t="s">
        <v>5878</v>
      </c>
      <c r="K57" s="175">
        <v>3</v>
      </c>
      <c r="L57" s="175">
        <v>2.5</v>
      </c>
      <c r="M57" s="175">
        <v>2</v>
      </c>
      <c r="N57" s="175">
        <v>3</v>
      </c>
      <c r="O57" s="175">
        <v>3</v>
      </c>
      <c r="P57" s="175" t="s">
        <v>61</v>
      </c>
      <c r="Q57" s="77">
        <v>3</v>
      </c>
      <c r="R57" s="77">
        <v>3</v>
      </c>
      <c r="S57" s="77">
        <v>2</v>
      </c>
      <c r="T57" s="77">
        <v>2</v>
      </c>
      <c r="U57" s="77">
        <v>3</v>
      </c>
      <c r="V57" s="175" t="s">
        <v>5872</v>
      </c>
      <c r="W57" s="175">
        <v>3</v>
      </c>
      <c r="X57" s="175">
        <v>3</v>
      </c>
      <c r="Y57" s="175">
        <v>2</v>
      </c>
      <c r="Z57" s="175">
        <v>2.5</v>
      </c>
      <c r="AA57" s="175">
        <v>3</v>
      </c>
      <c r="AB57" s="175" t="s">
        <v>61</v>
      </c>
      <c r="AC57" s="77">
        <v>3</v>
      </c>
      <c r="AD57" s="77">
        <v>3</v>
      </c>
      <c r="AE57" s="77">
        <v>2</v>
      </c>
      <c r="AF57" s="77">
        <v>2.5</v>
      </c>
      <c r="AG57" s="77">
        <v>3</v>
      </c>
      <c r="AH57" s="150" t="s">
        <v>4212</v>
      </c>
    </row>
    <row r="58" spans="1:34">
      <c r="A58" s="146">
        <v>162</v>
      </c>
      <c r="B58" s="147" t="s">
        <v>6059</v>
      </c>
      <c r="C58" s="179">
        <v>3</v>
      </c>
      <c r="D58" s="179">
        <v>2.5</v>
      </c>
      <c r="E58" s="179">
        <v>2</v>
      </c>
      <c r="F58" s="179">
        <v>2</v>
      </c>
      <c r="G58" s="179">
        <v>3</v>
      </c>
      <c r="H58" s="148" t="s">
        <v>5869</v>
      </c>
      <c r="I58" s="179" t="s">
        <v>3125</v>
      </c>
      <c r="J58" s="46"/>
      <c r="K58" s="175">
        <v>3</v>
      </c>
      <c r="L58" s="175">
        <v>2.5</v>
      </c>
      <c r="M58" s="175">
        <v>2</v>
      </c>
      <c r="N58" s="175">
        <v>2.5</v>
      </c>
      <c r="O58" s="175">
        <v>3</v>
      </c>
      <c r="P58" s="175" t="s">
        <v>6074</v>
      </c>
      <c r="Q58" s="77">
        <v>3</v>
      </c>
      <c r="R58" s="77">
        <v>2.5</v>
      </c>
      <c r="S58" s="77">
        <v>2</v>
      </c>
      <c r="T58" s="77">
        <v>2.5</v>
      </c>
      <c r="U58" s="77">
        <v>3</v>
      </c>
      <c r="V58" s="175" t="s">
        <v>5961</v>
      </c>
      <c r="W58" s="175">
        <v>3</v>
      </c>
      <c r="X58" s="175">
        <v>3</v>
      </c>
      <c r="Y58" s="175">
        <v>2</v>
      </c>
      <c r="Z58" s="175">
        <v>2.5</v>
      </c>
      <c r="AA58" s="175">
        <v>3</v>
      </c>
      <c r="AB58" s="175" t="s">
        <v>61</v>
      </c>
      <c r="AC58" s="77">
        <v>3</v>
      </c>
      <c r="AD58" s="77">
        <v>2</v>
      </c>
      <c r="AE58" s="77">
        <v>2</v>
      </c>
      <c r="AF58" s="77">
        <v>2</v>
      </c>
      <c r="AG58" s="77">
        <v>3</v>
      </c>
      <c r="AH58" s="150" t="s">
        <v>4891</v>
      </c>
    </row>
    <row r="59" spans="1:34">
      <c r="A59" s="146">
        <v>162</v>
      </c>
      <c r="B59" s="147" t="s">
        <v>6063</v>
      </c>
      <c r="C59" s="179">
        <v>3</v>
      </c>
      <c r="D59" s="179">
        <v>2.5</v>
      </c>
      <c r="E59" s="179">
        <v>2</v>
      </c>
      <c r="F59" s="179">
        <v>2.5</v>
      </c>
      <c r="G59" s="179">
        <v>3</v>
      </c>
      <c r="H59" s="148"/>
      <c r="I59" s="179" t="s">
        <v>3125</v>
      </c>
      <c r="J59" s="46"/>
      <c r="K59" s="175">
        <v>3</v>
      </c>
      <c r="L59" s="175">
        <v>2.5</v>
      </c>
      <c r="M59" s="175">
        <v>2</v>
      </c>
      <c r="N59" s="175">
        <v>2.5</v>
      </c>
      <c r="O59" s="175">
        <v>3</v>
      </c>
      <c r="P59" s="175" t="s">
        <v>4891</v>
      </c>
      <c r="Q59" s="77">
        <v>3</v>
      </c>
      <c r="R59" s="77">
        <v>3</v>
      </c>
      <c r="S59" s="77">
        <v>2.5</v>
      </c>
      <c r="T59" s="77">
        <v>2.5</v>
      </c>
      <c r="U59" s="77">
        <v>3</v>
      </c>
      <c r="V59" s="175" t="s">
        <v>5960</v>
      </c>
      <c r="W59" s="175">
        <v>3</v>
      </c>
      <c r="X59" s="175">
        <v>2.5</v>
      </c>
      <c r="Y59" s="175">
        <v>2.5</v>
      </c>
      <c r="Z59" s="175">
        <v>2.5</v>
      </c>
      <c r="AA59" s="175">
        <v>3</v>
      </c>
      <c r="AB59" s="175" t="s">
        <v>5960</v>
      </c>
      <c r="AC59" s="77">
        <v>3</v>
      </c>
      <c r="AD59" s="77">
        <v>2</v>
      </c>
      <c r="AE59" s="77">
        <v>2.5</v>
      </c>
      <c r="AF59" s="77">
        <v>2</v>
      </c>
      <c r="AG59" s="77">
        <v>3</v>
      </c>
      <c r="AH59" s="150" t="s">
        <v>4891</v>
      </c>
    </row>
    <row r="60" spans="1:34">
      <c r="A60" s="146">
        <v>162</v>
      </c>
      <c r="B60" s="147" t="s">
        <v>6065</v>
      </c>
      <c r="C60" s="179">
        <v>3</v>
      </c>
      <c r="D60" s="179">
        <v>3</v>
      </c>
      <c r="E60" s="179">
        <v>2</v>
      </c>
      <c r="F60" s="179">
        <v>2</v>
      </c>
      <c r="G60" s="179">
        <v>3</v>
      </c>
      <c r="H60" s="148"/>
      <c r="I60" s="179" t="s">
        <v>3125</v>
      </c>
      <c r="J60" s="46"/>
      <c r="K60" s="175">
        <v>3</v>
      </c>
      <c r="L60" s="175">
        <v>2</v>
      </c>
      <c r="M60" s="175">
        <v>2</v>
      </c>
      <c r="N60" s="175">
        <v>2</v>
      </c>
      <c r="O60" s="175">
        <v>3</v>
      </c>
      <c r="P60" s="175" t="s">
        <v>62</v>
      </c>
      <c r="Q60" s="77">
        <v>3</v>
      </c>
      <c r="R60" s="77">
        <v>3</v>
      </c>
      <c r="S60" s="77">
        <v>2.5</v>
      </c>
      <c r="T60" s="77">
        <v>2</v>
      </c>
      <c r="U60" s="77">
        <v>3</v>
      </c>
      <c r="V60" s="175" t="s">
        <v>5875</v>
      </c>
      <c r="W60" s="175">
        <v>3</v>
      </c>
      <c r="X60" s="175">
        <v>3</v>
      </c>
      <c r="Y60" s="175">
        <v>2.5</v>
      </c>
      <c r="Z60" s="175">
        <v>2.5</v>
      </c>
      <c r="AA60" s="175">
        <v>3</v>
      </c>
      <c r="AB60" s="175" t="s">
        <v>6075</v>
      </c>
      <c r="AC60" s="77">
        <v>3</v>
      </c>
      <c r="AD60" s="77">
        <v>3</v>
      </c>
      <c r="AE60" s="77">
        <v>2.5</v>
      </c>
      <c r="AF60" s="77">
        <v>2</v>
      </c>
      <c r="AG60" s="77">
        <v>3</v>
      </c>
      <c r="AH60" s="150" t="s">
        <v>60</v>
      </c>
    </row>
    <row r="61" spans="1:34">
      <c r="A61" s="146">
        <v>162</v>
      </c>
      <c r="B61" s="147" t="s">
        <v>6067</v>
      </c>
      <c r="C61" s="180">
        <v>3</v>
      </c>
      <c r="D61" s="180">
        <v>3</v>
      </c>
      <c r="E61" s="180">
        <v>2</v>
      </c>
      <c r="F61" s="180">
        <v>2</v>
      </c>
      <c r="G61" s="180">
        <v>3</v>
      </c>
      <c r="H61" s="148"/>
      <c r="I61" s="180" t="s">
        <v>5868</v>
      </c>
      <c r="J61" s="46" t="s">
        <v>5878</v>
      </c>
      <c r="K61" s="175">
        <v>3</v>
      </c>
      <c r="L61" s="175">
        <v>2</v>
      </c>
      <c r="M61" s="175">
        <v>2</v>
      </c>
      <c r="N61" s="175">
        <v>2</v>
      </c>
      <c r="O61" s="175">
        <v>3</v>
      </c>
      <c r="P61" s="175" t="s">
        <v>62</v>
      </c>
      <c r="Q61" s="77">
        <v>3</v>
      </c>
      <c r="R61" s="77">
        <v>2</v>
      </c>
      <c r="S61" s="77">
        <v>2</v>
      </c>
      <c r="T61" s="77">
        <v>2</v>
      </c>
      <c r="U61" s="77">
        <v>3</v>
      </c>
      <c r="V61" s="175" t="s">
        <v>5874</v>
      </c>
      <c r="W61" s="175">
        <v>3</v>
      </c>
      <c r="X61" s="175">
        <v>2.5</v>
      </c>
      <c r="Y61" s="175">
        <v>2</v>
      </c>
      <c r="Z61" s="175">
        <v>2</v>
      </c>
      <c r="AA61" s="175">
        <v>3</v>
      </c>
      <c r="AB61" s="175" t="s">
        <v>5872</v>
      </c>
      <c r="AC61" s="77">
        <v>3</v>
      </c>
      <c r="AD61" s="77">
        <v>2</v>
      </c>
      <c r="AE61" s="77">
        <v>2</v>
      </c>
      <c r="AF61" s="77">
        <v>2</v>
      </c>
      <c r="AG61" s="77">
        <v>3</v>
      </c>
      <c r="AH61" s="150" t="s">
        <v>62</v>
      </c>
    </row>
    <row r="62" spans="1:34">
      <c r="A62" s="146">
        <v>162</v>
      </c>
      <c r="B62" s="147" t="s">
        <v>6069</v>
      </c>
      <c r="C62" s="148">
        <v>3</v>
      </c>
      <c r="D62" s="148">
        <v>2.5</v>
      </c>
      <c r="E62" s="148">
        <v>2</v>
      </c>
      <c r="F62" s="148">
        <v>2</v>
      </c>
      <c r="G62" s="148">
        <v>3</v>
      </c>
      <c r="H62" s="148" t="s">
        <v>5869</v>
      </c>
      <c r="I62" s="181" t="s">
        <v>3125</v>
      </c>
      <c r="J62" s="46"/>
      <c r="K62" s="175">
        <v>3</v>
      </c>
      <c r="L62" s="175">
        <v>2.5</v>
      </c>
      <c r="M62" s="175">
        <v>2</v>
      </c>
      <c r="N62" s="175">
        <v>2</v>
      </c>
      <c r="O62" s="175">
        <v>3</v>
      </c>
      <c r="P62" s="175" t="s">
        <v>5999</v>
      </c>
      <c r="Q62" s="77">
        <v>3</v>
      </c>
      <c r="R62" s="77">
        <v>2.5</v>
      </c>
      <c r="S62" s="77">
        <v>2.5</v>
      </c>
      <c r="T62" s="77">
        <v>2</v>
      </c>
      <c r="U62" s="77">
        <v>3</v>
      </c>
      <c r="V62" s="175" t="s">
        <v>5873</v>
      </c>
      <c r="W62" s="175">
        <v>3</v>
      </c>
      <c r="X62" s="175">
        <v>2.5</v>
      </c>
      <c r="Y62" s="175">
        <v>2</v>
      </c>
      <c r="Z62" s="175">
        <v>2.5</v>
      </c>
      <c r="AA62" s="175">
        <v>3</v>
      </c>
      <c r="AB62" s="175" t="s">
        <v>5876</v>
      </c>
      <c r="AC62" s="77">
        <v>3</v>
      </c>
      <c r="AD62" s="77">
        <v>2.5</v>
      </c>
      <c r="AE62" s="77">
        <v>2.5</v>
      </c>
      <c r="AF62" s="77">
        <v>2</v>
      </c>
      <c r="AG62" s="77">
        <v>3</v>
      </c>
      <c r="AH62" s="150" t="s">
        <v>4891</v>
      </c>
    </row>
    <row r="63" spans="1:34">
      <c r="A63" s="146">
        <v>162</v>
      </c>
      <c r="B63" s="147" t="s">
        <v>6072</v>
      </c>
      <c r="C63" s="179">
        <v>3</v>
      </c>
      <c r="D63" s="179">
        <v>2</v>
      </c>
      <c r="E63" s="179">
        <v>2</v>
      </c>
      <c r="F63" s="179">
        <v>2</v>
      </c>
      <c r="G63" s="179">
        <v>3</v>
      </c>
      <c r="H63" s="148" t="s">
        <v>5869</v>
      </c>
      <c r="I63" s="179" t="s">
        <v>3125</v>
      </c>
      <c r="J63" s="46"/>
      <c r="K63" s="175">
        <v>3</v>
      </c>
      <c r="L63" s="175">
        <v>2</v>
      </c>
      <c r="M63" s="175">
        <v>2</v>
      </c>
      <c r="N63" s="175">
        <v>1.5</v>
      </c>
      <c r="O63" s="175">
        <v>3</v>
      </c>
      <c r="P63" s="175" t="s">
        <v>3321</v>
      </c>
      <c r="Q63" s="77">
        <v>3</v>
      </c>
      <c r="R63" s="77">
        <v>2.5</v>
      </c>
      <c r="S63" s="77">
        <v>2</v>
      </c>
      <c r="T63" s="77">
        <v>2.5</v>
      </c>
      <c r="U63" s="77">
        <v>3</v>
      </c>
      <c r="V63" s="175" t="s">
        <v>5961</v>
      </c>
      <c r="W63" s="175">
        <v>3</v>
      </c>
      <c r="X63" s="175">
        <v>2.5</v>
      </c>
      <c r="Y63" s="175">
        <v>2</v>
      </c>
      <c r="Z63" s="175">
        <v>2.5</v>
      </c>
      <c r="AA63" s="175">
        <v>3</v>
      </c>
      <c r="AB63" s="175" t="s">
        <v>5961</v>
      </c>
      <c r="AC63" s="77">
        <v>3</v>
      </c>
      <c r="AD63" s="77">
        <v>2</v>
      </c>
      <c r="AE63" s="77">
        <v>2</v>
      </c>
      <c r="AF63" s="77">
        <v>2</v>
      </c>
      <c r="AG63" s="77">
        <v>3</v>
      </c>
      <c r="AH63" s="150" t="s">
        <v>5997</v>
      </c>
    </row>
    <row r="64" spans="1:34">
      <c r="A64" s="146">
        <v>162</v>
      </c>
      <c r="B64" s="147" t="s">
        <v>5744</v>
      </c>
      <c r="C64" s="46">
        <v>3</v>
      </c>
      <c r="D64" s="46">
        <v>2.5</v>
      </c>
      <c r="E64" s="46">
        <v>2.5</v>
      </c>
      <c r="F64" s="46">
        <v>2.5</v>
      </c>
      <c r="G64" s="46">
        <v>3</v>
      </c>
      <c r="H64" s="148"/>
      <c r="I64" s="181" t="s">
        <v>3122</v>
      </c>
      <c r="J64" s="46"/>
      <c r="K64" s="175">
        <v>3</v>
      </c>
      <c r="L64" s="175">
        <v>2</v>
      </c>
      <c r="M64" s="175">
        <v>2.5</v>
      </c>
      <c r="N64" s="175">
        <v>2</v>
      </c>
      <c r="O64" s="175">
        <v>3</v>
      </c>
      <c r="P64" s="175" t="s">
        <v>4891</v>
      </c>
      <c r="Q64" s="77">
        <v>3</v>
      </c>
      <c r="R64" s="77">
        <v>2.5</v>
      </c>
      <c r="S64" s="77">
        <v>2.5</v>
      </c>
      <c r="T64" s="77">
        <v>2</v>
      </c>
      <c r="U64" s="77">
        <v>3</v>
      </c>
      <c r="V64" s="175" t="s">
        <v>5873</v>
      </c>
      <c r="W64" s="175">
        <v>3</v>
      </c>
      <c r="X64" s="175">
        <v>3</v>
      </c>
      <c r="Y64" s="175">
        <v>2.5</v>
      </c>
      <c r="Z64" s="175">
        <v>2</v>
      </c>
      <c r="AA64" s="175">
        <v>3</v>
      </c>
      <c r="AB64" s="175" t="s">
        <v>3246</v>
      </c>
      <c r="AC64" s="77">
        <v>3</v>
      </c>
      <c r="AD64" s="77">
        <v>2</v>
      </c>
      <c r="AE64" s="77">
        <v>2.5</v>
      </c>
      <c r="AF64" s="77">
        <v>2</v>
      </c>
      <c r="AG64" s="77">
        <v>3</v>
      </c>
      <c r="AH64" s="150" t="s">
        <v>62</v>
      </c>
    </row>
    <row r="65" spans="1:34">
      <c r="A65" s="146">
        <v>162</v>
      </c>
      <c r="B65" s="147" t="s">
        <v>5750</v>
      </c>
      <c r="C65" s="46">
        <v>3</v>
      </c>
      <c r="D65" s="46">
        <v>2.5</v>
      </c>
      <c r="E65" s="46">
        <v>2</v>
      </c>
      <c r="F65" s="46">
        <v>2</v>
      </c>
      <c r="G65" s="46">
        <v>3</v>
      </c>
      <c r="H65" s="148" t="s">
        <v>5869</v>
      </c>
      <c r="I65" s="181" t="s">
        <v>3122</v>
      </c>
      <c r="J65" s="46"/>
      <c r="K65" s="175">
        <v>3</v>
      </c>
      <c r="L65" s="175">
        <v>2.5</v>
      </c>
      <c r="M65" s="175">
        <v>2</v>
      </c>
      <c r="N65" s="175">
        <v>2.5</v>
      </c>
      <c r="O65" s="175">
        <v>3</v>
      </c>
      <c r="P65" s="175" t="s">
        <v>4891</v>
      </c>
      <c r="Q65" s="77">
        <v>3</v>
      </c>
      <c r="R65" s="77">
        <v>2.5</v>
      </c>
      <c r="S65" s="77">
        <v>2</v>
      </c>
      <c r="T65" s="77">
        <v>2.5</v>
      </c>
      <c r="U65" s="77">
        <v>3</v>
      </c>
      <c r="V65" s="175" t="s">
        <v>5961</v>
      </c>
      <c r="W65" s="175">
        <v>3</v>
      </c>
      <c r="X65" s="175">
        <v>2.5</v>
      </c>
      <c r="Y65" s="175">
        <v>2</v>
      </c>
      <c r="Z65" s="175">
        <v>2.5</v>
      </c>
      <c r="AA65" s="175">
        <v>3</v>
      </c>
      <c r="AB65" s="175" t="s">
        <v>5876</v>
      </c>
      <c r="AC65" s="77">
        <v>3</v>
      </c>
      <c r="AD65" s="77">
        <v>2.5</v>
      </c>
      <c r="AE65" s="77">
        <v>2</v>
      </c>
      <c r="AF65" s="77">
        <v>2</v>
      </c>
      <c r="AG65" s="77">
        <v>3</v>
      </c>
      <c r="AH65" s="150" t="s">
        <v>5997</v>
      </c>
    </row>
    <row r="66" spans="1:34">
      <c r="A66" s="146">
        <v>162</v>
      </c>
      <c r="B66" s="147" t="s">
        <v>5751</v>
      </c>
      <c r="C66" s="46">
        <v>3</v>
      </c>
      <c r="D66" s="46">
        <v>2.5</v>
      </c>
      <c r="E66" s="46">
        <v>2</v>
      </c>
      <c r="F66" s="46">
        <v>2</v>
      </c>
      <c r="G66" s="46">
        <v>3</v>
      </c>
      <c r="H66" s="148" t="s">
        <v>5869</v>
      </c>
      <c r="I66" s="181" t="s">
        <v>3122</v>
      </c>
      <c r="J66" s="46"/>
      <c r="K66" s="175">
        <v>3</v>
      </c>
      <c r="L66" s="175">
        <v>2</v>
      </c>
      <c r="M66" s="175">
        <v>2.5</v>
      </c>
      <c r="N66" s="175">
        <v>1.5</v>
      </c>
      <c r="O66" s="175">
        <v>3</v>
      </c>
      <c r="P66" s="175" t="s">
        <v>62</v>
      </c>
      <c r="Q66" s="77">
        <v>3</v>
      </c>
      <c r="R66" s="77">
        <v>2.5</v>
      </c>
      <c r="S66" s="77">
        <v>2.5</v>
      </c>
      <c r="T66" s="77">
        <v>2.5</v>
      </c>
      <c r="U66" s="77">
        <v>3</v>
      </c>
      <c r="V66" s="175" t="s">
        <v>5873</v>
      </c>
      <c r="W66" s="175">
        <v>3</v>
      </c>
      <c r="X66" s="175">
        <v>2.5</v>
      </c>
      <c r="Y66" s="175">
        <v>2.5</v>
      </c>
      <c r="Z66" s="175">
        <v>2</v>
      </c>
      <c r="AA66" s="175">
        <v>3</v>
      </c>
      <c r="AB66" s="175" t="s">
        <v>5873</v>
      </c>
      <c r="AC66" s="77">
        <v>3</v>
      </c>
      <c r="AD66" s="77">
        <v>2</v>
      </c>
      <c r="AE66" s="77">
        <v>2.5</v>
      </c>
      <c r="AF66" s="77">
        <v>2</v>
      </c>
      <c r="AG66" s="77">
        <v>3</v>
      </c>
      <c r="AH66" s="150" t="s">
        <v>4891</v>
      </c>
    </row>
    <row r="67" spans="1:34">
      <c r="A67" s="146">
        <v>162</v>
      </c>
      <c r="B67" s="147" t="s">
        <v>5753</v>
      </c>
      <c r="C67" s="46">
        <v>3</v>
      </c>
      <c r="D67" s="46">
        <v>3</v>
      </c>
      <c r="E67" s="46">
        <v>2</v>
      </c>
      <c r="F67" s="46">
        <v>2</v>
      </c>
      <c r="G67" s="46">
        <v>3</v>
      </c>
      <c r="H67" s="148"/>
      <c r="I67" s="181" t="s">
        <v>3122</v>
      </c>
      <c r="J67" s="46"/>
      <c r="K67" s="175">
        <v>3</v>
      </c>
      <c r="L67" s="175">
        <v>3</v>
      </c>
      <c r="M67" s="175">
        <v>2</v>
      </c>
      <c r="N67" s="175">
        <v>2</v>
      </c>
      <c r="O67" s="175">
        <v>3</v>
      </c>
      <c r="P67" s="175" t="s">
        <v>4891</v>
      </c>
      <c r="Q67" s="77">
        <v>3</v>
      </c>
      <c r="R67" s="77">
        <v>2.5</v>
      </c>
      <c r="S67" s="77">
        <v>2</v>
      </c>
      <c r="T67" s="77">
        <v>2.5</v>
      </c>
      <c r="U67" s="77">
        <v>3</v>
      </c>
      <c r="V67" s="175" t="s">
        <v>5876</v>
      </c>
      <c r="W67" s="175">
        <v>3</v>
      </c>
      <c r="X67" s="175">
        <v>3</v>
      </c>
      <c r="Y67" s="175">
        <v>2</v>
      </c>
      <c r="Z67" s="175">
        <v>2.5</v>
      </c>
      <c r="AA67" s="175">
        <v>3</v>
      </c>
      <c r="AB67" s="175" t="s">
        <v>5876</v>
      </c>
      <c r="AC67" s="77">
        <v>3</v>
      </c>
      <c r="AD67" s="77">
        <v>3</v>
      </c>
      <c r="AE67" s="77">
        <v>2</v>
      </c>
      <c r="AF67" s="77">
        <v>2.5</v>
      </c>
      <c r="AG67" s="77">
        <v>3</v>
      </c>
      <c r="AH67" s="150" t="s">
        <v>171</v>
      </c>
    </row>
    <row r="68" spans="1:34">
      <c r="A68" s="151" t="s">
        <v>6100</v>
      </c>
      <c r="B68" s="152" t="s">
        <v>6076</v>
      </c>
      <c r="C68" s="46">
        <v>3</v>
      </c>
      <c r="D68" s="46">
        <v>2.5</v>
      </c>
      <c r="E68" s="46">
        <v>2</v>
      </c>
      <c r="F68" s="46">
        <v>1.5</v>
      </c>
      <c r="G68" s="46">
        <v>3</v>
      </c>
      <c r="H68" s="153" t="s">
        <v>5867</v>
      </c>
      <c r="I68" s="179" t="s">
        <v>3125</v>
      </c>
      <c r="J68" s="46"/>
      <c r="K68" s="175">
        <v>3</v>
      </c>
      <c r="L68" s="175">
        <v>2.5</v>
      </c>
      <c r="M68" s="175">
        <v>1.5</v>
      </c>
      <c r="N68" s="175">
        <v>1.5</v>
      </c>
      <c r="O68" s="175">
        <v>3</v>
      </c>
      <c r="P68" s="175" t="s">
        <v>3818</v>
      </c>
      <c r="Q68" s="77">
        <v>3</v>
      </c>
      <c r="R68" s="77">
        <v>2.5</v>
      </c>
      <c r="S68" s="77">
        <v>2</v>
      </c>
      <c r="T68" s="77">
        <v>1.5</v>
      </c>
      <c r="U68" s="77">
        <v>3</v>
      </c>
      <c r="V68" s="175" t="s">
        <v>5917</v>
      </c>
      <c r="W68" s="175">
        <v>3</v>
      </c>
      <c r="X68" s="175">
        <v>2.5</v>
      </c>
      <c r="Y68" s="175">
        <v>2</v>
      </c>
      <c r="Z68" s="175">
        <v>1.5</v>
      </c>
      <c r="AA68" s="175">
        <v>3</v>
      </c>
      <c r="AB68" s="175" t="s">
        <v>3818</v>
      </c>
      <c r="AC68" s="77">
        <v>3</v>
      </c>
      <c r="AD68" s="77">
        <v>2.5</v>
      </c>
      <c r="AE68" s="77">
        <v>2</v>
      </c>
      <c r="AF68" s="77">
        <v>1.5</v>
      </c>
      <c r="AG68" s="77">
        <v>3</v>
      </c>
      <c r="AH68" s="150" t="s">
        <v>3321</v>
      </c>
    </row>
    <row r="69" spans="1:34">
      <c r="A69" s="146" t="s">
        <v>6100</v>
      </c>
      <c r="B69" s="147" t="s">
        <v>6077</v>
      </c>
      <c r="C69" s="46">
        <v>3</v>
      </c>
      <c r="D69" s="46">
        <v>2</v>
      </c>
      <c r="E69" s="46">
        <v>2</v>
      </c>
      <c r="F69" s="46">
        <v>2</v>
      </c>
      <c r="G69" s="46">
        <v>3</v>
      </c>
      <c r="H69" s="153" t="s">
        <v>5867</v>
      </c>
      <c r="I69" s="179" t="s">
        <v>3125</v>
      </c>
      <c r="J69" s="46"/>
      <c r="K69" s="175">
        <v>3</v>
      </c>
      <c r="L69" s="175">
        <v>2</v>
      </c>
      <c r="M69" s="175">
        <v>2</v>
      </c>
      <c r="N69" s="175">
        <v>2</v>
      </c>
      <c r="O69" s="175">
        <v>3</v>
      </c>
      <c r="P69" s="175" t="s">
        <v>5917</v>
      </c>
      <c r="Q69" s="77">
        <v>3</v>
      </c>
      <c r="R69" s="77">
        <v>2</v>
      </c>
      <c r="S69" s="77">
        <v>2</v>
      </c>
      <c r="T69" s="77">
        <v>2</v>
      </c>
      <c r="U69" s="77">
        <v>3</v>
      </c>
      <c r="V69" s="175" t="s">
        <v>5917</v>
      </c>
      <c r="W69" s="175">
        <v>3</v>
      </c>
      <c r="X69" s="175">
        <v>2.5</v>
      </c>
      <c r="Y69" s="175">
        <v>2</v>
      </c>
      <c r="Z69" s="175">
        <v>2</v>
      </c>
      <c r="AA69" s="175">
        <v>3</v>
      </c>
      <c r="AB69" s="175" t="s">
        <v>62</v>
      </c>
      <c r="AC69" s="77">
        <v>3</v>
      </c>
      <c r="AD69" s="77">
        <v>2.5</v>
      </c>
      <c r="AE69" s="77">
        <v>2</v>
      </c>
      <c r="AF69" s="77">
        <v>2</v>
      </c>
      <c r="AG69" s="77">
        <v>3</v>
      </c>
      <c r="AH69" s="150" t="s">
        <v>62</v>
      </c>
    </row>
    <row r="70" spans="1:34">
      <c r="A70" s="146" t="s">
        <v>6100</v>
      </c>
      <c r="B70" s="147" t="s">
        <v>6078</v>
      </c>
      <c r="C70" s="46">
        <v>3</v>
      </c>
      <c r="D70" s="46">
        <v>3</v>
      </c>
      <c r="E70" s="46">
        <v>2</v>
      </c>
      <c r="F70" s="46">
        <v>1.5</v>
      </c>
      <c r="G70" s="46">
        <v>3</v>
      </c>
      <c r="H70" s="153" t="s">
        <v>5867</v>
      </c>
      <c r="I70" s="179" t="s">
        <v>3125</v>
      </c>
      <c r="J70" s="46"/>
      <c r="K70" s="175">
        <v>3</v>
      </c>
      <c r="L70" s="175">
        <v>2</v>
      </c>
      <c r="M70" s="175">
        <v>1.5</v>
      </c>
      <c r="N70" s="175">
        <v>1.5</v>
      </c>
      <c r="O70" s="175">
        <v>3</v>
      </c>
      <c r="P70" s="175" t="s">
        <v>3818</v>
      </c>
      <c r="Q70" s="77">
        <v>3</v>
      </c>
      <c r="R70" s="77">
        <v>2.5</v>
      </c>
      <c r="S70" s="77">
        <v>2</v>
      </c>
      <c r="T70" s="77">
        <v>2</v>
      </c>
      <c r="U70" s="77">
        <v>3</v>
      </c>
      <c r="V70" s="175" t="s">
        <v>5922</v>
      </c>
      <c r="W70" s="175">
        <v>3</v>
      </c>
      <c r="X70" s="175">
        <v>3</v>
      </c>
      <c r="Y70" s="175">
        <v>2</v>
      </c>
      <c r="Z70" s="175">
        <v>2</v>
      </c>
      <c r="AA70" s="175">
        <v>3</v>
      </c>
      <c r="AB70" s="175" t="s">
        <v>6101</v>
      </c>
      <c r="AC70" s="77">
        <v>3</v>
      </c>
      <c r="AD70" s="77">
        <v>3</v>
      </c>
      <c r="AE70" s="77">
        <v>2</v>
      </c>
      <c r="AF70" s="77">
        <v>1.5</v>
      </c>
      <c r="AG70" s="77">
        <v>3</v>
      </c>
      <c r="AH70" s="150" t="s">
        <v>4970</v>
      </c>
    </row>
    <row r="71" spans="1:34">
      <c r="A71" s="146" t="s">
        <v>6100</v>
      </c>
      <c r="B71" s="147" t="s">
        <v>6079</v>
      </c>
      <c r="C71" s="46">
        <v>3</v>
      </c>
      <c r="D71" s="46">
        <v>2.5</v>
      </c>
      <c r="E71" s="46">
        <v>1.5</v>
      </c>
      <c r="F71" s="46">
        <v>2</v>
      </c>
      <c r="G71" s="46">
        <v>3</v>
      </c>
      <c r="H71" s="153" t="s">
        <v>5867</v>
      </c>
      <c r="I71" s="179" t="s">
        <v>3125</v>
      </c>
      <c r="J71" s="46"/>
      <c r="K71" s="175">
        <v>3</v>
      </c>
      <c r="L71" s="175">
        <v>2</v>
      </c>
      <c r="M71" s="175">
        <v>1.5</v>
      </c>
      <c r="N71" s="175">
        <v>2</v>
      </c>
      <c r="O71" s="175">
        <v>3</v>
      </c>
      <c r="P71" s="175" t="s">
        <v>3818</v>
      </c>
      <c r="Q71" s="77">
        <v>3</v>
      </c>
      <c r="R71" s="77">
        <v>2</v>
      </c>
      <c r="S71" s="77">
        <v>2</v>
      </c>
      <c r="T71" s="77">
        <v>2</v>
      </c>
      <c r="U71" s="77">
        <v>3</v>
      </c>
      <c r="V71" s="175" t="s">
        <v>5917</v>
      </c>
      <c r="W71" s="175">
        <v>3</v>
      </c>
      <c r="X71" s="175">
        <v>3</v>
      </c>
      <c r="Y71" s="175">
        <v>2</v>
      </c>
      <c r="Z71" s="175">
        <v>2</v>
      </c>
      <c r="AA71" s="175">
        <v>3</v>
      </c>
      <c r="AB71" s="175" t="s">
        <v>6102</v>
      </c>
      <c r="AC71" s="77">
        <v>3</v>
      </c>
      <c r="AD71" s="77">
        <v>2.5</v>
      </c>
      <c r="AE71" s="77">
        <v>2</v>
      </c>
      <c r="AF71" s="77">
        <v>2</v>
      </c>
      <c r="AG71" s="77">
        <v>3</v>
      </c>
      <c r="AH71" s="150" t="s">
        <v>3244</v>
      </c>
    </row>
    <row r="72" spans="1:34">
      <c r="A72" s="146" t="s">
        <v>6100</v>
      </c>
      <c r="B72" s="147" t="s">
        <v>6080</v>
      </c>
      <c r="C72" s="46">
        <v>3</v>
      </c>
      <c r="D72" s="46">
        <v>2</v>
      </c>
      <c r="E72" s="46">
        <v>2</v>
      </c>
      <c r="F72" s="46">
        <v>1.5</v>
      </c>
      <c r="G72" s="46">
        <v>3</v>
      </c>
      <c r="H72" s="153" t="s">
        <v>5867</v>
      </c>
      <c r="I72" s="179" t="s">
        <v>3125</v>
      </c>
      <c r="J72" s="46"/>
      <c r="K72" s="175">
        <v>3</v>
      </c>
      <c r="L72" s="175">
        <v>2</v>
      </c>
      <c r="M72" s="175">
        <v>1.5</v>
      </c>
      <c r="N72" s="175">
        <v>1.5</v>
      </c>
      <c r="O72" s="175">
        <v>3</v>
      </c>
      <c r="P72" s="175" t="s">
        <v>3818</v>
      </c>
      <c r="Q72" s="77">
        <v>3</v>
      </c>
      <c r="R72" s="77">
        <v>2</v>
      </c>
      <c r="S72" s="77">
        <v>1.5</v>
      </c>
      <c r="T72" s="77">
        <v>1.5</v>
      </c>
      <c r="U72" s="77">
        <v>3</v>
      </c>
      <c r="V72" s="175" t="s">
        <v>3818</v>
      </c>
      <c r="W72" s="175">
        <v>3</v>
      </c>
      <c r="X72" s="175">
        <v>2.5</v>
      </c>
      <c r="Y72" s="175">
        <v>2</v>
      </c>
      <c r="Z72" s="175">
        <v>1.5</v>
      </c>
      <c r="AA72" s="175">
        <v>3</v>
      </c>
      <c r="AB72" s="175" t="s">
        <v>3818</v>
      </c>
      <c r="AC72" s="77">
        <v>3</v>
      </c>
      <c r="AD72" s="77">
        <v>2.5</v>
      </c>
      <c r="AE72" s="77">
        <v>2</v>
      </c>
      <c r="AF72" s="77">
        <v>1.5</v>
      </c>
      <c r="AG72" s="77">
        <v>3</v>
      </c>
      <c r="AH72" s="150" t="s">
        <v>3818</v>
      </c>
    </row>
    <row r="73" spans="1:34">
      <c r="A73" s="146" t="s">
        <v>6100</v>
      </c>
      <c r="B73" s="147" t="s">
        <v>6081</v>
      </c>
      <c r="C73" s="46">
        <v>3</v>
      </c>
      <c r="D73" s="46">
        <v>2.5</v>
      </c>
      <c r="E73" s="46">
        <v>2</v>
      </c>
      <c r="F73" s="46">
        <v>1.5</v>
      </c>
      <c r="G73" s="46">
        <v>3</v>
      </c>
      <c r="H73" s="153" t="s">
        <v>5867</v>
      </c>
      <c r="I73" s="179" t="s">
        <v>3125</v>
      </c>
      <c r="J73" s="46"/>
      <c r="K73" s="175">
        <v>3</v>
      </c>
      <c r="L73" s="175">
        <v>2.5</v>
      </c>
      <c r="M73" s="175">
        <v>1.5</v>
      </c>
      <c r="N73" s="175">
        <v>1.5</v>
      </c>
      <c r="O73" s="175">
        <v>3</v>
      </c>
      <c r="P73" s="175" t="s">
        <v>3818</v>
      </c>
      <c r="Q73" s="77">
        <v>3</v>
      </c>
      <c r="R73" s="77">
        <v>2</v>
      </c>
      <c r="S73" s="77">
        <v>2</v>
      </c>
      <c r="T73" s="77">
        <v>1.5</v>
      </c>
      <c r="U73" s="77">
        <v>3</v>
      </c>
      <c r="V73" s="175" t="s">
        <v>3818</v>
      </c>
      <c r="W73" s="175">
        <v>3</v>
      </c>
      <c r="X73" s="175">
        <v>2.5</v>
      </c>
      <c r="Y73" s="175">
        <v>2</v>
      </c>
      <c r="Z73" s="175">
        <v>2</v>
      </c>
      <c r="AA73" s="175">
        <v>3</v>
      </c>
      <c r="AB73" s="175" t="s">
        <v>62</v>
      </c>
      <c r="AC73" s="77">
        <v>3</v>
      </c>
      <c r="AD73" s="77">
        <v>2.5</v>
      </c>
      <c r="AE73" s="77">
        <v>1.5</v>
      </c>
      <c r="AF73" s="77">
        <v>1.5</v>
      </c>
      <c r="AG73" s="77">
        <v>3</v>
      </c>
      <c r="AH73" s="150" t="s">
        <v>3818</v>
      </c>
    </row>
    <row r="74" spans="1:34">
      <c r="A74" s="146" t="s">
        <v>6100</v>
      </c>
      <c r="B74" s="147" t="s">
        <v>6083</v>
      </c>
      <c r="C74" s="46">
        <v>3</v>
      </c>
      <c r="D74" s="46">
        <v>2</v>
      </c>
      <c r="E74" s="46">
        <v>2</v>
      </c>
      <c r="F74" s="46">
        <v>2</v>
      </c>
      <c r="G74" s="46">
        <v>3</v>
      </c>
      <c r="H74" s="153" t="s">
        <v>5867</v>
      </c>
      <c r="I74" s="179" t="s">
        <v>3125</v>
      </c>
      <c r="J74" s="46"/>
      <c r="K74" s="175">
        <v>3</v>
      </c>
      <c r="L74" s="175">
        <v>2</v>
      </c>
      <c r="M74" s="175">
        <v>2</v>
      </c>
      <c r="N74" s="175">
        <v>2</v>
      </c>
      <c r="O74" s="175">
        <v>3</v>
      </c>
      <c r="P74" s="175" t="s">
        <v>5917</v>
      </c>
      <c r="Q74" s="77">
        <v>3</v>
      </c>
      <c r="R74" s="77">
        <v>2.5</v>
      </c>
      <c r="S74" s="77">
        <v>2</v>
      </c>
      <c r="T74" s="77">
        <v>2</v>
      </c>
      <c r="U74" s="77">
        <v>3</v>
      </c>
      <c r="V74" s="175" t="s">
        <v>5922</v>
      </c>
      <c r="W74" s="175">
        <v>3</v>
      </c>
      <c r="X74" s="175">
        <v>2.5</v>
      </c>
      <c r="Y74" s="175">
        <v>2</v>
      </c>
      <c r="Z74" s="175">
        <v>2</v>
      </c>
      <c r="AA74" s="175">
        <v>3</v>
      </c>
      <c r="AB74" s="175" t="s">
        <v>6103</v>
      </c>
      <c r="AC74" s="77">
        <v>3</v>
      </c>
      <c r="AD74" s="77">
        <v>2.5</v>
      </c>
      <c r="AE74" s="77">
        <v>2</v>
      </c>
      <c r="AF74" s="77">
        <v>2.5</v>
      </c>
      <c r="AG74" s="77">
        <v>3</v>
      </c>
      <c r="AH74" s="150" t="s">
        <v>3244</v>
      </c>
    </row>
    <row r="75" spans="1:34">
      <c r="A75" s="146" t="s">
        <v>6100</v>
      </c>
      <c r="B75" s="147" t="s">
        <v>6085</v>
      </c>
      <c r="C75" s="46">
        <v>3</v>
      </c>
      <c r="D75" s="46">
        <v>2</v>
      </c>
      <c r="E75" s="46">
        <v>2</v>
      </c>
      <c r="F75" s="46">
        <v>1.5</v>
      </c>
      <c r="G75" s="46">
        <v>3</v>
      </c>
      <c r="H75" s="153" t="s">
        <v>5867</v>
      </c>
      <c r="I75" s="179" t="s">
        <v>3125</v>
      </c>
      <c r="J75" s="46"/>
      <c r="K75" s="175">
        <v>3</v>
      </c>
      <c r="L75" s="175">
        <v>2.5</v>
      </c>
      <c r="M75" s="175">
        <v>2</v>
      </c>
      <c r="N75" s="175">
        <v>1.5</v>
      </c>
      <c r="O75" s="175">
        <v>3</v>
      </c>
      <c r="P75" s="175" t="s">
        <v>5917</v>
      </c>
      <c r="Q75" s="77">
        <v>3</v>
      </c>
      <c r="R75" s="77">
        <v>2.5</v>
      </c>
      <c r="S75" s="77">
        <v>2</v>
      </c>
      <c r="T75" s="77">
        <v>2</v>
      </c>
      <c r="U75" s="77">
        <v>3</v>
      </c>
      <c r="V75" s="175" t="s">
        <v>5922</v>
      </c>
      <c r="W75" s="175">
        <v>3</v>
      </c>
      <c r="X75" s="175">
        <v>2.5</v>
      </c>
      <c r="Y75" s="175">
        <v>2</v>
      </c>
      <c r="Z75" s="175">
        <v>2</v>
      </c>
      <c r="AA75" s="175">
        <v>3</v>
      </c>
      <c r="AB75" s="175" t="s">
        <v>6103</v>
      </c>
      <c r="AC75" s="77">
        <v>3</v>
      </c>
      <c r="AD75" s="77">
        <v>2.5</v>
      </c>
      <c r="AE75" s="77">
        <v>2</v>
      </c>
      <c r="AF75" s="77">
        <v>2</v>
      </c>
      <c r="AG75" s="77">
        <v>3</v>
      </c>
      <c r="AH75" s="150" t="s">
        <v>3244</v>
      </c>
    </row>
    <row r="76" spans="1:34">
      <c r="A76" s="146" t="s">
        <v>6100</v>
      </c>
      <c r="B76" s="147" t="s">
        <v>6087</v>
      </c>
      <c r="C76" s="46">
        <v>3</v>
      </c>
      <c r="D76" s="46">
        <v>2</v>
      </c>
      <c r="E76" s="46">
        <v>2</v>
      </c>
      <c r="F76" s="46">
        <v>2</v>
      </c>
      <c r="G76" s="46">
        <v>3</v>
      </c>
      <c r="H76" s="153" t="s">
        <v>5867</v>
      </c>
      <c r="I76" s="179" t="s">
        <v>3125</v>
      </c>
      <c r="J76" s="46"/>
      <c r="K76" s="175">
        <v>3</v>
      </c>
      <c r="L76" s="175">
        <v>2</v>
      </c>
      <c r="M76" s="175">
        <v>1.5</v>
      </c>
      <c r="N76" s="175">
        <v>2</v>
      </c>
      <c r="O76" s="175">
        <v>3</v>
      </c>
      <c r="P76" s="175" t="s">
        <v>3818</v>
      </c>
      <c r="Q76" s="77">
        <v>3</v>
      </c>
      <c r="R76" s="77">
        <v>2</v>
      </c>
      <c r="S76" s="77">
        <v>2</v>
      </c>
      <c r="T76" s="77">
        <v>2</v>
      </c>
      <c r="U76" s="77">
        <v>3</v>
      </c>
      <c r="V76" s="175" t="s">
        <v>5917</v>
      </c>
      <c r="W76" s="175">
        <v>3</v>
      </c>
      <c r="X76" s="175">
        <v>2.5</v>
      </c>
      <c r="Y76" s="175">
        <v>2</v>
      </c>
      <c r="Z76" s="175">
        <v>2</v>
      </c>
      <c r="AA76" s="175">
        <v>3</v>
      </c>
      <c r="AB76" s="175" t="s">
        <v>6103</v>
      </c>
      <c r="AC76" s="77">
        <v>3</v>
      </c>
      <c r="AD76" s="77">
        <v>2</v>
      </c>
      <c r="AE76" s="77">
        <v>2.5</v>
      </c>
      <c r="AF76" s="77">
        <v>2</v>
      </c>
      <c r="AG76" s="77">
        <v>3</v>
      </c>
      <c r="AH76" s="150" t="s">
        <v>4970</v>
      </c>
    </row>
    <row r="77" spans="1:34">
      <c r="A77" s="146">
        <v>157</v>
      </c>
      <c r="B77" s="147" t="s">
        <v>5780</v>
      </c>
      <c r="C77" s="77">
        <v>3</v>
      </c>
      <c r="D77" s="77">
        <v>3</v>
      </c>
      <c r="E77" s="77">
        <v>2</v>
      </c>
      <c r="F77" s="77">
        <v>2</v>
      </c>
      <c r="G77" s="77">
        <v>3</v>
      </c>
      <c r="H77" s="176" t="s">
        <v>4891</v>
      </c>
      <c r="I77" s="181" t="s">
        <v>3122</v>
      </c>
      <c r="J77" s="46"/>
      <c r="K77" s="175">
        <v>3</v>
      </c>
      <c r="L77" s="175">
        <v>2.5</v>
      </c>
      <c r="M77" s="175">
        <v>2.5</v>
      </c>
      <c r="N77" s="175">
        <v>2</v>
      </c>
      <c r="O77" s="175">
        <v>3</v>
      </c>
      <c r="P77" s="175" t="s">
        <v>6107</v>
      </c>
      <c r="Q77" s="175"/>
      <c r="R77" s="175"/>
      <c r="S77" s="175"/>
      <c r="T77" s="175"/>
      <c r="U77" s="175"/>
      <c r="V77" s="175"/>
      <c r="W77" s="175">
        <v>3</v>
      </c>
      <c r="X77" s="175">
        <v>2.5</v>
      </c>
      <c r="Y77" s="175">
        <v>2.5</v>
      </c>
      <c r="Z77" s="175">
        <v>2.5</v>
      </c>
      <c r="AA77" s="175">
        <v>3</v>
      </c>
      <c r="AB77" s="175" t="s">
        <v>5918</v>
      </c>
      <c r="AC77" s="77">
        <v>3</v>
      </c>
      <c r="AD77" s="77">
        <v>3</v>
      </c>
      <c r="AE77" s="77">
        <v>2</v>
      </c>
      <c r="AF77" s="77">
        <v>2.5</v>
      </c>
      <c r="AG77" s="77">
        <v>3</v>
      </c>
      <c r="AH77" s="150" t="s">
        <v>61</v>
      </c>
    </row>
    <row r="78" spans="1:34">
      <c r="A78" s="146">
        <v>157</v>
      </c>
      <c r="B78" s="147" t="s">
        <v>5787</v>
      </c>
      <c r="C78" s="77">
        <v>3</v>
      </c>
      <c r="D78" s="77">
        <v>2</v>
      </c>
      <c r="E78" s="77">
        <v>2.5</v>
      </c>
      <c r="F78" s="77">
        <v>2</v>
      </c>
      <c r="G78" s="77">
        <v>3</v>
      </c>
      <c r="H78" s="176" t="s">
        <v>4891</v>
      </c>
      <c r="I78" s="181" t="s">
        <v>3122</v>
      </c>
      <c r="J78" s="46"/>
      <c r="K78" s="175">
        <v>3</v>
      </c>
      <c r="L78" s="175">
        <v>2.5</v>
      </c>
      <c r="M78" s="175">
        <v>2.5</v>
      </c>
      <c r="N78" s="175">
        <v>1.5</v>
      </c>
      <c r="O78" s="175">
        <v>3</v>
      </c>
      <c r="P78" s="175" t="s">
        <v>62</v>
      </c>
      <c r="Q78" s="175"/>
      <c r="R78" s="175"/>
      <c r="S78" s="175"/>
      <c r="T78" s="175"/>
      <c r="U78" s="175"/>
      <c r="V78" s="175"/>
      <c r="W78" s="175">
        <v>3</v>
      </c>
      <c r="X78" s="175">
        <v>2</v>
      </c>
      <c r="Y78" s="175">
        <v>2.5</v>
      </c>
      <c r="Z78" s="175">
        <v>2.5</v>
      </c>
      <c r="AA78" s="175">
        <v>3</v>
      </c>
      <c r="AB78" s="175" t="s">
        <v>62</v>
      </c>
      <c r="AC78" s="77"/>
      <c r="AD78" s="77"/>
      <c r="AE78" s="77"/>
      <c r="AF78" s="77"/>
      <c r="AG78" s="77"/>
      <c r="AH78" s="150" t="s">
        <v>6109</v>
      </c>
    </row>
    <row r="79" spans="1:34">
      <c r="A79" s="146">
        <v>158</v>
      </c>
      <c r="B79" s="147" t="s">
        <v>5676</v>
      </c>
      <c r="C79" s="77">
        <v>3</v>
      </c>
      <c r="D79" s="77">
        <v>2.5</v>
      </c>
      <c r="E79" s="77">
        <v>2</v>
      </c>
      <c r="F79" s="77">
        <v>2</v>
      </c>
      <c r="G79" s="77">
        <v>3</v>
      </c>
      <c r="H79" s="176" t="s">
        <v>4891</v>
      </c>
      <c r="I79" s="181" t="s">
        <v>3122</v>
      </c>
      <c r="J79" s="46"/>
      <c r="K79" s="175">
        <v>3</v>
      </c>
      <c r="L79" s="175">
        <v>2</v>
      </c>
      <c r="M79" s="175">
        <v>2.5</v>
      </c>
      <c r="N79" s="175">
        <v>1.5</v>
      </c>
      <c r="O79" s="175">
        <v>3</v>
      </c>
      <c r="P79" s="175" t="s">
        <v>62</v>
      </c>
      <c r="Q79" s="175"/>
      <c r="R79" s="175"/>
      <c r="S79" s="175"/>
      <c r="T79" s="175"/>
      <c r="U79" s="175"/>
      <c r="V79" s="175"/>
      <c r="W79" s="182">
        <v>3</v>
      </c>
      <c r="X79" s="182">
        <v>2.5</v>
      </c>
      <c r="Y79" s="182">
        <v>2.5</v>
      </c>
      <c r="Z79" s="182">
        <v>2.5</v>
      </c>
      <c r="AA79" s="182">
        <v>3</v>
      </c>
      <c r="AB79" s="182" t="s">
        <v>5919</v>
      </c>
      <c r="AC79" s="77">
        <v>3</v>
      </c>
      <c r="AD79" s="77">
        <v>3</v>
      </c>
      <c r="AE79" s="77">
        <v>2</v>
      </c>
      <c r="AF79" s="77">
        <v>2</v>
      </c>
      <c r="AG79" s="77">
        <v>3</v>
      </c>
      <c r="AH79" s="150" t="s">
        <v>62</v>
      </c>
    </row>
    <row r="80" spans="1:34">
      <c r="A80" s="146">
        <v>158</v>
      </c>
      <c r="B80" s="147" t="s">
        <v>5677</v>
      </c>
      <c r="C80" s="77">
        <v>3</v>
      </c>
      <c r="D80" s="77">
        <v>2.5</v>
      </c>
      <c r="E80" s="77">
        <v>2.5</v>
      </c>
      <c r="F80" s="77">
        <v>2</v>
      </c>
      <c r="G80" s="77">
        <v>3</v>
      </c>
      <c r="H80" s="176" t="s">
        <v>4891</v>
      </c>
      <c r="I80" s="181" t="s">
        <v>3122</v>
      </c>
      <c r="J80" s="46"/>
      <c r="K80" s="175">
        <v>3</v>
      </c>
      <c r="L80" s="175">
        <v>2.5</v>
      </c>
      <c r="M80" s="175">
        <v>2.5</v>
      </c>
      <c r="N80" s="175">
        <v>2</v>
      </c>
      <c r="O80" s="175">
        <v>3</v>
      </c>
      <c r="P80" s="175" t="s">
        <v>6107</v>
      </c>
      <c r="Q80" s="175"/>
      <c r="R80" s="175"/>
      <c r="S80" s="175"/>
      <c r="T80" s="175"/>
      <c r="U80" s="175"/>
      <c r="V80" s="175"/>
      <c r="W80" s="182">
        <v>3</v>
      </c>
      <c r="X80" s="182">
        <v>2.5</v>
      </c>
      <c r="Y80" s="182">
        <v>3</v>
      </c>
      <c r="Z80" s="182">
        <v>2.5</v>
      </c>
      <c r="AA80" s="182">
        <v>3</v>
      </c>
      <c r="AB80" s="182" t="s">
        <v>5918</v>
      </c>
      <c r="AC80" s="77">
        <v>3</v>
      </c>
      <c r="AD80" s="77">
        <v>2.5</v>
      </c>
      <c r="AE80" s="77">
        <v>2.5</v>
      </c>
      <c r="AF80" s="77">
        <v>2.5</v>
      </c>
      <c r="AG80" s="77">
        <v>3</v>
      </c>
      <c r="AH80" s="150" t="s">
        <v>170</v>
      </c>
    </row>
    <row r="81" spans="1:34">
      <c r="A81" s="146">
        <v>158</v>
      </c>
      <c r="B81" s="147" t="s">
        <v>5678</v>
      </c>
      <c r="C81" s="77">
        <v>3</v>
      </c>
      <c r="D81" s="77">
        <v>2.5</v>
      </c>
      <c r="E81" s="77">
        <v>2.5</v>
      </c>
      <c r="F81" s="77">
        <v>2.5</v>
      </c>
      <c r="G81" s="77">
        <v>3</v>
      </c>
      <c r="H81" s="176" t="s">
        <v>4891</v>
      </c>
      <c r="I81" s="181" t="s">
        <v>3122</v>
      </c>
      <c r="J81" s="46"/>
      <c r="K81" s="175">
        <v>3</v>
      </c>
      <c r="L81" s="175">
        <v>2.5</v>
      </c>
      <c r="M81" s="175">
        <v>2</v>
      </c>
      <c r="N81" s="175">
        <v>2.5</v>
      </c>
      <c r="O81" s="175">
        <v>3</v>
      </c>
      <c r="P81" s="175" t="s">
        <v>171</v>
      </c>
      <c r="Q81" s="175"/>
      <c r="R81" s="175"/>
      <c r="S81" s="175"/>
      <c r="T81" s="175"/>
      <c r="U81" s="175"/>
      <c r="V81" s="175"/>
      <c r="W81" s="182">
        <v>3</v>
      </c>
      <c r="X81" s="182">
        <v>3</v>
      </c>
      <c r="Y81" s="182">
        <v>2.5</v>
      </c>
      <c r="Z81" s="182">
        <v>2.5</v>
      </c>
      <c r="AA81" s="182">
        <v>3</v>
      </c>
      <c r="AB81" s="182" t="s">
        <v>5916</v>
      </c>
      <c r="AC81" s="77">
        <v>3</v>
      </c>
      <c r="AD81" s="77">
        <v>3</v>
      </c>
      <c r="AE81" s="77">
        <v>3</v>
      </c>
      <c r="AF81" s="77">
        <v>2.5</v>
      </c>
      <c r="AG81" s="77">
        <v>3</v>
      </c>
      <c r="AH81" s="150" t="s">
        <v>60</v>
      </c>
    </row>
    <row r="82" spans="1:34">
      <c r="A82" s="146">
        <v>158</v>
      </c>
      <c r="B82" s="147" t="s">
        <v>5814</v>
      </c>
      <c r="C82" s="77">
        <v>3</v>
      </c>
      <c r="D82" s="77">
        <v>2.5</v>
      </c>
      <c r="E82" s="77">
        <v>2</v>
      </c>
      <c r="F82" s="77">
        <v>2</v>
      </c>
      <c r="G82" s="77">
        <v>3</v>
      </c>
      <c r="H82" s="176" t="s">
        <v>5997</v>
      </c>
      <c r="I82" s="181" t="s">
        <v>3122</v>
      </c>
      <c r="J82" s="46"/>
      <c r="K82" s="175">
        <v>3</v>
      </c>
      <c r="L82" s="175">
        <v>2</v>
      </c>
      <c r="M82" s="175">
        <v>2.5</v>
      </c>
      <c r="N82" s="175">
        <v>1.5</v>
      </c>
      <c r="O82" s="175">
        <v>3</v>
      </c>
      <c r="P82" s="175" t="s">
        <v>62</v>
      </c>
      <c r="Q82" s="175"/>
      <c r="R82" s="175"/>
      <c r="S82" s="175"/>
      <c r="T82" s="175"/>
      <c r="U82" s="175"/>
      <c r="V82" s="175"/>
      <c r="W82" s="182">
        <v>3</v>
      </c>
      <c r="X82" s="182">
        <v>2</v>
      </c>
      <c r="Y82" s="182">
        <v>2</v>
      </c>
      <c r="Z82" s="182">
        <v>2.5</v>
      </c>
      <c r="AA82" s="182">
        <v>3</v>
      </c>
      <c r="AB82" s="182" t="s">
        <v>62</v>
      </c>
      <c r="AC82" s="77">
        <v>3</v>
      </c>
      <c r="AD82" s="77">
        <v>2.5</v>
      </c>
      <c r="AE82" s="77">
        <v>2.5</v>
      </c>
      <c r="AF82" s="77">
        <v>2.5</v>
      </c>
      <c r="AG82" s="77">
        <v>3</v>
      </c>
      <c r="AH82" s="150" t="s">
        <v>170</v>
      </c>
    </row>
    <row r="83" spans="1:34">
      <c r="A83" s="146">
        <v>158</v>
      </c>
      <c r="B83" s="147" t="s">
        <v>5815</v>
      </c>
      <c r="C83" s="77">
        <v>3</v>
      </c>
      <c r="D83" s="77">
        <v>2</v>
      </c>
      <c r="E83" s="77">
        <v>2.5</v>
      </c>
      <c r="F83" s="77">
        <v>2</v>
      </c>
      <c r="G83" s="77">
        <v>3</v>
      </c>
      <c r="H83" s="176" t="s">
        <v>4891</v>
      </c>
      <c r="I83" s="181" t="s">
        <v>3122</v>
      </c>
      <c r="J83" s="46"/>
      <c r="K83" s="175">
        <v>3</v>
      </c>
      <c r="L83" s="175">
        <v>2.5</v>
      </c>
      <c r="M83" s="175">
        <v>2</v>
      </c>
      <c r="N83" s="175">
        <v>2.5</v>
      </c>
      <c r="O83" s="175">
        <v>3</v>
      </c>
      <c r="P83" s="175" t="s">
        <v>171</v>
      </c>
      <c r="Q83" s="175"/>
      <c r="R83" s="175"/>
      <c r="S83" s="175"/>
      <c r="T83" s="175"/>
      <c r="U83" s="175"/>
      <c r="V83" s="175"/>
      <c r="W83" s="175">
        <v>3</v>
      </c>
      <c r="X83" s="175">
        <v>3</v>
      </c>
      <c r="Y83" s="175">
        <v>2.5</v>
      </c>
      <c r="Z83" s="175">
        <v>3</v>
      </c>
      <c r="AA83" s="175">
        <v>3</v>
      </c>
      <c r="AB83" s="175" t="s">
        <v>61</v>
      </c>
      <c r="AC83" s="77">
        <v>3</v>
      </c>
      <c r="AD83" s="77">
        <v>2.5</v>
      </c>
      <c r="AE83" s="77">
        <v>2.5</v>
      </c>
      <c r="AF83" s="77">
        <v>2</v>
      </c>
      <c r="AG83" s="77">
        <v>3</v>
      </c>
      <c r="AH83" s="150" t="s">
        <v>502</v>
      </c>
    </row>
    <row r="84" spans="1:34">
      <c r="A84" s="146">
        <v>158</v>
      </c>
      <c r="B84" s="147" t="s">
        <v>5819</v>
      </c>
      <c r="C84" s="77">
        <v>3</v>
      </c>
      <c r="D84" s="77">
        <v>2.5</v>
      </c>
      <c r="E84" s="77">
        <v>2</v>
      </c>
      <c r="F84" s="77">
        <v>2</v>
      </c>
      <c r="G84" s="77">
        <v>3</v>
      </c>
      <c r="H84" s="176" t="s">
        <v>4891</v>
      </c>
      <c r="I84" s="181" t="s">
        <v>3122</v>
      </c>
      <c r="J84" s="46"/>
      <c r="K84" s="175">
        <v>3</v>
      </c>
      <c r="L84" s="175">
        <v>2.5</v>
      </c>
      <c r="M84" s="175">
        <v>2.5</v>
      </c>
      <c r="N84" s="175">
        <v>1.5</v>
      </c>
      <c r="O84" s="175">
        <v>3</v>
      </c>
      <c r="P84" s="175" t="s">
        <v>62</v>
      </c>
      <c r="Q84" s="175"/>
      <c r="R84" s="175"/>
      <c r="S84" s="175"/>
      <c r="T84" s="175"/>
      <c r="U84" s="175"/>
      <c r="V84" s="175"/>
      <c r="W84" s="175">
        <v>3</v>
      </c>
      <c r="X84" s="175">
        <v>2.5</v>
      </c>
      <c r="Y84" s="175">
        <v>2</v>
      </c>
      <c r="Z84" s="175">
        <v>2.5</v>
      </c>
      <c r="AA84" s="175">
        <v>3</v>
      </c>
      <c r="AB84" s="175" t="s">
        <v>5916</v>
      </c>
      <c r="AC84" s="77">
        <v>3</v>
      </c>
      <c r="AD84" s="77">
        <v>2.5</v>
      </c>
      <c r="AE84" s="77">
        <v>2.5</v>
      </c>
      <c r="AF84" s="77">
        <v>2.5</v>
      </c>
      <c r="AG84" s="77">
        <v>3</v>
      </c>
      <c r="AH84" s="150" t="s">
        <v>502</v>
      </c>
    </row>
    <row r="85" spans="1:34">
      <c r="A85" s="146">
        <v>159</v>
      </c>
      <c r="B85" s="147" t="s">
        <v>5851</v>
      </c>
      <c r="C85" s="77">
        <v>3</v>
      </c>
      <c r="D85" s="77">
        <v>2.5</v>
      </c>
      <c r="E85" s="77">
        <v>2</v>
      </c>
      <c r="F85" s="77">
        <v>2</v>
      </c>
      <c r="G85" s="77">
        <v>3</v>
      </c>
      <c r="H85" s="176" t="s">
        <v>4891</v>
      </c>
      <c r="I85" s="181" t="s">
        <v>3122</v>
      </c>
      <c r="J85" s="46"/>
      <c r="K85" s="175">
        <v>3</v>
      </c>
      <c r="L85" s="175">
        <v>2.5</v>
      </c>
      <c r="M85" s="175">
        <v>2.5</v>
      </c>
      <c r="N85" s="175">
        <v>2</v>
      </c>
      <c r="O85" s="175">
        <v>3</v>
      </c>
      <c r="P85" s="175" t="s">
        <v>6107</v>
      </c>
      <c r="Q85" s="175"/>
      <c r="R85" s="175"/>
      <c r="S85" s="175"/>
      <c r="T85" s="175"/>
      <c r="U85" s="175"/>
      <c r="V85" s="175"/>
      <c r="W85" s="175">
        <v>3</v>
      </c>
      <c r="X85" s="175">
        <v>2.5</v>
      </c>
      <c r="Y85" s="175">
        <v>2.5</v>
      </c>
      <c r="Z85" s="175">
        <v>2.5</v>
      </c>
      <c r="AA85" s="175">
        <v>3</v>
      </c>
      <c r="AB85" s="175" t="s">
        <v>6108</v>
      </c>
      <c r="AC85" s="77">
        <v>3</v>
      </c>
      <c r="AD85" s="77">
        <v>2.5</v>
      </c>
      <c r="AE85" s="77">
        <v>2.5</v>
      </c>
      <c r="AF85" s="77">
        <v>2.5</v>
      </c>
      <c r="AG85" s="77">
        <v>3</v>
      </c>
      <c r="AH85" s="150" t="s">
        <v>60</v>
      </c>
    </row>
    <row r="86" spans="1:34">
      <c r="A86" s="146">
        <v>159</v>
      </c>
      <c r="B86" s="147" t="s">
        <v>5853</v>
      </c>
      <c r="C86" s="77">
        <v>3</v>
      </c>
      <c r="D86" s="77">
        <v>2.5</v>
      </c>
      <c r="E86" s="77">
        <v>2.5</v>
      </c>
      <c r="F86" s="77">
        <v>2</v>
      </c>
      <c r="G86" s="77">
        <v>3</v>
      </c>
      <c r="H86" s="176" t="s">
        <v>4891</v>
      </c>
      <c r="I86" s="181" t="s">
        <v>3122</v>
      </c>
      <c r="J86" s="46"/>
      <c r="K86" s="175">
        <v>3</v>
      </c>
      <c r="L86" s="175">
        <v>2</v>
      </c>
      <c r="M86" s="175">
        <v>2.5</v>
      </c>
      <c r="N86" s="175">
        <v>2</v>
      </c>
      <c r="O86" s="175">
        <v>3</v>
      </c>
      <c r="P86" s="175" t="s">
        <v>6107</v>
      </c>
      <c r="Q86" s="175"/>
      <c r="R86" s="175"/>
      <c r="S86" s="175"/>
      <c r="T86" s="175"/>
      <c r="U86" s="175"/>
      <c r="V86" s="175"/>
      <c r="W86" s="175">
        <v>3</v>
      </c>
      <c r="X86" s="175">
        <v>2.5</v>
      </c>
      <c r="Y86" s="175">
        <v>2.5</v>
      </c>
      <c r="Z86" s="175">
        <v>2.5</v>
      </c>
      <c r="AA86" s="175">
        <v>3</v>
      </c>
      <c r="AB86" s="175" t="s">
        <v>5918</v>
      </c>
      <c r="AC86" s="77">
        <v>3</v>
      </c>
      <c r="AD86" s="77">
        <v>2.5</v>
      </c>
      <c r="AE86" s="77">
        <v>2.5</v>
      </c>
      <c r="AF86" s="77">
        <v>2.5</v>
      </c>
      <c r="AG86" s="77">
        <v>3</v>
      </c>
      <c r="AH86" s="150" t="s">
        <v>60</v>
      </c>
    </row>
    <row r="87" spans="1:34">
      <c r="A87" s="146">
        <v>159</v>
      </c>
      <c r="B87" s="147" t="s">
        <v>5855</v>
      </c>
      <c r="C87" s="77">
        <v>3</v>
      </c>
      <c r="D87" s="77">
        <v>2.5</v>
      </c>
      <c r="E87" s="77">
        <v>2</v>
      </c>
      <c r="F87" s="77">
        <v>2</v>
      </c>
      <c r="G87" s="77">
        <v>3</v>
      </c>
      <c r="H87" s="176" t="s">
        <v>5997</v>
      </c>
      <c r="I87" s="181" t="s">
        <v>3122</v>
      </c>
      <c r="J87" s="46"/>
      <c r="K87" s="175">
        <v>3</v>
      </c>
      <c r="L87" s="175">
        <v>2</v>
      </c>
      <c r="M87" s="175">
        <v>2.5</v>
      </c>
      <c r="N87" s="175">
        <v>2</v>
      </c>
      <c r="O87" s="175">
        <v>3</v>
      </c>
      <c r="P87" s="175" t="s">
        <v>62</v>
      </c>
      <c r="Q87" s="175"/>
      <c r="R87" s="175"/>
      <c r="S87" s="175"/>
      <c r="T87" s="175"/>
      <c r="U87" s="175"/>
      <c r="V87" s="175"/>
      <c r="W87" s="175">
        <v>3</v>
      </c>
      <c r="X87" s="175">
        <v>3</v>
      </c>
      <c r="Y87" s="175">
        <v>2</v>
      </c>
      <c r="Z87" s="175">
        <v>2</v>
      </c>
      <c r="AA87" s="175">
        <v>3</v>
      </c>
      <c r="AB87" s="175" t="s">
        <v>62</v>
      </c>
      <c r="AC87" s="77">
        <v>3</v>
      </c>
      <c r="AD87" s="77">
        <v>2</v>
      </c>
      <c r="AE87" s="77">
        <v>2.5</v>
      </c>
      <c r="AF87" s="77">
        <v>2</v>
      </c>
      <c r="AG87" s="77">
        <v>3</v>
      </c>
      <c r="AH87" s="150" t="s">
        <v>62</v>
      </c>
    </row>
    <row r="88" spans="1:34">
      <c r="A88" s="146">
        <v>164</v>
      </c>
      <c r="B88" s="147" t="s">
        <v>6161</v>
      </c>
      <c r="C88" s="176">
        <v>3</v>
      </c>
      <c r="D88" s="176">
        <v>3</v>
      </c>
      <c r="E88" s="176">
        <v>2.5</v>
      </c>
      <c r="F88" s="176">
        <v>2</v>
      </c>
      <c r="G88" s="176">
        <v>3</v>
      </c>
      <c r="H88" s="176" t="s">
        <v>293</v>
      </c>
      <c r="I88" s="176" t="s">
        <v>3173</v>
      </c>
      <c r="J88" s="46" t="s">
        <v>5878</v>
      </c>
      <c r="K88" s="182">
        <v>3</v>
      </c>
      <c r="L88" s="182">
        <v>2</v>
      </c>
      <c r="M88" s="182">
        <v>2.5</v>
      </c>
      <c r="N88" s="182">
        <v>2</v>
      </c>
      <c r="O88" s="182">
        <v>3</v>
      </c>
      <c r="P88" s="182" t="s">
        <v>4891</v>
      </c>
      <c r="Q88" s="77">
        <v>3</v>
      </c>
      <c r="R88" s="77">
        <v>2</v>
      </c>
      <c r="S88" s="77">
        <v>2.5</v>
      </c>
      <c r="T88" s="77">
        <v>2</v>
      </c>
      <c r="U88" s="77">
        <v>3</v>
      </c>
      <c r="V88" s="182" t="s">
        <v>5872</v>
      </c>
      <c r="W88" s="182">
        <v>3</v>
      </c>
      <c r="X88" s="182">
        <v>2.5</v>
      </c>
      <c r="Y88" s="182">
        <v>2.5</v>
      </c>
      <c r="Z88" s="182">
        <v>2</v>
      </c>
      <c r="AA88" s="182">
        <v>3</v>
      </c>
      <c r="AB88" s="182" t="s">
        <v>5873</v>
      </c>
      <c r="AC88" s="77">
        <v>3</v>
      </c>
      <c r="AD88" s="77">
        <v>2</v>
      </c>
      <c r="AE88" s="77">
        <v>2.5</v>
      </c>
      <c r="AF88" s="77">
        <v>2</v>
      </c>
      <c r="AG88" s="77">
        <v>3</v>
      </c>
      <c r="AH88" s="150" t="s">
        <v>4891</v>
      </c>
    </row>
    <row r="89" spans="1:34">
      <c r="A89" s="146">
        <v>164</v>
      </c>
      <c r="B89" s="147" t="s">
        <v>6164</v>
      </c>
      <c r="C89" s="176">
        <v>3</v>
      </c>
      <c r="D89" s="176">
        <v>2.5</v>
      </c>
      <c r="E89" s="176">
        <v>2</v>
      </c>
      <c r="F89" s="176">
        <v>2</v>
      </c>
      <c r="G89" s="176">
        <v>3</v>
      </c>
      <c r="H89" s="176" t="s">
        <v>5869</v>
      </c>
      <c r="I89" s="176" t="s">
        <v>3125</v>
      </c>
      <c r="J89" s="46"/>
      <c r="K89" s="182">
        <v>3</v>
      </c>
      <c r="L89" s="182">
        <v>2.5</v>
      </c>
      <c r="M89" s="182">
        <v>2</v>
      </c>
      <c r="N89" s="182">
        <v>2</v>
      </c>
      <c r="O89" s="182">
        <v>3</v>
      </c>
      <c r="P89" s="182" t="s">
        <v>4891</v>
      </c>
      <c r="Q89" s="77">
        <v>3</v>
      </c>
      <c r="R89" s="77">
        <v>2.5</v>
      </c>
      <c r="S89" s="77">
        <v>2.5</v>
      </c>
      <c r="T89" s="77">
        <v>2.5</v>
      </c>
      <c r="U89" s="77">
        <v>3</v>
      </c>
      <c r="V89" s="182" t="s">
        <v>5873</v>
      </c>
      <c r="W89" s="182">
        <v>3</v>
      </c>
      <c r="X89" s="182">
        <v>2.5</v>
      </c>
      <c r="Y89" s="182">
        <v>2.5</v>
      </c>
      <c r="Z89" s="182">
        <v>2</v>
      </c>
      <c r="AA89" s="182">
        <v>3</v>
      </c>
      <c r="AB89" s="182" t="s">
        <v>5873</v>
      </c>
      <c r="AC89" s="77">
        <v>3</v>
      </c>
      <c r="AD89" s="77">
        <v>2.5</v>
      </c>
      <c r="AE89" s="77">
        <v>2.5</v>
      </c>
      <c r="AF89" s="77">
        <v>2.5</v>
      </c>
      <c r="AG89" s="77">
        <v>3</v>
      </c>
      <c r="AH89" s="150" t="s">
        <v>170</v>
      </c>
    </row>
    <row r="90" spans="1:34">
      <c r="A90" s="146">
        <v>164</v>
      </c>
      <c r="B90" s="147" t="s">
        <v>6166</v>
      </c>
      <c r="C90" s="176">
        <v>3</v>
      </c>
      <c r="D90" s="176">
        <v>3</v>
      </c>
      <c r="E90" s="176">
        <v>2</v>
      </c>
      <c r="F90" s="176">
        <v>2</v>
      </c>
      <c r="G90" s="176">
        <v>3</v>
      </c>
      <c r="H90" s="176" t="s">
        <v>293</v>
      </c>
      <c r="I90" s="176" t="s">
        <v>3125</v>
      </c>
      <c r="J90" s="46"/>
      <c r="K90" s="182">
        <v>3</v>
      </c>
      <c r="L90" s="182">
        <v>2.5</v>
      </c>
      <c r="M90" s="182">
        <v>2</v>
      </c>
      <c r="N90" s="182">
        <v>2</v>
      </c>
      <c r="O90" s="182">
        <v>3</v>
      </c>
      <c r="P90" s="182" t="s">
        <v>5999</v>
      </c>
      <c r="Q90" s="77">
        <v>3</v>
      </c>
      <c r="R90" s="77">
        <v>3</v>
      </c>
      <c r="S90" s="77">
        <v>2</v>
      </c>
      <c r="T90" s="77">
        <v>2</v>
      </c>
      <c r="U90" s="77">
        <v>3</v>
      </c>
      <c r="V90" s="182" t="s">
        <v>5872</v>
      </c>
      <c r="W90" s="182">
        <v>3</v>
      </c>
      <c r="X90" s="182">
        <v>3</v>
      </c>
      <c r="Y90" s="182">
        <v>2</v>
      </c>
      <c r="Z90" s="182">
        <v>2.5</v>
      </c>
      <c r="AA90" s="182">
        <v>3</v>
      </c>
      <c r="AB90" s="182" t="s">
        <v>5876</v>
      </c>
      <c r="AC90" s="77">
        <v>3</v>
      </c>
      <c r="AD90" s="77">
        <v>2.5</v>
      </c>
      <c r="AE90" s="77">
        <v>2</v>
      </c>
      <c r="AF90" s="77">
        <v>2</v>
      </c>
      <c r="AG90" s="77">
        <v>3</v>
      </c>
      <c r="AH90" s="150" t="s">
        <v>5997</v>
      </c>
    </row>
    <row r="91" spans="1:34">
      <c r="A91" s="146">
        <v>164</v>
      </c>
      <c r="B91" s="147" t="s">
        <v>6168</v>
      </c>
      <c r="C91" s="176">
        <v>3</v>
      </c>
      <c r="D91" s="176">
        <v>2.5</v>
      </c>
      <c r="E91" s="176">
        <v>2</v>
      </c>
      <c r="F91" s="176">
        <v>2.5</v>
      </c>
      <c r="G91" s="176">
        <v>3</v>
      </c>
      <c r="H91" s="176" t="s">
        <v>293</v>
      </c>
      <c r="I91" s="176" t="s">
        <v>3125</v>
      </c>
      <c r="J91" s="46"/>
      <c r="K91" s="182">
        <v>3</v>
      </c>
      <c r="L91" s="182">
        <v>2</v>
      </c>
      <c r="M91" s="182">
        <v>2.5</v>
      </c>
      <c r="N91" s="182">
        <v>2.5</v>
      </c>
      <c r="O91" s="182">
        <v>3</v>
      </c>
      <c r="P91" s="182" t="s">
        <v>5915</v>
      </c>
      <c r="Q91" s="77">
        <v>3</v>
      </c>
      <c r="R91" s="77">
        <v>2.5</v>
      </c>
      <c r="S91" s="77">
        <v>2.5</v>
      </c>
      <c r="T91" s="77">
        <v>2</v>
      </c>
      <c r="U91" s="77">
        <v>3</v>
      </c>
      <c r="V91" s="182" t="s">
        <v>5873</v>
      </c>
      <c r="W91" s="182">
        <v>3</v>
      </c>
      <c r="X91" s="182">
        <v>2.5</v>
      </c>
      <c r="Y91" s="182">
        <v>2.5</v>
      </c>
      <c r="Z91" s="182">
        <v>3</v>
      </c>
      <c r="AA91" s="182">
        <v>3</v>
      </c>
      <c r="AB91" s="182" t="s">
        <v>5873</v>
      </c>
      <c r="AC91" s="77">
        <v>3</v>
      </c>
      <c r="AD91" s="77">
        <v>2.5</v>
      </c>
      <c r="AE91" s="77">
        <v>2.5</v>
      </c>
      <c r="AF91" s="77">
        <v>2.5</v>
      </c>
      <c r="AG91" s="77">
        <v>3</v>
      </c>
      <c r="AH91" s="150" t="s">
        <v>170</v>
      </c>
    </row>
    <row r="92" spans="1:34">
      <c r="A92" s="146">
        <v>164</v>
      </c>
      <c r="B92" s="147" t="s">
        <v>6170</v>
      </c>
      <c r="C92" s="176">
        <v>3</v>
      </c>
      <c r="D92" s="176">
        <v>3</v>
      </c>
      <c r="E92" s="176">
        <v>2</v>
      </c>
      <c r="F92" s="176">
        <v>2</v>
      </c>
      <c r="G92" s="176">
        <v>3</v>
      </c>
      <c r="H92" s="176" t="s">
        <v>293</v>
      </c>
      <c r="I92" s="176" t="s">
        <v>105</v>
      </c>
      <c r="J92" s="46" t="s">
        <v>5878</v>
      </c>
      <c r="K92" s="182">
        <v>3</v>
      </c>
      <c r="L92" s="182">
        <v>2</v>
      </c>
      <c r="M92" s="182">
        <v>2</v>
      </c>
      <c r="N92" s="182">
        <v>2</v>
      </c>
      <c r="O92" s="182">
        <v>3</v>
      </c>
      <c r="P92" s="182" t="s">
        <v>62</v>
      </c>
      <c r="Q92" s="77">
        <v>2.5</v>
      </c>
      <c r="R92" s="77">
        <v>2.5</v>
      </c>
      <c r="S92" s="77">
        <v>2</v>
      </c>
      <c r="T92" s="77">
        <v>2</v>
      </c>
      <c r="U92" s="77">
        <v>3</v>
      </c>
      <c r="V92" s="182" t="s">
        <v>62</v>
      </c>
      <c r="W92" s="182">
        <v>3</v>
      </c>
      <c r="X92" s="182">
        <v>2.5</v>
      </c>
      <c r="Y92" s="182">
        <v>2</v>
      </c>
      <c r="Z92" s="182">
        <v>2</v>
      </c>
      <c r="AA92" s="182">
        <v>3</v>
      </c>
      <c r="AB92" s="182" t="s">
        <v>5874</v>
      </c>
      <c r="AC92" s="77">
        <v>3</v>
      </c>
      <c r="AD92" s="77">
        <v>2.5</v>
      </c>
      <c r="AE92" s="77">
        <v>2</v>
      </c>
      <c r="AF92" s="77">
        <v>2</v>
      </c>
      <c r="AG92" s="77">
        <v>3</v>
      </c>
      <c r="AH92" s="150" t="s">
        <v>62</v>
      </c>
    </row>
    <row r="93" spans="1:34">
      <c r="A93" s="146">
        <v>164</v>
      </c>
      <c r="B93" s="147" t="s">
        <v>6172</v>
      </c>
      <c r="C93" s="176">
        <v>3</v>
      </c>
      <c r="D93" s="176">
        <v>3</v>
      </c>
      <c r="E93" s="176">
        <v>2</v>
      </c>
      <c r="F93" s="176">
        <v>2</v>
      </c>
      <c r="G93" s="176">
        <v>3</v>
      </c>
      <c r="H93" s="176" t="s">
        <v>293</v>
      </c>
      <c r="I93" s="176" t="s">
        <v>105</v>
      </c>
      <c r="J93" s="46" t="s">
        <v>5878</v>
      </c>
      <c r="K93" s="279" t="s">
        <v>6260</v>
      </c>
      <c r="L93" s="280"/>
      <c r="M93" s="280"/>
      <c r="N93" s="280"/>
      <c r="O93" s="280"/>
      <c r="P93" s="281"/>
      <c r="Q93" s="77">
        <v>3</v>
      </c>
      <c r="R93" s="77">
        <v>2.5</v>
      </c>
      <c r="S93" s="77">
        <v>2</v>
      </c>
      <c r="T93" s="77">
        <v>2</v>
      </c>
      <c r="U93" s="77">
        <v>3</v>
      </c>
      <c r="V93" s="182" t="s">
        <v>5872</v>
      </c>
      <c r="W93" s="182">
        <v>3</v>
      </c>
      <c r="X93" s="182">
        <v>2.5</v>
      </c>
      <c r="Y93" s="182">
        <v>2</v>
      </c>
      <c r="Z93" s="182">
        <v>2.5</v>
      </c>
      <c r="AA93" s="182">
        <v>3</v>
      </c>
      <c r="AB93" s="182" t="s">
        <v>5961</v>
      </c>
      <c r="AC93" s="77">
        <v>3</v>
      </c>
      <c r="AD93" s="77">
        <v>2.5</v>
      </c>
      <c r="AE93" s="77">
        <v>2</v>
      </c>
      <c r="AF93" s="77">
        <v>2.5</v>
      </c>
      <c r="AG93" s="77">
        <v>3</v>
      </c>
      <c r="AH93" s="150" t="s">
        <v>4212</v>
      </c>
    </row>
    <row r="94" spans="1:34">
      <c r="A94" s="146">
        <v>164</v>
      </c>
      <c r="B94" s="147" t="s">
        <v>6174</v>
      </c>
      <c r="C94" s="176">
        <v>3</v>
      </c>
      <c r="D94" s="176">
        <v>3</v>
      </c>
      <c r="E94" s="176">
        <v>2.5</v>
      </c>
      <c r="F94" s="176">
        <v>2</v>
      </c>
      <c r="G94" s="176">
        <v>3</v>
      </c>
      <c r="H94" s="176" t="s">
        <v>293</v>
      </c>
      <c r="I94" s="176" t="s">
        <v>3173</v>
      </c>
      <c r="J94" s="46" t="s">
        <v>5878</v>
      </c>
      <c r="K94" s="182">
        <v>3</v>
      </c>
      <c r="L94" s="182">
        <v>2</v>
      </c>
      <c r="M94" s="182">
        <v>2.5</v>
      </c>
      <c r="N94" s="182">
        <v>1.5</v>
      </c>
      <c r="O94" s="182">
        <v>3</v>
      </c>
      <c r="P94" s="182" t="s">
        <v>62</v>
      </c>
      <c r="Q94" s="77">
        <v>3</v>
      </c>
      <c r="R94" s="77">
        <v>2</v>
      </c>
      <c r="S94" s="77">
        <v>2.5</v>
      </c>
      <c r="T94" s="77">
        <v>2</v>
      </c>
      <c r="U94" s="77">
        <v>3</v>
      </c>
      <c r="V94" s="182" t="s">
        <v>5872</v>
      </c>
      <c r="W94" s="182">
        <v>3</v>
      </c>
      <c r="X94" s="182">
        <v>2.5</v>
      </c>
      <c r="Y94" s="182">
        <v>2.5</v>
      </c>
      <c r="Z94" s="182">
        <v>2.5</v>
      </c>
      <c r="AA94" s="182">
        <v>3</v>
      </c>
      <c r="AB94" s="182" t="s">
        <v>5873</v>
      </c>
      <c r="AC94" s="77">
        <v>3</v>
      </c>
      <c r="AD94" s="77">
        <v>2</v>
      </c>
      <c r="AE94" s="77">
        <v>2.5</v>
      </c>
      <c r="AF94" s="77">
        <v>2</v>
      </c>
      <c r="AG94" s="77">
        <v>3</v>
      </c>
      <c r="AH94" s="150" t="s">
        <v>5997</v>
      </c>
    </row>
    <row r="95" spans="1:34">
      <c r="A95" s="146">
        <v>164</v>
      </c>
      <c r="B95" s="147" t="s">
        <v>6176</v>
      </c>
      <c r="C95" s="176">
        <v>3</v>
      </c>
      <c r="D95" s="176">
        <v>2.5</v>
      </c>
      <c r="E95" s="176">
        <v>2</v>
      </c>
      <c r="F95" s="176">
        <v>2</v>
      </c>
      <c r="G95" s="176">
        <v>3</v>
      </c>
      <c r="H95" s="176" t="s">
        <v>5869</v>
      </c>
      <c r="I95" s="176" t="s">
        <v>3125</v>
      </c>
      <c r="J95" s="46"/>
      <c r="K95" s="182">
        <v>3</v>
      </c>
      <c r="L95" s="182">
        <v>2.5</v>
      </c>
      <c r="M95" s="182">
        <v>1.5</v>
      </c>
      <c r="N95" s="182">
        <v>1.5</v>
      </c>
      <c r="O95" s="182">
        <v>3</v>
      </c>
      <c r="P95" s="182" t="s">
        <v>3321</v>
      </c>
      <c r="Q95" s="77">
        <v>3</v>
      </c>
      <c r="R95" s="77">
        <v>2.5</v>
      </c>
      <c r="S95" s="77">
        <v>2</v>
      </c>
      <c r="T95" s="77">
        <v>2.5</v>
      </c>
      <c r="U95" s="77">
        <v>3</v>
      </c>
      <c r="V95" s="182" t="s">
        <v>5961</v>
      </c>
      <c r="W95" s="182">
        <v>3</v>
      </c>
      <c r="X95" s="182">
        <v>3</v>
      </c>
      <c r="Y95" s="182">
        <v>2.5</v>
      </c>
      <c r="Z95" s="182">
        <v>2</v>
      </c>
      <c r="AA95" s="182">
        <v>3</v>
      </c>
      <c r="AB95" s="182" t="s">
        <v>5873</v>
      </c>
      <c r="AC95" s="77">
        <v>3</v>
      </c>
      <c r="AD95" s="77">
        <v>2.5</v>
      </c>
      <c r="AE95" s="77">
        <v>2</v>
      </c>
      <c r="AF95" s="77">
        <v>2</v>
      </c>
      <c r="AG95" s="77">
        <v>3</v>
      </c>
      <c r="AH95" s="150" t="s">
        <v>62</v>
      </c>
    </row>
    <row r="96" spans="1:34">
      <c r="A96" s="146">
        <v>164</v>
      </c>
      <c r="B96" s="147" t="s">
        <v>6178</v>
      </c>
      <c r="C96" s="176">
        <v>3</v>
      </c>
      <c r="D96" s="176">
        <v>3</v>
      </c>
      <c r="E96" s="176">
        <v>2</v>
      </c>
      <c r="F96" s="176">
        <v>2</v>
      </c>
      <c r="G96" s="176">
        <v>3</v>
      </c>
      <c r="H96" s="176" t="s">
        <v>5869</v>
      </c>
      <c r="I96" s="176" t="s">
        <v>3125</v>
      </c>
      <c r="J96" s="46"/>
      <c r="K96" s="182">
        <v>3</v>
      </c>
      <c r="L96" s="182">
        <v>2.5</v>
      </c>
      <c r="M96" s="182">
        <v>2</v>
      </c>
      <c r="N96" s="182">
        <v>2.5</v>
      </c>
      <c r="O96" s="182">
        <v>3</v>
      </c>
      <c r="P96" s="182" t="s">
        <v>171</v>
      </c>
      <c r="Q96" s="77">
        <v>3</v>
      </c>
      <c r="R96" s="77">
        <v>2.5</v>
      </c>
      <c r="S96" s="77">
        <v>2</v>
      </c>
      <c r="T96" s="77">
        <v>2.5</v>
      </c>
      <c r="U96" s="77">
        <v>3</v>
      </c>
      <c r="V96" s="182" t="s">
        <v>5961</v>
      </c>
      <c r="W96" s="182">
        <v>3</v>
      </c>
      <c r="X96" s="182">
        <v>3</v>
      </c>
      <c r="Y96" s="182">
        <v>2.5</v>
      </c>
      <c r="Z96" s="182">
        <v>2.5</v>
      </c>
      <c r="AA96" s="182">
        <v>3</v>
      </c>
      <c r="AB96" s="182" t="s">
        <v>5875</v>
      </c>
      <c r="AC96" s="77">
        <v>3</v>
      </c>
      <c r="AD96" s="77">
        <v>2.5</v>
      </c>
      <c r="AE96" s="77">
        <v>2.5</v>
      </c>
      <c r="AF96" s="77">
        <v>2</v>
      </c>
      <c r="AG96" s="77">
        <v>3</v>
      </c>
      <c r="AH96" s="150" t="s">
        <v>4212</v>
      </c>
    </row>
    <row r="97" spans="1:34">
      <c r="A97" s="146">
        <v>164</v>
      </c>
      <c r="B97" s="147" t="s">
        <v>6180</v>
      </c>
      <c r="C97" s="176">
        <v>3</v>
      </c>
      <c r="D97" s="176">
        <v>2.5</v>
      </c>
      <c r="E97" s="176">
        <v>2</v>
      </c>
      <c r="F97" s="176">
        <v>2</v>
      </c>
      <c r="G97" s="176">
        <v>3</v>
      </c>
      <c r="H97" s="176" t="s">
        <v>5869</v>
      </c>
      <c r="I97" s="176" t="s">
        <v>3125</v>
      </c>
      <c r="J97" s="46"/>
      <c r="K97" s="182">
        <v>3</v>
      </c>
      <c r="L97" s="182">
        <v>1.5</v>
      </c>
      <c r="M97" s="182">
        <v>2</v>
      </c>
      <c r="N97" s="182">
        <v>2</v>
      </c>
      <c r="O97" s="182">
        <v>3</v>
      </c>
      <c r="P97" s="182" t="s">
        <v>3321</v>
      </c>
      <c r="Q97" s="77">
        <v>3</v>
      </c>
      <c r="R97" s="77">
        <v>2.5</v>
      </c>
      <c r="S97" s="77">
        <v>2</v>
      </c>
      <c r="T97" s="77">
        <v>2</v>
      </c>
      <c r="U97" s="77">
        <v>3</v>
      </c>
      <c r="V97" s="182" t="s">
        <v>5872</v>
      </c>
      <c r="W97" s="182">
        <v>3</v>
      </c>
      <c r="X97" s="182">
        <v>2.5</v>
      </c>
      <c r="Y97" s="182">
        <v>2.5</v>
      </c>
      <c r="Z97" s="182">
        <v>2</v>
      </c>
      <c r="AA97" s="182">
        <v>3</v>
      </c>
      <c r="AB97" s="182" t="s">
        <v>5873</v>
      </c>
      <c r="AC97" s="77">
        <v>3</v>
      </c>
      <c r="AD97" s="77">
        <v>2</v>
      </c>
      <c r="AE97" s="77">
        <v>2.5</v>
      </c>
      <c r="AF97" s="77">
        <v>2</v>
      </c>
      <c r="AG97" s="77">
        <v>3</v>
      </c>
      <c r="AH97" s="150" t="s">
        <v>4891</v>
      </c>
    </row>
    <row r="98" spans="1:34">
      <c r="A98" s="146">
        <v>164</v>
      </c>
      <c r="B98" s="147" t="s">
        <v>6182</v>
      </c>
      <c r="C98" s="176">
        <v>3</v>
      </c>
      <c r="D98" s="176">
        <v>3</v>
      </c>
      <c r="E98" s="176">
        <v>2.5</v>
      </c>
      <c r="F98" s="176">
        <v>2</v>
      </c>
      <c r="G98" s="176">
        <v>3</v>
      </c>
      <c r="H98" s="176" t="s">
        <v>6259</v>
      </c>
      <c r="I98" s="176" t="s">
        <v>3173</v>
      </c>
      <c r="J98" s="46" t="s">
        <v>5878</v>
      </c>
      <c r="K98" s="182">
        <v>3</v>
      </c>
      <c r="L98" s="182">
        <v>2</v>
      </c>
      <c r="M98" s="182">
        <v>2</v>
      </c>
      <c r="N98" s="182">
        <v>2</v>
      </c>
      <c r="O98" s="182">
        <v>3</v>
      </c>
      <c r="P98" s="182" t="s">
        <v>5999</v>
      </c>
      <c r="Q98" s="77">
        <v>3</v>
      </c>
      <c r="R98" s="77">
        <v>2.5</v>
      </c>
      <c r="S98" s="77">
        <v>2.5</v>
      </c>
      <c r="T98" s="77">
        <v>2</v>
      </c>
      <c r="U98" s="77">
        <v>3</v>
      </c>
      <c r="V98" s="182" t="s">
        <v>5873</v>
      </c>
      <c r="W98" s="182">
        <v>3</v>
      </c>
      <c r="X98" s="182">
        <v>3</v>
      </c>
      <c r="Y98" s="182">
        <v>2.5</v>
      </c>
      <c r="Z98" s="182">
        <v>2.5</v>
      </c>
      <c r="AA98" s="182">
        <v>3</v>
      </c>
      <c r="AB98" s="182" t="s">
        <v>5875</v>
      </c>
      <c r="AC98" s="77">
        <v>3</v>
      </c>
      <c r="AD98" s="77">
        <v>2.5</v>
      </c>
      <c r="AE98" s="77">
        <v>2.5</v>
      </c>
      <c r="AF98" s="77">
        <v>2</v>
      </c>
      <c r="AG98" s="77">
        <v>3</v>
      </c>
      <c r="AH98" s="150" t="s">
        <v>4891</v>
      </c>
    </row>
    <row r="99" spans="1:34">
      <c r="A99" s="146">
        <v>164</v>
      </c>
      <c r="B99" s="147" t="s">
        <v>6184</v>
      </c>
      <c r="C99" s="176">
        <v>3</v>
      </c>
      <c r="D99" s="176">
        <v>3</v>
      </c>
      <c r="E99" s="176">
        <v>2</v>
      </c>
      <c r="F99" s="176">
        <v>2</v>
      </c>
      <c r="G99" s="176">
        <v>3</v>
      </c>
      <c r="H99" s="176" t="s">
        <v>293</v>
      </c>
      <c r="I99" s="176" t="s">
        <v>3125</v>
      </c>
      <c r="J99" s="46"/>
      <c r="K99" s="182">
        <v>3</v>
      </c>
      <c r="L99" s="182">
        <v>2</v>
      </c>
      <c r="M99" s="182">
        <v>2.5</v>
      </c>
      <c r="N99" s="182">
        <v>2</v>
      </c>
      <c r="O99" s="182">
        <v>3</v>
      </c>
      <c r="P99" s="182" t="s">
        <v>4891</v>
      </c>
      <c r="Q99" s="77">
        <v>3</v>
      </c>
      <c r="R99" s="77">
        <v>3</v>
      </c>
      <c r="S99" s="77">
        <v>2.5</v>
      </c>
      <c r="T99" s="77">
        <v>2</v>
      </c>
      <c r="U99" s="77">
        <v>3</v>
      </c>
      <c r="V99" s="182" t="s">
        <v>5875</v>
      </c>
      <c r="W99" s="182">
        <v>3</v>
      </c>
      <c r="X99" s="182">
        <v>3</v>
      </c>
      <c r="Y99" s="182">
        <v>2.5</v>
      </c>
      <c r="Z99" s="182">
        <v>2.5</v>
      </c>
      <c r="AA99" s="182">
        <v>3</v>
      </c>
      <c r="AB99" s="182" t="s">
        <v>3246</v>
      </c>
      <c r="AC99" s="77">
        <v>3</v>
      </c>
      <c r="AD99" s="77">
        <v>2.5</v>
      </c>
      <c r="AE99" s="77">
        <v>2.5</v>
      </c>
      <c r="AF99" s="77">
        <v>2</v>
      </c>
      <c r="AG99" s="77">
        <v>3</v>
      </c>
      <c r="AH99" s="150" t="s">
        <v>4891</v>
      </c>
    </row>
    <row r="100" spans="1:34">
      <c r="A100" s="146">
        <v>163</v>
      </c>
      <c r="B100" s="147" t="s">
        <v>6132</v>
      </c>
      <c r="C100" s="148">
        <v>3</v>
      </c>
      <c r="D100" s="148">
        <v>3</v>
      </c>
      <c r="E100" s="148">
        <v>2</v>
      </c>
      <c r="F100" s="148">
        <v>2</v>
      </c>
      <c r="G100" s="185">
        <v>3</v>
      </c>
      <c r="H100" s="176"/>
      <c r="I100" s="148" t="s">
        <v>52</v>
      </c>
      <c r="J100" s="176" t="s">
        <v>5878</v>
      </c>
      <c r="K100" s="182">
        <v>3</v>
      </c>
      <c r="L100" s="182">
        <v>2.5</v>
      </c>
      <c r="M100" s="182">
        <v>2</v>
      </c>
      <c r="N100" s="182">
        <v>2</v>
      </c>
      <c r="O100" s="182">
        <v>3</v>
      </c>
      <c r="P100" s="182" t="s">
        <v>62</v>
      </c>
      <c r="Q100" s="77">
        <v>3</v>
      </c>
      <c r="R100" s="77">
        <v>2</v>
      </c>
      <c r="S100" s="77">
        <v>2</v>
      </c>
      <c r="T100" s="77">
        <v>2</v>
      </c>
      <c r="U100" s="77">
        <v>3</v>
      </c>
      <c r="V100" s="182" t="s">
        <v>5874</v>
      </c>
      <c r="W100" s="182">
        <v>3</v>
      </c>
      <c r="X100" s="182">
        <v>2.5</v>
      </c>
      <c r="Y100" s="182">
        <v>2</v>
      </c>
      <c r="Z100" s="182">
        <v>2.5</v>
      </c>
      <c r="AA100" s="182">
        <v>3</v>
      </c>
      <c r="AB100" s="182" t="s">
        <v>5876</v>
      </c>
      <c r="AC100" s="77">
        <v>3</v>
      </c>
      <c r="AD100" s="77">
        <v>3</v>
      </c>
      <c r="AE100" s="77">
        <v>2.5</v>
      </c>
      <c r="AF100" s="77">
        <v>2</v>
      </c>
      <c r="AG100" s="77">
        <v>3</v>
      </c>
      <c r="AH100" s="150" t="s">
        <v>4891</v>
      </c>
    </row>
    <row r="101" spans="1:34">
      <c r="A101" s="146">
        <v>163</v>
      </c>
      <c r="B101" s="147" t="s">
        <v>6134</v>
      </c>
      <c r="C101" s="148">
        <v>3</v>
      </c>
      <c r="D101" s="148">
        <v>2.5</v>
      </c>
      <c r="E101" s="148">
        <v>2</v>
      </c>
      <c r="F101" s="148">
        <v>2</v>
      </c>
      <c r="G101" s="148">
        <v>3</v>
      </c>
      <c r="H101" s="176" t="s">
        <v>5869</v>
      </c>
      <c r="I101" s="148" t="s">
        <v>3125</v>
      </c>
      <c r="J101" s="46"/>
      <c r="K101" s="182">
        <v>3</v>
      </c>
      <c r="L101" s="182">
        <v>2.5</v>
      </c>
      <c r="M101" s="182">
        <v>2</v>
      </c>
      <c r="N101" s="182">
        <v>2.5</v>
      </c>
      <c r="O101" s="182">
        <v>3</v>
      </c>
      <c r="P101" s="182" t="s">
        <v>6264</v>
      </c>
      <c r="Q101" s="77">
        <v>3</v>
      </c>
      <c r="R101" s="77">
        <v>2.5</v>
      </c>
      <c r="S101" s="77">
        <v>2.5</v>
      </c>
      <c r="T101" s="77">
        <v>2.5</v>
      </c>
      <c r="U101" s="77">
        <v>3</v>
      </c>
      <c r="V101" s="182" t="s">
        <v>5873</v>
      </c>
      <c r="W101" s="182">
        <v>3</v>
      </c>
      <c r="X101" s="182">
        <v>3</v>
      </c>
      <c r="Y101" s="182">
        <v>2.5</v>
      </c>
      <c r="Z101" s="182">
        <v>2.5</v>
      </c>
      <c r="AA101" s="182">
        <v>3</v>
      </c>
      <c r="AB101" s="182" t="s">
        <v>3246</v>
      </c>
      <c r="AC101" s="77">
        <v>3</v>
      </c>
      <c r="AD101" s="77">
        <v>2.5</v>
      </c>
      <c r="AE101" s="77">
        <v>2</v>
      </c>
      <c r="AF101" s="77">
        <v>2.5</v>
      </c>
      <c r="AG101" s="77">
        <v>3</v>
      </c>
      <c r="AH101" s="150" t="s">
        <v>4891</v>
      </c>
    </row>
    <row r="102" spans="1:34">
      <c r="A102" s="146">
        <v>163</v>
      </c>
      <c r="B102" s="147" t="s">
        <v>6137</v>
      </c>
      <c r="C102" s="148">
        <v>3</v>
      </c>
      <c r="D102" s="148">
        <v>2</v>
      </c>
      <c r="E102" s="148">
        <v>2.5</v>
      </c>
      <c r="F102" s="148">
        <v>2</v>
      </c>
      <c r="G102" s="185">
        <v>3</v>
      </c>
      <c r="H102" s="176"/>
      <c r="I102" s="148" t="s">
        <v>3125</v>
      </c>
      <c r="J102" s="46"/>
      <c r="K102" s="182">
        <v>3</v>
      </c>
      <c r="L102" s="182">
        <v>2</v>
      </c>
      <c r="M102" s="182">
        <v>2.5</v>
      </c>
      <c r="N102" s="182">
        <v>2</v>
      </c>
      <c r="O102" s="182">
        <v>3</v>
      </c>
      <c r="P102" s="182" t="s">
        <v>4891</v>
      </c>
      <c r="Q102" s="77">
        <v>3</v>
      </c>
      <c r="R102" s="77">
        <v>2.5</v>
      </c>
      <c r="S102" s="77">
        <v>2.5</v>
      </c>
      <c r="T102" s="77">
        <v>2.5</v>
      </c>
      <c r="U102" s="77">
        <v>3</v>
      </c>
      <c r="V102" s="182" t="s">
        <v>5873</v>
      </c>
      <c r="W102" s="182">
        <v>3</v>
      </c>
      <c r="X102" s="182">
        <v>2.5</v>
      </c>
      <c r="Y102" s="182">
        <v>2.5</v>
      </c>
      <c r="Z102" s="182">
        <v>2.5</v>
      </c>
      <c r="AA102" s="182">
        <v>3</v>
      </c>
      <c r="AB102" s="182" t="s">
        <v>5873</v>
      </c>
      <c r="AC102" s="77">
        <v>3</v>
      </c>
      <c r="AD102" s="77">
        <v>2.5</v>
      </c>
      <c r="AE102" s="77">
        <v>2.5</v>
      </c>
      <c r="AF102" s="77">
        <v>2.5</v>
      </c>
      <c r="AG102" s="77">
        <v>3</v>
      </c>
      <c r="AH102" s="150" t="s">
        <v>60</v>
      </c>
    </row>
    <row r="103" spans="1:34">
      <c r="A103" s="146">
        <v>163</v>
      </c>
      <c r="B103" s="147" t="s">
        <v>6139</v>
      </c>
      <c r="C103" s="148">
        <v>3</v>
      </c>
      <c r="D103" s="148">
        <v>2.5</v>
      </c>
      <c r="E103" s="148">
        <v>2</v>
      </c>
      <c r="F103" s="148">
        <v>2</v>
      </c>
      <c r="G103" s="185">
        <v>3</v>
      </c>
      <c r="H103" s="176"/>
      <c r="I103" s="148" t="s">
        <v>3122</v>
      </c>
      <c r="J103" s="46"/>
      <c r="K103" s="182">
        <v>3</v>
      </c>
      <c r="L103" s="182">
        <v>2.5</v>
      </c>
      <c r="M103" s="182">
        <v>2</v>
      </c>
      <c r="N103" s="182">
        <v>1</v>
      </c>
      <c r="O103" s="182">
        <v>3</v>
      </c>
      <c r="P103" s="182" t="s">
        <v>3321</v>
      </c>
      <c r="Q103" s="77">
        <v>3</v>
      </c>
      <c r="R103" s="77">
        <v>2.5</v>
      </c>
      <c r="S103" s="77">
        <v>2</v>
      </c>
      <c r="T103" s="77">
        <v>2</v>
      </c>
      <c r="U103" s="77">
        <v>3</v>
      </c>
      <c r="V103" s="182" t="s">
        <v>5874</v>
      </c>
      <c r="W103" s="182">
        <v>3</v>
      </c>
      <c r="X103" s="182">
        <v>2.5</v>
      </c>
      <c r="Y103" s="182">
        <v>2.5</v>
      </c>
      <c r="Z103" s="182">
        <v>2</v>
      </c>
      <c r="AA103" s="182">
        <v>3</v>
      </c>
      <c r="AB103" s="182" t="s">
        <v>5874</v>
      </c>
      <c r="AC103" s="77">
        <v>3</v>
      </c>
      <c r="AD103" s="77">
        <v>2.5</v>
      </c>
      <c r="AE103" s="77">
        <v>2.5</v>
      </c>
      <c r="AF103" s="77">
        <v>1.5</v>
      </c>
      <c r="AG103" s="77">
        <v>3</v>
      </c>
      <c r="AH103" s="150" t="s">
        <v>5997</v>
      </c>
    </row>
    <row r="104" spans="1:34">
      <c r="A104" s="146">
        <v>163</v>
      </c>
      <c r="B104" s="147" t="s">
        <v>6141</v>
      </c>
      <c r="C104" s="148">
        <v>3</v>
      </c>
      <c r="D104" s="148">
        <v>2.5</v>
      </c>
      <c r="E104" s="148">
        <v>2</v>
      </c>
      <c r="F104" s="148">
        <v>2</v>
      </c>
      <c r="G104" s="185">
        <v>3</v>
      </c>
      <c r="H104" s="176" t="s">
        <v>5869</v>
      </c>
      <c r="I104" s="148" t="s">
        <v>3125</v>
      </c>
      <c r="J104" s="46"/>
      <c r="K104" s="182">
        <v>3</v>
      </c>
      <c r="L104" s="182">
        <v>2.5</v>
      </c>
      <c r="M104" s="182">
        <v>2</v>
      </c>
      <c r="N104" s="182">
        <v>1.5</v>
      </c>
      <c r="O104" s="182">
        <v>3</v>
      </c>
      <c r="P104" s="182" t="s">
        <v>62</v>
      </c>
      <c r="Q104" s="77">
        <v>3</v>
      </c>
      <c r="R104" s="77">
        <v>2.5</v>
      </c>
      <c r="S104" s="77">
        <v>2</v>
      </c>
      <c r="T104" s="77">
        <v>2</v>
      </c>
      <c r="U104" s="77">
        <v>3</v>
      </c>
      <c r="V104" s="182" t="s">
        <v>5874</v>
      </c>
      <c r="W104" s="182">
        <v>3</v>
      </c>
      <c r="X104" s="182">
        <v>2.5</v>
      </c>
      <c r="Y104" s="182">
        <v>2</v>
      </c>
      <c r="Z104" s="182">
        <v>2</v>
      </c>
      <c r="AA104" s="182">
        <v>3</v>
      </c>
      <c r="AB104" s="182" t="s">
        <v>5877</v>
      </c>
      <c r="AC104" s="77">
        <v>3</v>
      </c>
      <c r="AD104" s="77">
        <v>2.5</v>
      </c>
      <c r="AE104" s="77">
        <v>2</v>
      </c>
      <c r="AF104" s="77">
        <v>2</v>
      </c>
      <c r="AG104" s="77">
        <v>3</v>
      </c>
      <c r="AH104" s="150" t="s">
        <v>5997</v>
      </c>
    </row>
    <row r="105" spans="1:34">
      <c r="A105" s="146">
        <v>163</v>
      </c>
      <c r="B105" s="147" t="s">
        <v>6143</v>
      </c>
      <c r="C105" s="148"/>
      <c r="D105" s="148"/>
      <c r="E105" s="148"/>
      <c r="F105" s="44"/>
      <c r="G105" s="148"/>
      <c r="H105" s="176"/>
      <c r="I105" s="148"/>
      <c r="J105" s="46"/>
      <c r="K105" s="182">
        <v>3</v>
      </c>
      <c r="L105" s="182">
        <v>2.5</v>
      </c>
      <c r="M105" s="182">
        <v>2.5</v>
      </c>
      <c r="N105" s="182">
        <v>2</v>
      </c>
      <c r="O105" s="182">
        <v>3</v>
      </c>
      <c r="P105" s="182" t="s">
        <v>5871</v>
      </c>
      <c r="Q105" s="77">
        <v>3</v>
      </c>
      <c r="R105" s="77">
        <v>3</v>
      </c>
      <c r="S105" s="77">
        <v>2.5</v>
      </c>
      <c r="T105" s="77">
        <v>2.5</v>
      </c>
      <c r="U105" s="77">
        <v>3</v>
      </c>
      <c r="V105" s="182" t="s">
        <v>3246</v>
      </c>
      <c r="W105" s="182">
        <v>3</v>
      </c>
      <c r="X105" s="182">
        <v>3</v>
      </c>
      <c r="Y105" s="182">
        <v>2.5</v>
      </c>
      <c r="Z105" s="182">
        <v>2.5</v>
      </c>
      <c r="AA105" s="182">
        <v>3</v>
      </c>
      <c r="AB105" s="182" t="s">
        <v>3246</v>
      </c>
      <c r="AC105" s="77">
        <v>3</v>
      </c>
      <c r="AD105" s="77">
        <v>2.5</v>
      </c>
      <c r="AE105" s="77">
        <v>3</v>
      </c>
      <c r="AF105" s="77">
        <v>2.5</v>
      </c>
      <c r="AG105" s="77">
        <v>3</v>
      </c>
      <c r="AH105" s="150" t="s">
        <v>60</v>
      </c>
    </row>
    <row r="106" spans="1:34">
      <c r="A106" s="146">
        <v>163</v>
      </c>
      <c r="B106" s="147" t="s">
        <v>6145</v>
      </c>
      <c r="C106" s="148">
        <v>3</v>
      </c>
      <c r="D106" s="148">
        <v>2.5</v>
      </c>
      <c r="E106" s="148">
        <v>2</v>
      </c>
      <c r="F106" s="148">
        <v>2</v>
      </c>
      <c r="G106" s="185">
        <v>3</v>
      </c>
      <c r="H106" s="176"/>
      <c r="I106" s="148" t="s">
        <v>3125</v>
      </c>
      <c r="J106" s="46"/>
      <c r="K106" s="182">
        <v>3</v>
      </c>
      <c r="L106" s="182">
        <v>3</v>
      </c>
      <c r="M106" s="182">
        <v>2</v>
      </c>
      <c r="N106" s="182">
        <v>1.5</v>
      </c>
      <c r="O106" s="182">
        <v>3</v>
      </c>
      <c r="P106" s="182" t="s">
        <v>62</v>
      </c>
      <c r="Q106" s="77">
        <v>3</v>
      </c>
      <c r="R106" s="77">
        <v>3</v>
      </c>
      <c r="S106" s="77">
        <v>2</v>
      </c>
      <c r="T106" s="77">
        <v>2</v>
      </c>
      <c r="U106" s="77">
        <v>3</v>
      </c>
      <c r="V106" s="182" t="s">
        <v>5872</v>
      </c>
      <c r="W106" s="182">
        <v>3</v>
      </c>
      <c r="X106" s="182">
        <v>2.5</v>
      </c>
      <c r="Y106" s="182">
        <v>2</v>
      </c>
      <c r="Z106" s="182">
        <v>2.5</v>
      </c>
      <c r="AA106" s="182">
        <v>3</v>
      </c>
      <c r="AB106" s="182" t="s">
        <v>61</v>
      </c>
      <c r="AC106" s="77">
        <v>3</v>
      </c>
      <c r="AD106" s="77">
        <v>2.5</v>
      </c>
      <c r="AE106" s="77">
        <v>2</v>
      </c>
      <c r="AF106" s="77">
        <v>2</v>
      </c>
      <c r="AG106" s="77">
        <v>3</v>
      </c>
      <c r="AH106" s="150" t="s">
        <v>62</v>
      </c>
    </row>
    <row r="107" spans="1:34">
      <c r="A107" s="146">
        <v>163</v>
      </c>
      <c r="B107" s="147" t="s">
        <v>6148</v>
      </c>
      <c r="C107" s="148">
        <v>3</v>
      </c>
      <c r="D107" s="148">
        <v>3</v>
      </c>
      <c r="E107" s="148">
        <v>2</v>
      </c>
      <c r="F107" s="148">
        <v>2</v>
      </c>
      <c r="G107" s="185">
        <v>3</v>
      </c>
      <c r="H107" s="176"/>
      <c r="I107" s="148" t="s">
        <v>3125</v>
      </c>
      <c r="J107" s="46"/>
      <c r="K107" s="182">
        <v>3</v>
      </c>
      <c r="L107" s="182">
        <v>2.5</v>
      </c>
      <c r="M107" s="182">
        <v>2</v>
      </c>
      <c r="N107" s="182">
        <v>1.5</v>
      </c>
      <c r="O107" s="182">
        <v>3</v>
      </c>
      <c r="P107" s="182" t="s">
        <v>62</v>
      </c>
      <c r="Q107" s="77">
        <v>3</v>
      </c>
      <c r="R107" s="77">
        <v>2.5</v>
      </c>
      <c r="S107" s="77">
        <v>2</v>
      </c>
      <c r="T107" s="77">
        <v>2.5</v>
      </c>
      <c r="U107" s="77">
        <v>3</v>
      </c>
      <c r="V107" s="182" t="s">
        <v>5876</v>
      </c>
      <c r="W107" s="182">
        <v>3</v>
      </c>
      <c r="X107" s="182">
        <v>2.5</v>
      </c>
      <c r="Y107" s="182">
        <v>2</v>
      </c>
      <c r="Z107" s="182">
        <v>2.5</v>
      </c>
      <c r="AA107" s="182">
        <v>3</v>
      </c>
      <c r="AB107" s="182" t="s">
        <v>5876</v>
      </c>
      <c r="AC107" s="77">
        <v>3</v>
      </c>
      <c r="AD107" s="77">
        <v>2.5</v>
      </c>
      <c r="AE107" s="77">
        <v>2</v>
      </c>
      <c r="AF107" s="77">
        <v>2</v>
      </c>
      <c r="AG107" s="77">
        <v>3</v>
      </c>
      <c r="AH107" s="150" t="s">
        <v>5997</v>
      </c>
    </row>
    <row r="108" spans="1:34">
      <c r="A108" s="146">
        <v>163</v>
      </c>
      <c r="B108" s="147" t="s">
        <v>6150</v>
      </c>
      <c r="C108" s="148">
        <v>3</v>
      </c>
      <c r="D108" s="148">
        <v>2.5</v>
      </c>
      <c r="E108" s="148">
        <v>2.5</v>
      </c>
      <c r="F108" s="148">
        <v>1.5</v>
      </c>
      <c r="G108" s="148">
        <v>3</v>
      </c>
      <c r="H108" s="176"/>
      <c r="I108" s="148" t="s">
        <v>3173</v>
      </c>
      <c r="J108" s="46" t="s">
        <v>5878</v>
      </c>
      <c r="K108" s="182">
        <v>3</v>
      </c>
      <c r="L108" s="182">
        <v>2</v>
      </c>
      <c r="M108" s="182">
        <v>2</v>
      </c>
      <c r="N108" s="182">
        <v>2</v>
      </c>
      <c r="O108" s="182">
        <v>3</v>
      </c>
      <c r="P108" s="182" t="s">
        <v>62</v>
      </c>
      <c r="Q108" s="77">
        <v>3</v>
      </c>
      <c r="R108" s="77">
        <v>2.5</v>
      </c>
      <c r="S108" s="77">
        <v>2.5</v>
      </c>
      <c r="T108" s="77">
        <v>2</v>
      </c>
      <c r="U108" s="77">
        <v>3</v>
      </c>
      <c r="V108" s="182" t="s">
        <v>5873</v>
      </c>
      <c r="W108" s="182">
        <v>3</v>
      </c>
      <c r="X108" s="182">
        <v>2.5</v>
      </c>
      <c r="Y108" s="182">
        <v>2.5</v>
      </c>
      <c r="Z108" s="182">
        <v>2</v>
      </c>
      <c r="AA108" s="182">
        <v>3</v>
      </c>
      <c r="AB108" s="182" t="s">
        <v>5873</v>
      </c>
      <c r="AC108" s="77">
        <v>3</v>
      </c>
      <c r="AD108" s="77">
        <v>2.5</v>
      </c>
      <c r="AE108" s="77">
        <v>2.5</v>
      </c>
      <c r="AF108" s="77">
        <v>2</v>
      </c>
      <c r="AG108" s="77">
        <v>3</v>
      </c>
      <c r="AH108" s="150" t="s">
        <v>4891</v>
      </c>
    </row>
    <row r="109" spans="1:34">
      <c r="A109" s="146">
        <v>163</v>
      </c>
      <c r="B109" s="147" t="s">
        <v>6151</v>
      </c>
      <c r="C109" s="148">
        <v>3</v>
      </c>
      <c r="D109" s="148">
        <v>3</v>
      </c>
      <c r="E109" s="148">
        <v>2</v>
      </c>
      <c r="F109" s="148">
        <v>2</v>
      </c>
      <c r="G109" s="185">
        <v>3</v>
      </c>
      <c r="H109" s="176"/>
      <c r="I109" s="148" t="s">
        <v>6263</v>
      </c>
      <c r="J109" s="46" t="s">
        <v>5878</v>
      </c>
      <c r="K109" s="182">
        <v>3</v>
      </c>
      <c r="L109" s="182">
        <v>2.5</v>
      </c>
      <c r="M109" s="182">
        <v>2</v>
      </c>
      <c r="N109" s="182">
        <v>1.5</v>
      </c>
      <c r="O109" s="182">
        <v>3</v>
      </c>
      <c r="P109" s="182" t="s">
        <v>62</v>
      </c>
      <c r="Q109" s="77">
        <v>3</v>
      </c>
      <c r="R109" s="77">
        <v>3</v>
      </c>
      <c r="S109" s="77">
        <v>2</v>
      </c>
      <c r="T109" s="77">
        <v>2</v>
      </c>
      <c r="U109" s="77">
        <v>3</v>
      </c>
      <c r="V109" s="182" t="s">
        <v>5872</v>
      </c>
      <c r="W109" s="182">
        <v>3</v>
      </c>
      <c r="X109" s="182">
        <v>2.5</v>
      </c>
      <c r="Y109" s="182">
        <v>2.5</v>
      </c>
      <c r="Z109" s="182">
        <v>2</v>
      </c>
      <c r="AA109" s="182">
        <v>3</v>
      </c>
      <c r="AB109" s="182" t="s">
        <v>5877</v>
      </c>
      <c r="AC109" s="77">
        <v>3</v>
      </c>
      <c r="AD109" s="77">
        <v>2.5</v>
      </c>
      <c r="AE109" s="77">
        <v>2</v>
      </c>
      <c r="AF109" s="77">
        <v>2.5</v>
      </c>
      <c r="AG109" s="77">
        <v>3</v>
      </c>
      <c r="AH109" s="150" t="s">
        <v>171</v>
      </c>
    </row>
    <row r="110" spans="1:34">
      <c r="A110" s="146">
        <v>163</v>
      </c>
      <c r="B110" s="147" t="s">
        <v>6152</v>
      </c>
      <c r="C110" s="148">
        <v>3</v>
      </c>
      <c r="D110" s="148">
        <v>3</v>
      </c>
      <c r="E110" s="148">
        <v>2</v>
      </c>
      <c r="F110" s="148">
        <v>2</v>
      </c>
      <c r="G110" s="148">
        <v>3</v>
      </c>
      <c r="H110" s="176"/>
      <c r="I110" s="148" t="s">
        <v>3125</v>
      </c>
      <c r="J110" s="46"/>
      <c r="K110" s="182">
        <v>3</v>
      </c>
      <c r="L110" s="182">
        <v>2.5</v>
      </c>
      <c r="M110" s="182">
        <v>2</v>
      </c>
      <c r="N110" s="182">
        <v>2</v>
      </c>
      <c r="O110" s="182">
        <v>3</v>
      </c>
      <c r="P110" s="182" t="s">
        <v>4891</v>
      </c>
      <c r="Q110" s="77">
        <v>3</v>
      </c>
      <c r="R110" s="77">
        <v>3</v>
      </c>
      <c r="S110" s="77">
        <v>2</v>
      </c>
      <c r="T110" s="77">
        <v>2.5</v>
      </c>
      <c r="U110" s="77">
        <v>3</v>
      </c>
      <c r="V110" s="182" t="s">
        <v>5876</v>
      </c>
      <c r="W110" s="182">
        <v>3</v>
      </c>
      <c r="X110" s="182">
        <v>2.5</v>
      </c>
      <c r="Y110" s="182">
        <v>2.5</v>
      </c>
      <c r="Z110" s="182">
        <v>2.5</v>
      </c>
      <c r="AA110" s="182">
        <v>3</v>
      </c>
      <c r="AB110" s="182" t="s">
        <v>61</v>
      </c>
      <c r="AC110" s="77">
        <v>3</v>
      </c>
      <c r="AD110" s="77">
        <v>3</v>
      </c>
      <c r="AE110" s="77">
        <v>2</v>
      </c>
      <c r="AF110" s="77">
        <v>2.5</v>
      </c>
      <c r="AG110" s="77">
        <v>3</v>
      </c>
      <c r="AH110" s="150" t="s">
        <v>171</v>
      </c>
    </row>
    <row r="111" spans="1:34">
      <c r="A111" s="146">
        <v>163</v>
      </c>
      <c r="B111" s="147" t="s">
        <v>6153</v>
      </c>
      <c r="C111" s="148">
        <v>3</v>
      </c>
      <c r="D111" s="148">
        <v>3</v>
      </c>
      <c r="E111" s="148">
        <v>2</v>
      </c>
      <c r="F111" s="148">
        <v>2</v>
      </c>
      <c r="G111" s="148">
        <v>3</v>
      </c>
      <c r="H111" s="176"/>
      <c r="I111" s="148"/>
      <c r="J111" s="46"/>
      <c r="K111" s="182">
        <v>3</v>
      </c>
      <c r="L111" s="182">
        <v>2</v>
      </c>
      <c r="M111" s="182">
        <v>2</v>
      </c>
      <c r="N111" s="182">
        <v>2</v>
      </c>
      <c r="O111" s="182">
        <v>3</v>
      </c>
      <c r="P111" s="182" t="s">
        <v>4891</v>
      </c>
      <c r="Q111" s="77">
        <v>3</v>
      </c>
      <c r="R111" s="77">
        <v>2.5</v>
      </c>
      <c r="S111" s="77">
        <v>2</v>
      </c>
      <c r="T111" s="77">
        <v>2</v>
      </c>
      <c r="U111" s="77">
        <v>3</v>
      </c>
      <c r="V111" s="182" t="s">
        <v>5874</v>
      </c>
      <c r="W111" s="182">
        <v>3</v>
      </c>
      <c r="X111" s="182">
        <v>2.5</v>
      </c>
      <c r="Y111" s="182">
        <v>2.5</v>
      </c>
      <c r="Z111" s="182">
        <v>2.5</v>
      </c>
      <c r="AA111" s="182">
        <v>3</v>
      </c>
      <c r="AB111" s="182" t="s">
        <v>5875</v>
      </c>
      <c r="AC111" s="77">
        <v>3</v>
      </c>
      <c r="AD111" s="77">
        <v>2.5</v>
      </c>
      <c r="AE111" s="77">
        <v>2</v>
      </c>
      <c r="AF111" s="77">
        <v>2.5</v>
      </c>
      <c r="AG111" s="77">
        <v>3</v>
      </c>
      <c r="AH111" s="150" t="s">
        <v>171</v>
      </c>
    </row>
    <row r="112" spans="1:34">
      <c r="A112" s="146">
        <v>163</v>
      </c>
      <c r="B112" s="147" t="s">
        <v>6159</v>
      </c>
      <c r="C112" s="148"/>
      <c r="D112" s="148"/>
      <c r="E112" s="148"/>
      <c r="F112" s="148"/>
      <c r="G112" s="148"/>
      <c r="H112" s="176"/>
      <c r="I112" s="148"/>
      <c r="J112" s="46"/>
      <c r="K112" s="182">
        <v>3</v>
      </c>
      <c r="L112" s="182">
        <v>2</v>
      </c>
      <c r="M112" s="182">
        <v>2</v>
      </c>
      <c r="N112" s="182">
        <v>1</v>
      </c>
      <c r="O112" s="182">
        <v>2.5</v>
      </c>
      <c r="P112" s="182" t="s">
        <v>3818</v>
      </c>
      <c r="Q112" s="77">
        <v>3</v>
      </c>
      <c r="R112" s="77">
        <v>2.5</v>
      </c>
      <c r="S112" s="77">
        <v>2</v>
      </c>
      <c r="T112" s="77">
        <v>2</v>
      </c>
      <c r="U112" s="77">
        <v>3</v>
      </c>
      <c r="V112" s="182" t="s">
        <v>5874</v>
      </c>
      <c r="W112" s="182">
        <v>3</v>
      </c>
      <c r="X112" s="182">
        <v>2.5</v>
      </c>
      <c r="Y112" s="182">
        <v>2</v>
      </c>
      <c r="Z112" s="182">
        <v>2</v>
      </c>
      <c r="AA112" s="182">
        <v>3</v>
      </c>
      <c r="AB112" s="182" t="s">
        <v>62</v>
      </c>
      <c r="AC112" s="77">
        <v>3</v>
      </c>
      <c r="AD112" s="77">
        <v>2.5</v>
      </c>
      <c r="AE112" s="77">
        <v>2</v>
      </c>
      <c r="AF112" s="77">
        <v>1.5</v>
      </c>
      <c r="AG112" s="77">
        <v>3</v>
      </c>
      <c r="AH112" s="150" t="s">
        <v>62</v>
      </c>
    </row>
    <row r="113" spans="1:34">
      <c r="A113" s="151" t="s">
        <v>6128</v>
      </c>
      <c r="B113" s="152" t="s">
        <v>6110</v>
      </c>
      <c r="C113" s="148">
        <v>3</v>
      </c>
      <c r="D113" s="148">
        <v>3</v>
      </c>
      <c r="E113" s="148">
        <v>2</v>
      </c>
      <c r="F113" s="148">
        <v>1.5</v>
      </c>
      <c r="G113" s="148">
        <v>3</v>
      </c>
      <c r="H113" s="148"/>
      <c r="I113" s="148" t="s">
        <v>4519</v>
      </c>
      <c r="J113" s="46"/>
      <c r="K113" s="184">
        <v>3</v>
      </c>
      <c r="L113" s="184">
        <v>2.5</v>
      </c>
      <c r="M113" s="184">
        <v>1.5</v>
      </c>
      <c r="N113" s="184">
        <v>1.5</v>
      </c>
      <c r="O113" s="184">
        <v>3</v>
      </c>
      <c r="P113" s="184" t="s">
        <v>3818</v>
      </c>
      <c r="Q113" s="77">
        <v>3</v>
      </c>
      <c r="R113" s="77">
        <v>2.5</v>
      </c>
      <c r="S113" s="77">
        <v>1.5</v>
      </c>
      <c r="T113" s="77">
        <v>1.5</v>
      </c>
      <c r="U113" s="77">
        <v>3</v>
      </c>
      <c r="V113" s="184" t="s">
        <v>3818</v>
      </c>
      <c r="W113" s="184">
        <v>3</v>
      </c>
      <c r="X113" s="184">
        <v>2.5</v>
      </c>
      <c r="Y113" s="184">
        <v>1.5</v>
      </c>
      <c r="Z113" s="184">
        <v>1.5</v>
      </c>
      <c r="AA113" s="184">
        <v>3</v>
      </c>
      <c r="AB113" s="184" t="s">
        <v>3818</v>
      </c>
      <c r="AC113" s="77">
        <v>3</v>
      </c>
      <c r="AD113" s="77">
        <v>2</v>
      </c>
      <c r="AE113" s="77">
        <v>1</v>
      </c>
      <c r="AF113" s="77">
        <v>1</v>
      </c>
      <c r="AG113" s="77">
        <v>3</v>
      </c>
      <c r="AH113" s="150" t="s">
        <v>3818</v>
      </c>
    </row>
    <row r="114" spans="1:34">
      <c r="A114" s="146" t="s">
        <v>6128</v>
      </c>
      <c r="B114" s="147" t="s">
        <v>6111</v>
      </c>
      <c r="C114" s="148">
        <v>3</v>
      </c>
      <c r="D114" s="148">
        <v>2</v>
      </c>
      <c r="E114" s="148">
        <v>2</v>
      </c>
      <c r="F114" s="148">
        <v>2</v>
      </c>
      <c r="G114" s="148">
        <v>3</v>
      </c>
      <c r="H114" s="148"/>
      <c r="I114" s="148" t="s">
        <v>3125</v>
      </c>
      <c r="J114" s="46"/>
      <c r="K114" s="184">
        <v>3</v>
      </c>
      <c r="L114" s="184">
        <v>2</v>
      </c>
      <c r="M114" s="184">
        <v>2</v>
      </c>
      <c r="N114" s="184">
        <v>2</v>
      </c>
      <c r="O114" s="184">
        <v>3</v>
      </c>
      <c r="P114" s="184" t="s">
        <v>5917</v>
      </c>
      <c r="Q114" s="77">
        <v>3</v>
      </c>
      <c r="R114" s="77">
        <v>2.5</v>
      </c>
      <c r="S114" s="77">
        <v>1.5</v>
      </c>
      <c r="T114" s="77">
        <v>1.5</v>
      </c>
      <c r="U114" s="77">
        <v>3</v>
      </c>
      <c r="V114" s="184" t="s">
        <v>3818</v>
      </c>
      <c r="W114" s="184">
        <v>3</v>
      </c>
      <c r="X114" s="184">
        <v>2.5</v>
      </c>
      <c r="Y114" s="184">
        <v>2</v>
      </c>
      <c r="Z114" s="184">
        <v>2</v>
      </c>
      <c r="AA114" s="184">
        <v>3</v>
      </c>
      <c r="AB114" s="184" t="s">
        <v>62</v>
      </c>
      <c r="AC114" s="77">
        <v>3</v>
      </c>
      <c r="AD114" s="77">
        <v>3</v>
      </c>
      <c r="AE114" s="77">
        <v>1.5</v>
      </c>
      <c r="AF114" s="77">
        <v>2</v>
      </c>
      <c r="AG114" s="77">
        <v>3</v>
      </c>
      <c r="AH114" s="150" t="s">
        <v>4970</v>
      </c>
    </row>
    <row r="115" spans="1:34">
      <c r="A115" s="146" t="s">
        <v>6128</v>
      </c>
      <c r="B115" s="147" t="s">
        <v>6112</v>
      </c>
      <c r="C115" s="148">
        <v>3</v>
      </c>
      <c r="D115" s="148">
        <v>3</v>
      </c>
      <c r="E115" s="148">
        <v>2</v>
      </c>
      <c r="F115" s="148">
        <v>1.5</v>
      </c>
      <c r="G115" s="148">
        <v>3</v>
      </c>
      <c r="H115" s="148"/>
      <c r="I115" s="148" t="s">
        <v>3125</v>
      </c>
      <c r="J115" s="46"/>
      <c r="K115" s="184">
        <v>3</v>
      </c>
      <c r="L115" s="184">
        <v>2</v>
      </c>
      <c r="M115" s="184">
        <v>2</v>
      </c>
      <c r="N115" s="184">
        <v>1.5</v>
      </c>
      <c r="O115" s="184">
        <v>3</v>
      </c>
      <c r="P115" s="184" t="s">
        <v>3818</v>
      </c>
      <c r="Q115" s="77">
        <v>3</v>
      </c>
      <c r="R115" s="77">
        <v>2</v>
      </c>
      <c r="S115" s="77">
        <v>2</v>
      </c>
      <c r="T115" s="77">
        <v>2</v>
      </c>
      <c r="U115" s="77">
        <v>3</v>
      </c>
      <c r="V115" s="184" t="s">
        <v>5917</v>
      </c>
      <c r="W115" s="184">
        <v>3</v>
      </c>
      <c r="X115" s="184">
        <v>2</v>
      </c>
      <c r="Y115" s="184">
        <v>2</v>
      </c>
      <c r="Z115" s="184">
        <v>2</v>
      </c>
      <c r="AA115" s="184">
        <v>3</v>
      </c>
      <c r="AB115" s="184" t="s">
        <v>62</v>
      </c>
      <c r="AC115" s="77">
        <v>3</v>
      </c>
      <c r="AD115" s="77">
        <v>2</v>
      </c>
      <c r="AE115" s="77">
        <v>2</v>
      </c>
      <c r="AF115" s="77">
        <v>2</v>
      </c>
      <c r="AG115" s="77">
        <v>3</v>
      </c>
      <c r="AH115" s="150" t="s">
        <v>3321</v>
      </c>
    </row>
    <row r="116" spans="1:34">
      <c r="A116" s="146" t="s">
        <v>6128</v>
      </c>
      <c r="B116" s="147" t="s">
        <v>6113</v>
      </c>
      <c r="C116" s="148">
        <v>3</v>
      </c>
      <c r="D116" s="148">
        <v>2.5</v>
      </c>
      <c r="E116" s="148">
        <v>2</v>
      </c>
      <c r="F116" s="148">
        <v>1.5</v>
      </c>
      <c r="G116" s="148">
        <v>3</v>
      </c>
      <c r="H116" s="148"/>
      <c r="I116" s="148" t="s">
        <v>3125</v>
      </c>
      <c r="J116" s="46"/>
      <c r="K116" s="184">
        <v>3</v>
      </c>
      <c r="L116" s="184">
        <v>2.5</v>
      </c>
      <c r="M116" s="184">
        <v>1.5</v>
      </c>
      <c r="N116" s="184">
        <v>2</v>
      </c>
      <c r="O116" s="184">
        <v>3</v>
      </c>
      <c r="P116" s="184" t="s">
        <v>5917</v>
      </c>
      <c r="Q116" s="77">
        <v>3</v>
      </c>
      <c r="R116" s="77">
        <v>2.5</v>
      </c>
      <c r="S116" s="77">
        <v>2</v>
      </c>
      <c r="T116" s="77">
        <v>2</v>
      </c>
      <c r="U116" s="77">
        <v>3</v>
      </c>
      <c r="V116" s="184" t="s">
        <v>5917</v>
      </c>
      <c r="W116" s="184">
        <v>3</v>
      </c>
      <c r="X116" s="184">
        <v>2.5</v>
      </c>
      <c r="Y116" s="184">
        <v>2</v>
      </c>
      <c r="Z116" s="184">
        <v>2</v>
      </c>
      <c r="AA116" s="184">
        <v>3</v>
      </c>
      <c r="AB116" s="184" t="s">
        <v>62</v>
      </c>
      <c r="AC116" s="77">
        <v>3</v>
      </c>
      <c r="AD116" s="77">
        <v>2.5</v>
      </c>
      <c r="AE116" s="77">
        <v>2</v>
      </c>
      <c r="AF116" s="77">
        <v>2</v>
      </c>
      <c r="AG116" s="77">
        <v>3</v>
      </c>
      <c r="AH116" s="150" t="s">
        <v>3244</v>
      </c>
    </row>
    <row r="117" spans="1:34">
      <c r="A117" s="146" t="s">
        <v>6128</v>
      </c>
      <c r="B117" s="147" t="s">
        <v>6114</v>
      </c>
      <c r="C117" s="148">
        <v>3</v>
      </c>
      <c r="D117" s="148">
        <v>2.5</v>
      </c>
      <c r="E117" s="148">
        <v>2</v>
      </c>
      <c r="F117" s="148">
        <v>1.5</v>
      </c>
      <c r="G117" s="148">
        <v>3</v>
      </c>
      <c r="H117" s="148"/>
      <c r="I117" s="148" t="s">
        <v>5866</v>
      </c>
      <c r="J117" s="46" t="s">
        <v>5878</v>
      </c>
      <c r="K117" s="184">
        <v>3</v>
      </c>
      <c r="L117" s="184">
        <v>2</v>
      </c>
      <c r="M117" s="184">
        <v>2</v>
      </c>
      <c r="N117" s="184">
        <v>1.5</v>
      </c>
      <c r="O117" s="184">
        <v>3</v>
      </c>
      <c r="P117" s="184" t="s">
        <v>3818</v>
      </c>
      <c r="Q117" s="77">
        <v>3</v>
      </c>
      <c r="R117" s="77">
        <v>2</v>
      </c>
      <c r="S117" s="77">
        <v>2</v>
      </c>
      <c r="T117" s="77">
        <v>1.5</v>
      </c>
      <c r="U117" s="77">
        <v>3</v>
      </c>
      <c r="V117" s="184" t="s">
        <v>3818</v>
      </c>
      <c r="W117" s="184">
        <v>3</v>
      </c>
      <c r="X117" s="184">
        <v>2</v>
      </c>
      <c r="Y117" s="184">
        <v>1.5</v>
      </c>
      <c r="Z117" s="184">
        <v>2</v>
      </c>
      <c r="AA117" s="184">
        <v>3</v>
      </c>
      <c r="AB117" s="184" t="s">
        <v>3818</v>
      </c>
      <c r="AC117" s="77">
        <v>3</v>
      </c>
      <c r="AD117" s="77">
        <v>2.5</v>
      </c>
      <c r="AE117" s="77">
        <v>2</v>
      </c>
      <c r="AF117" s="77">
        <v>1.5</v>
      </c>
      <c r="AG117" s="77">
        <v>3</v>
      </c>
      <c r="AH117" s="150" t="s">
        <v>3321</v>
      </c>
    </row>
    <row r="118" spans="1:34">
      <c r="A118" s="146" t="s">
        <v>6128</v>
      </c>
      <c r="B118" s="147" t="s">
        <v>6115</v>
      </c>
      <c r="C118" s="148">
        <v>3</v>
      </c>
      <c r="D118" s="148">
        <v>2</v>
      </c>
      <c r="E118" s="148">
        <v>2</v>
      </c>
      <c r="F118" s="148">
        <v>2</v>
      </c>
      <c r="G118" s="148">
        <v>3</v>
      </c>
      <c r="H118" s="148"/>
      <c r="I118" s="148" t="s">
        <v>3125</v>
      </c>
      <c r="J118" s="46"/>
      <c r="K118" s="184">
        <v>3</v>
      </c>
      <c r="L118" s="184">
        <v>2</v>
      </c>
      <c r="M118" s="184">
        <v>2</v>
      </c>
      <c r="N118" s="184">
        <v>2</v>
      </c>
      <c r="O118" s="184">
        <v>3</v>
      </c>
      <c r="P118" s="184" t="s">
        <v>5917</v>
      </c>
      <c r="Q118" s="77">
        <v>3</v>
      </c>
      <c r="R118" s="77">
        <v>2</v>
      </c>
      <c r="S118" s="77">
        <v>2</v>
      </c>
      <c r="T118" s="77">
        <v>2</v>
      </c>
      <c r="U118" s="77">
        <v>3</v>
      </c>
      <c r="V118" s="184" t="s">
        <v>5917</v>
      </c>
      <c r="W118" s="184">
        <v>3</v>
      </c>
      <c r="X118" s="184">
        <v>2</v>
      </c>
      <c r="Y118" s="184">
        <v>2</v>
      </c>
      <c r="Z118" s="184">
        <v>2</v>
      </c>
      <c r="AA118" s="184">
        <v>3</v>
      </c>
      <c r="AB118" s="184" t="s">
        <v>62</v>
      </c>
      <c r="AC118" s="77">
        <v>3</v>
      </c>
      <c r="AD118" s="77">
        <v>2.5</v>
      </c>
      <c r="AE118" s="77">
        <v>2</v>
      </c>
      <c r="AF118" s="77">
        <v>1.5</v>
      </c>
      <c r="AG118" s="77">
        <v>3</v>
      </c>
      <c r="AH118" s="150" t="s">
        <v>3321</v>
      </c>
    </row>
    <row r="119" spans="1:34">
      <c r="A119" s="146" t="s">
        <v>6128</v>
      </c>
      <c r="B119" s="147" t="s">
        <v>6116</v>
      </c>
      <c r="C119" s="148">
        <v>3</v>
      </c>
      <c r="D119" s="148">
        <v>2</v>
      </c>
      <c r="E119" s="148">
        <v>2</v>
      </c>
      <c r="F119" s="148">
        <v>1.5</v>
      </c>
      <c r="G119" s="148">
        <v>3</v>
      </c>
      <c r="H119" s="148"/>
      <c r="I119" s="148" t="s">
        <v>3125</v>
      </c>
      <c r="J119" s="46"/>
      <c r="K119" s="279" t="s">
        <v>6260</v>
      </c>
      <c r="L119" s="280"/>
      <c r="M119" s="280"/>
      <c r="N119" s="280"/>
      <c r="O119" s="280"/>
      <c r="P119" s="281"/>
      <c r="Q119" s="77">
        <v>3</v>
      </c>
      <c r="R119" s="77">
        <v>2</v>
      </c>
      <c r="S119" s="77">
        <v>2</v>
      </c>
      <c r="T119" s="77">
        <v>2</v>
      </c>
      <c r="U119" s="77">
        <v>3</v>
      </c>
      <c r="V119" s="184" t="s">
        <v>5917</v>
      </c>
      <c r="W119" s="184">
        <v>3</v>
      </c>
      <c r="X119" s="184">
        <v>2</v>
      </c>
      <c r="Y119" s="184">
        <v>2</v>
      </c>
      <c r="Z119" s="184">
        <v>2</v>
      </c>
      <c r="AA119" s="184">
        <v>3</v>
      </c>
      <c r="AB119" s="184" t="s">
        <v>5877</v>
      </c>
      <c r="AC119" s="77">
        <v>3</v>
      </c>
      <c r="AD119" s="77">
        <v>2.5</v>
      </c>
      <c r="AE119" s="77">
        <v>2</v>
      </c>
      <c r="AF119" s="77">
        <v>1.5</v>
      </c>
      <c r="AG119" s="77">
        <v>3</v>
      </c>
      <c r="AH119" s="150" t="s">
        <v>3321</v>
      </c>
    </row>
    <row r="120" spans="1:34">
      <c r="A120" s="146" t="s">
        <v>6128</v>
      </c>
      <c r="B120" s="147" t="s">
        <v>6117</v>
      </c>
      <c r="C120" s="148">
        <v>3</v>
      </c>
      <c r="D120" s="148">
        <v>3</v>
      </c>
      <c r="E120" s="148">
        <v>2</v>
      </c>
      <c r="F120" s="148">
        <v>2</v>
      </c>
      <c r="G120" s="148">
        <v>3</v>
      </c>
      <c r="H120" s="148"/>
      <c r="I120" s="148" t="s">
        <v>5866</v>
      </c>
      <c r="J120" s="46" t="s">
        <v>5878</v>
      </c>
      <c r="K120" s="184">
        <v>3</v>
      </c>
      <c r="L120" s="184">
        <v>2</v>
      </c>
      <c r="M120" s="184">
        <v>2</v>
      </c>
      <c r="N120" s="184">
        <v>2</v>
      </c>
      <c r="O120" s="184">
        <v>3</v>
      </c>
      <c r="P120" s="184" t="s">
        <v>5917</v>
      </c>
      <c r="Q120" s="77">
        <v>3</v>
      </c>
      <c r="R120" s="77">
        <v>2</v>
      </c>
      <c r="S120" s="77">
        <v>2</v>
      </c>
      <c r="T120" s="77">
        <v>2</v>
      </c>
      <c r="U120" s="77">
        <v>3</v>
      </c>
      <c r="V120" s="184" t="s">
        <v>5917</v>
      </c>
      <c r="W120" s="184">
        <v>3</v>
      </c>
      <c r="X120" s="184">
        <v>2.5</v>
      </c>
      <c r="Y120" s="184">
        <v>2</v>
      </c>
      <c r="Z120" s="184">
        <v>2</v>
      </c>
      <c r="AA120" s="184">
        <v>3</v>
      </c>
      <c r="AB120" s="184" t="s">
        <v>62</v>
      </c>
      <c r="AC120" s="77">
        <v>3</v>
      </c>
      <c r="AD120" s="77">
        <v>3</v>
      </c>
      <c r="AE120" s="77">
        <v>2</v>
      </c>
      <c r="AF120" s="77">
        <v>2</v>
      </c>
      <c r="AG120" s="77">
        <v>3</v>
      </c>
      <c r="AH120" s="150" t="s">
        <v>3244</v>
      </c>
    </row>
    <row r="121" spans="1:34">
      <c r="A121" s="146" t="s">
        <v>6128</v>
      </c>
      <c r="B121" s="147" t="s">
        <v>4426</v>
      </c>
      <c r="C121" s="148">
        <v>3</v>
      </c>
      <c r="D121" s="148">
        <v>2.5</v>
      </c>
      <c r="E121" s="148">
        <v>1.5</v>
      </c>
      <c r="F121" s="148">
        <v>2</v>
      </c>
      <c r="G121" s="148">
        <v>3</v>
      </c>
      <c r="H121" s="148"/>
      <c r="I121" s="148" t="s">
        <v>3125</v>
      </c>
      <c r="J121" s="46"/>
      <c r="K121" s="184">
        <v>3</v>
      </c>
      <c r="L121" s="184">
        <v>2.5</v>
      </c>
      <c r="M121" s="184">
        <v>1.5</v>
      </c>
      <c r="N121" s="184">
        <v>1.5</v>
      </c>
      <c r="O121" s="184">
        <v>3</v>
      </c>
      <c r="P121" s="184" t="s">
        <v>3818</v>
      </c>
      <c r="Q121" s="77">
        <v>3</v>
      </c>
      <c r="R121" s="77">
        <v>2.5</v>
      </c>
      <c r="S121" s="77">
        <v>1.5</v>
      </c>
      <c r="T121" s="77">
        <v>1.5</v>
      </c>
      <c r="U121" s="77">
        <v>3</v>
      </c>
      <c r="V121" s="184" t="s">
        <v>3818</v>
      </c>
      <c r="W121" s="184">
        <v>3</v>
      </c>
      <c r="X121" s="184">
        <v>2.5</v>
      </c>
      <c r="Y121" s="184">
        <v>1.5</v>
      </c>
      <c r="Z121" s="184">
        <v>1.5</v>
      </c>
      <c r="AA121" s="184">
        <v>3</v>
      </c>
      <c r="AB121" s="184" t="s">
        <v>3818</v>
      </c>
      <c r="AC121" s="77">
        <v>3</v>
      </c>
      <c r="AD121" s="77">
        <v>3</v>
      </c>
      <c r="AE121" s="77">
        <v>2</v>
      </c>
      <c r="AF121" s="77">
        <v>1.5</v>
      </c>
      <c r="AG121" s="77">
        <v>3</v>
      </c>
      <c r="AH121" s="150" t="s">
        <v>3321</v>
      </c>
    </row>
    <row r="122" spans="1:34">
      <c r="A122" s="146" t="s">
        <v>6128</v>
      </c>
      <c r="B122" s="147" t="s">
        <v>6126</v>
      </c>
      <c r="C122" s="148">
        <v>3</v>
      </c>
      <c r="D122" s="148">
        <v>2.5</v>
      </c>
      <c r="E122" s="148">
        <v>1.5</v>
      </c>
      <c r="F122" s="148">
        <v>2</v>
      </c>
      <c r="G122" s="148">
        <v>3</v>
      </c>
      <c r="H122" s="148"/>
      <c r="I122" s="148" t="s">
        <v>3129</v>
      </c>
      <c r="J122" s="46"/>
      <c r="K122" s="184">
        <v>3</v>
      </c>
      <c r="L122" s="184">
        <v>1.5</v>
      </c>
      <c r="M122" s="184">
        <v>2.5</v>
      </c>
      <c r="N122" s="184">
        <v>2</v>
      </c>
      <c r="O122" s="184">
        <v>3</v>
      </c>
      <c r="P122" s="184" t="s">
        <v>5917</v>
      </c>
      <c r="Q122" s="77">
        <v>3</v>
      </c>
      <c r="R122" s="77">
        <v>2</v>
      </c>
      <c r="S122" s="77">
        <v>2</v>
      </c>
      <c r="T122" s="77">
        <v>2</v>
      </c>
      <c r="U122" s="77">
        <v>3</v>
      </c>
      <c r="V122" s="184" t="s">
        <v>5917</v>
      </c>
      <c r="W122" s="184">
        <v>3</v>
      </c>
      <c r="X122" s="184">
        <v>2.5</v>
      </c>
      <c r="Y122" s="184">
        <v>2</v>
      </c>
      <c r="Z122" s="184">
        <v>2</v>
      </c>
      <c r="AA122" s="184">
        <v>3</v>
      </c>
      <c r="AB122" s="184" t="s">
        <v>62</v>
      </c>
      <c r="AC122" s="77">
        <v>3</v>
      </c>
      <c r="AD122" s="77">
        <v>2.5</v>
      </c>
      <c r="AE122" s="77">
        <v>2</v>
      </c>
      <c r="AF122" s="77">
        <v>1.5</v>
      </c>
      <c r="AG122" s="77">
        <v>3</v>
      </c>
      <c r="AH122" s="150" t="s">
        <v>62</v>
      </c>
    </row>
    <row r="123" spans="1:34">
      <c r="A123" s="146" t="s">
        <v>6128</v>
      </c>
      <c r="B123" s="147" t="s">
        <v>6127</v>
      </c>
      <c r="C123" s="148">
        <v>3</v>
      </c>
      <c r="D123" s="148">
        <v>2.5</v>
      </c>
      <c r="E123" s="148">
        <v>1.5</v>
      </c>
      <c r="F123" s="148">
        <v>2</v>
      </c>
      <c r="G123" s="148">
        <v>3</v>
      </c>
      <c r="H123" s="148"/>
      <c r="I123" s="148" t="s">
        <v>3125</v>
      </c>
      <c r="J123" s="46"/>
      <c r="K123" s="184">
        <v>3</v>
      </c>
      <c r="L123" s="184">
        <v>2</v>
      </c>
      <c r="M123" s="184">
        <v>1.5</v>
      </c>
      <c r="N123" s="184">
        <v>1.5</v>
      </c>
      <c r="O123" s="184">
        <v>3</v>
      </c>
      <c r="P123" s="184" t="s">
        <v>3818</v>
      </c>
      <c r="Q123" s="77">
        <v>3</v>
      </c>
      <c r="R123" s="77">
        <v>2</v>
      </c>
      <c r="S123" s="77">
        <v>2</v>
      </c>
      <c r="T123" s="77">
        <v>2</v>
      </c>
      <c r="U123" s="77">
        <v>3</v>
      </c>
      <c r="V123" s="184" t="s">
        <v>5917</v>
      </c>
      <c r="W123" s="184">
        <v>3</v>
      </c>
      <c r="X123" s="184">
        <v>2</v>
      </c>
      <c r="Y123" s="184">
        <v>2</v>
      </c>
      <c r="Z123" s="184">
        <v>2</v>
      </c>
      <c r="AA123" s="184">
        <v>3</v>
      </c>
      <c r="AB123" s="184" t="s">
        <v>62</v>
      </c>
      <c r="AC123" s="77">
        <v>3</v>
      </c>
      <c r="AD123" s="77">
        <v>2</v>
      </c>
      <c r="AE123" s="77">
        <v>2</v>
      </c>
      <c r="AF123" s="77">
        <v>2</v>
      </c>
      <c r="AG123" s="77">
        <v>3</v>
      </c>
      <c r="AH123" s="150" t="s">
        <v>4970</v>
      </c>
    </row>
    <row r="124" spans="1:34">
      <c r="A124" s="146" t="s">
        <v>6128</v>
      </c>
      <c r="B124" s="147" t="s">
        <v>5637</v>
      </c>
      <c r="C124" s="148">
        <v>3</v>
      </c>
      <c r="D124" s="148">
        <v>2.5</v>
      </c>
      <c r="E124" s="148">
        <v>2</v>
      </c>
      <c r="F124" s="148">
        <v>1.5</v>
      </c>
      <c r="G124" s="148">
        <v>3</v>
      </c>
      <c r="H124" s="148" t="s">
        <v>3818</v>
      </c>
      <c r="I124" s="148" t="s">
        <v>3122</v>
      </c>
      <c r="J124" s="46"/>
      <c r="K124" s="184">
        <v>3</v>
      </c>
      <c r="L124" s="184">
        <v>2</v>
      </c>
      <c r="M124" s="184">
        <v>2</v>
      </c>
      <c r="N124" s="184">
        <v>1.5</v>
      </c>
      <c r="O124" s="184">
        <v>3</v>
      </c>
      <c r="P124" s="184" t="s">
        <v>3818</v>
      </c>
      <c r="Q124" s="77">
        <v>3</v>
      </c>
      <c r="R124" s="77">
        <v>2.5</v>
      </c>
      <c r="S124" s="77">
        <v>1.5</v>
      </c>
      <c r="T124" s="77">
        <v>1.5</v>
      </c>
      <c r="U124" s="77">
        <v>3</v>
      </c>
      <c r="V124" s="184" t="s">
        <v>3818</v>
      </c>
      <c r="W124" s="184">
        <v>3</v>
      </c>
      <c r="X124" s="184">
        <v>2</v>
      </c>
      <c r="Y124" s="184">
        <v>2</v>
      </c>
      <c r="Z124" s="184">
        <v>2</v>
      </c>
      <c r="AA124" s="184">
        <v>3</v>
      </c>
      <c r="AB124" s="184" t="s">
        <v>5877</v>
      </c>
      <c r="AC124" s="77">
        <v>3</v>
      </c>
      <c r="AD124" s="77">
        <v>2</v>
      </c>
      <c r="AE124" s="77">
        <v>2</v>
      </c>
      <c r="AF124" s="77">
        <v>1.5</v>
      </c>
      <c r="AG124" s="77">
        <v>3</v>
      </c>
      <c r="AH124" s="150" t="s">
        <v>3321</v>
      </c>
    </row>
    <row r="125" spans="1:34">
      <c r="A125" s="151">
        <v>160</v>
      </c>
      <c r="B125" s="152" t="s">
        <v>5926</v>
      </c>
      <c r="C125" s="77">
        <v>3</v>
      </c>
      <c r="D125" s="77">
        <v>2.5</v>
      </c>
      <c r="E125" s="77">
        <v>2</v>
      </c>
      <c r="F125" s="77">
        <v>2</v>
      </c>
      <c r="G125" s="77">
        <v>3</v>
      </c>
      <c r="H125" s="176" t="s">
        <v>4891</v>
      </c>
      <c r="I125" s="148" t="s">
        <v>3122</v>
      </c>
      <c r="J125" s="46"/>
      <c r="K125" s="187">
        <v>3</v>
      </c>
      <c r="L125" s="187">
        <v>2</v>
      </c>
      <c r="M125" s="187">
        <v>2</v>
      </c>
      <c r="N125" s="187">
        <v>2</v>
      </c>
      <c r="O125" s="187">
        <v>3</v>
      </c>
      <c r="P125" s="187" t="s">
        <v>62</v>
      </c>
      <c r="Q125" s="187"/>
      <c r="R125" s="187"/>
      <c r="S125" s="187"/>
      <c r="T125" s="187"/>
      <c r="U125" s="187"/>
      <c r="V125" s="187"/>
      <c r="W125" s="187">
        <v>3</v>
      </c>
      <c r="X125" s="187">
        <v>2.5</v>
      </c>
      <c r="Y125" s="187">
        <v>2.5</v>
      </c>
      <c r="Z125" s="187">
        <v>2</v>
      </c>
      <c r="AA125" s="187">
        <v>3</v>
      </c>
      <c r="AB125" s="187" t="s">
        <v>6281</v>
      </c>
      <c r="AC125" s="77">
        <v>3</v>
      </c>
      <c r="AD125" s="77">
        <v>2</v>
      </c>
      <c r="AE125" s="77">
        <v>2.5</v>
      </c>
      <c r="AF125" s="77">
        <v>2</v>
      </c>
      <c r="AG125" s="77">
        <v>3</v>
      </c>
      <c r="AH125" s="150" t="s">
        <v>62</v>
      </c>
    </row>
    <row r="126" spans="1:34">
      <c r="A126" s="146">
        <v>160</v>
      </c>
      <c r="B126" s="147" t="s">
        <v>5935</v>
      </c>
      <c r="C126" s="77">
        <v>3</v>
      </c>
      <c r="D126" s="77">
        <v>2.5</v>
      </c>
      <c r="E126" s="77">
        <v>2</v>
      </c>
      <c r="F126" s="77">
        <v>2</v>
      </c>
      <c r="G126" s="77">
        <v>3</v>
      </c>
      <c r="H126" s="176" t="s">
        <v>4891</v>
      </c>
      <c r="I126" s="148" t="s">
        <v>3122</v>
      </c>
      <c r="J126" s="46"/>
      <c r="K126" s="187">
        <v>3</v>
      </c>
      <c r="L126" s="187">
        <v>2.5</v>
      </c>
      <c r="M126" s="187">
        <v>2</v>
      </c>
      <c r="N126" s="187">
        <v>2</v>
      </c>
      <c r="O126" s="187">
        <v>3</v>
      </c>
      <c r="P126" s="187" t="s">
        <v>62</v>
      </c>
      <c r="Q126" s="187"/>
      <c r="R126" s="187"/>
      <c r="S126" s="187"/>
      <c r="T126" s="187"/>
      <c r="U126" s="187"/>
      <c r="V126" s="187"/>
      <c r="W126" s="187">
        <v>3</v>
      </c>
      <c r="X126" s="187">
        <v>3</v>
      </c>
      <c r="Y126" s="187">
        <v>2</v>
      </c>
      <c r="Z126" s="187">
        <v>2</v>
      </c>
      <c r="AA126" s="187">
        <v>3</v>
      </c>
      <c r="AB126" s="187" t="s">
        <v>4150</v>
      </c>
      <c r="AC126" s="77">
        <v>3</v>
      </c>
      <c r="AD126" s="77">
        <v>2.5</v>
      </c>
      <c r="AE126" s="77">
        <v>2</v>
      </c>
      <c r="AF126" s="77">
        <v>2</v>
      </c>
      <c r="AG126" s="77">
        <v>3</v>
      </c>
      <c r="AH126" s="150" t="s">
        <v>62</v>
      </c>
    </row>
    <row r="127" spans="1:34">
      <c r="A127" s="146">
        <v>160</v>
      </c>
      <c r="B127" s="147" t="s">
        <v>5957</v>
      </c>
      <c r="C127" s="77">
        <v>3</v>
      </c>
      <c r="D127" s="77">
        <v>3</v>
      </c>
      <c r="E127" s="77">
        <v>2.5</v>
      </c>
      <c r="F127" s="77">
        <v>2</v>
      </c>
      <c r="G127" s="77">
        <v>3</v>
      </c>
      <c r="H127" s="176" t="s">
        <v>4891</v>
      </c>
      <c r="I127" s="148" t="s">
        <v>3122</v>
      </c>
      <c r="J127" s="46"/>
      <c r="K127" s="187">
        <v>3</v>
      </c>
      <c r="L127" s="187">
        <v>2.5</v>
      </c>
      <c r="M127" s="187">
        <v>2.5</v>
      </c>
      <c r="N127" s="187">
        <v>2.5</v>
      </c>
      <c r="O127" s="187">
        <v>3</v>
      </c>
      <c r="P127" s="187" t="s">
        <v>6280</v>
      </c>
      <c r="Q127" s="187"/>
      <c r="R127" s="187"/>
      <c r="S127" s="187"/>
      <c r="T127" s="187"/>
      <c r="U127" s="187"/>
      <c r="V127" s="187"/>
      <c r="W127" s="187">
        <v>3</v>
      </c>
      <c r="X127" s="187">
        <v>2.5</v>
      </c>
      <c r="Y127" s="187">
        <v>3</v>
      </c>
      <c r="Z127" s="187">
        <v>2.5</v>
      </c>
      <c r="AA127" s="187">
        <v>3</v>
      </c>
      <c r="AB127" s="187" t="s">
        <v>5918</v>
      </c>
      <c r="AC127" s="77">
        <v>3</v>
      </c>
      <c r="AD127" s="77">
        <v>3</v>
      </c>
      <c r="AE127" s="77">
        <v>2.5</v>
      </c>
      <c r="AF127" s="77">
        <v>2.5</v>
      </c>
      <c r="AG127" s="77">
        <v>3</v>
      </c>
      <c r="AH127" s="150" t="s">
        <v>60</v>
      </c>
    </row>
    <row r="128" spans="1:34">
      <c r="A128" s="146">
        <v>161</v>
      </c>
      <c r="B128" s="147" t="s">
        <v>5995</v>
      </c>
      <c r="C128" s="77">
        <v>3</v>
      </c>
      <c r="D128" s="77">
        <v>3</v>
      </c>
      <c r="E128" s="77">
        <v>2</v>
      </c>
      <c r="F128" s="77">
        <v>2</v>
      </c>
      <c r="G128" s="77">
        <v>3</v>
      </c>
      <c r="H128" s="176" t="s">
        <v>5997</v>
      </c>
      <c r="I128" s="148" t="s">
        <v>3122</v>
      </c>
      <c r="J128" s="46"/>
      <c r="K128" s="187">
        <v>3</v>
      </c>
      <c r="L128" s="187">
        <v>3</v>
      </c>
      <c r="M128" s="187">
        <v>2</v>
      </c>
      <c r="N128" s="187">
        <v>2.5</v>
      </c>
      <c r="O128" s="187">
        <v>3</v>
      </c>
      <c r="P128" s="187" t="s">
        <v>5916</v>
      </c>
      <c r="Q128" s="187"/>
      <c r="R128" s="187"/>
      <c r="S128" s="187"/>
      <c r="T128" s="187"/>
      <c r="U128" s="187"/>
      <c r="V128" s="187"/>
      <c r="W128" s="187">
        <v>3</v>
      </c>
      <c r="X128" s="187">
        <v>2.5</v>
      </c>
      <c r="Y128" s="187">
        <v>2</v>
      </c>
      <c r="Z128" s="187">
        <v>2.5</v>
      </c>
      <c r="AA128" s="187">
        <v>3</v>
      </c>
      <c r="AB128" s="187" t="s">
        <v>5916</v>
      </c>
      <c r="AC128" s="77">
        <v>3</v>
      </c>
      <c r="AD128" s="77">
        <v>3</v>
      </c>
      <c r="AE128" s="77">
        <v>2.5</v>
      </c>
      <c r="AF128" s="77">
        <v>2</v>
      </c>
      <c r="AG128" s="77">
        <v>3</v>
      </c>
      <c r="AH128" s="150" t="s">
        <v>4212</v>
      </c>
    </row>
    <row r="129" spans="1:34">
      <c r="A129" s="146">
        <v>161</v>
      </c>
      <c r="B129" s="147" t="s">
        <v>5975</v>
      </c>
      <c r="C129" s="77">
        <v>3</v>
      </c>
      <c r="D129" s="77">
        <v>3</v>
      </c>
      <c r="E129" s="77">
        <v>2.5</v>
      </c>
      <c r="F129" s="77">
        <v>1.5</v>
      </c>
      <c r="G129" s="77">
        <v>3</v>
      </c>
      <c r="H129" s="176" t="s">
        <v>5997</v>
      </c>
      <c r="I129" s="148" t="s">
        <v>3122</v>
      </c>
      <c r="J129" s="46"/>
      <c r="K129" s="187">
        <v>3</v>
      </c>
      <c r="L129" s="187">
        <v>2</v>
      </c>
      <c r="M129" s="187">
        <v>2.5</v>
      </c>
      <c r="N129" s="187">
        <v>2</v>
      </c>
      <c r="O129" s="187">
        <v>3</v>
      </c>
      <c r="P129" s="187" t="s">
        <v>62</v>
      </c>
      <c r="Q129" s="187"/>
      <c r="R129" s="187"/>
      <c r="S129" s="187"/>
      <c r="T129" s="187"/>
      <c r="U129" s="187"/>
      <c r="V129" s="187"/>
      <c r="W129" s="187">
        <v>3</v>
      </c>
      <c r="X129" s="187">
        <v>2.5</v>
      </c>
      <c r="Y129" s="187">
        <v>2</v>
      </c>
      <c r="Z129" s="187">
        <v>2</v>
      </c>
      <c r="AA129" s="187">
        <v>3</v>
      </c>
      <c r="AB129" s="187" t="s">
        <v>62</v>
      </c>
      <c r="AC129" s="77">
        <v>3</v>
      </c>
      <c r="AD129" s="77">
        <v>3</v>
      </c>
      <c r="AE129" s="77">
        <v>2</v>
      </c>
      <c r="AF129" s="77">
        <v>2</v>
      </c>
      <c r="AG129" s="77">
        <v>3</v>
      </c>
      <c r="AH129" s="150" t="s">
        <v>62</v>
      </c>
    </row>
    <row r="130" spans="1:34">
      <c r="A130" s="146">
        <v>162</v>
      </c>
      <c r="B130" s="147" t="s">
        <v>6059</v>
      </c>
      <c r="C130" s="77">
        <v>3</v>
      </c>
      <c r="D130" s="77">
        <v>2.5</v>
      </c>
      <c r="E130" s="77">
        <v>2</v>
      </c>
      <c r="F130" s="77">
        <v>2.5</v>
      </c>
      <c r="G130" s="77">
        <v>3</v>
      </c>
      <c r="H130" s="176" t="s">
        <v>4891</v>
      </c>
      <c r="I130" s="148" t="s">
        <v>3122</v>
      </c>
      <c r="J130" s="46"/>
      <c r="K130" s="187">
        <v>3</v>
      </c>
      <c r="L130" s="187">
        <v>2.5</v>
      </c>
      <c r="M130" s="187">
        <v>2</v>
      </c>
      <c r="N130" s="187">
        <v>2.5</v>
      </c>
      <c r="O130" s="187">
        <v>3</v>
      </c>
      <c r="P130" s="187" t="s">
        <v>5916</v>
      </c>
      <c r="Q130" s="187"/>
      <c r="R130" s="187"/>
      <c r="S130" s="187"/>
      <c r="T130" s="187"/>
      <c r="U130" s="187"/>
      <c r="V130" s="187"/>
      <c r="W130" s="187">
        <v>3</v>
      </c>
      <c r="X130" s="187">
        <v>2.5</v>
      </c>
      <c r="Y130" s="187">
        <v>3</v>
      </c>
      <c r="Z130" s="187">
        <v>2.5</v>
      </c>
      <c r="AA130" s="187">
        <v>3</v>
      </c>
      <c r="AB130" s="187" t="s">
        <v>5918</v>
      </c>
      <c r="AC130" s="77">
        <v>3</v>
      </c>
      <c r="AD130" s="77">
        <v>2.5</v>
      </c>
      <c r="AE130" s="77">
        <v>2.5</v>
      </c>
      <c r="AF130" s="77">
        <v>2.5</v>
      </c>
      <c r="AG130" s="77">
        <v>3</v>
      </c>
      <c r="AH130" s="150" t="s">
        <v>60</v>
      </c>
    </row>
    <row r="131" spans="1:34">
      <c r="A131" s="146">
        <v>162</v>
      </c>
      <c r="B131" s="147" t="s">
        <v>6063</v>
      </c>
      <c r="C131" s="77">
        <v>3</v>
      </c>
      <c r="D131" s="77">
        <v>2</v>
      </c>
      <c r="E131" s="77">
        <v>2.5</v>
      </c>
      <c r="F131" s="77">
        <v>2</v>
      </c>
      <c r="G131" s="77">
        <v>3</v>
      </c>
      <c r="H131" s="176" t="s">
        <v>4891</v>
      </c>
      <c r="I131" s="148" t="s">
        <v>3122</v>
      </c>
      <c r="J131" s="46"/>
      <c r="K131" s="187">
        <v>3</v>
      </c>
      <c r="L131" s="187">
        <v>2.5</v>
      </c>
      <c r="M131" s="187">
        <v>2.5</v>
      </c>
      <c r="N131" s="187">
        <v>2</v>
      </c>
      <c r="O131" s="187">
        <v>3</v>
      </c>
      <c r="P131" s="187" t="s">
        <v>6280</v>
      </c>
      <c r="Q131" s="187"/>
      <c r="R131" s="187"/>
      <c r="S131" s="187"/>
      <c r="T131" s="187"/>
      <c r="U131" s="187"/>
      <c r="V131" s="187"/>
      <c r="W131" s="187">
        <v>3</v>
      </c>
      <c r="X131" s="187">
        <v>2.5</v>
      </c>
      <c r="Y131" s="187">
        <v>3</v>
      </c>
      <c r="Z131" s="187">
        <v>2.5</v>
      </c>
      <c r="AA131" s="187">
        <v>3</v>
      </c>
      <c r="AB131" s="187" t="s">
        <v>5918</v>
      </c>
      <c r="AC131" s="77">
        <v>3</v>
      </c>
      <c r="AD131" s="77">
        <v>2.5</v>
      </c>
      <c r="AE131" s="77">
        <v>2.5</v>
      </c>
      <c r="AF131" s="77">
        <v>2.5</v>
      </c>
      <c r="AG131" s="77">
        <v>3</v>
      </c>
      <c r="AH131" s="150" t="s">
        <v>60</v>
      </c>
    </row>
    <row r="132" spans="1:34">
      <c r="A132" s="146">
        <v>162</v>
      </c>
      <c r="B132" s="147" t="s">
        <v>6069</v>
      </c>
      <c r="C132" s="77">
        <v>3</v>
      </c>
      <c r="D132" s="77">
        <v>2.5</v>
      </c>
      <c r="E132" s="77">
        <v>2.5</v>
      </c>
      <c r="F132" s="77">
        <v>2</v>
      </c>
      <c r="G132" s="77">
        <v>3</v>
      </c>
      <c r="H132" s="176" t="s">
        <v>4891</v>
      </c>
      <c r="I132" s="148" t="s">
        <v>3122</v>
      </c>
      <c r="J132" s="46"/>
      <c r="K132" s="187">
        <v>3</v>
      </c>
      <c r="L132" s="187">
        <v>3</v>
      </c>
      <c r="M132" s="187">
        <v>2.5</v>
      </c>
      <c r="N132" s="187">
        <v>2.5</v>
      </c>
      <c r="O132" s="187">
        <v>3</v>
      </c>
      <c r="P132" s="187" t="s">
        <v>60</v>
      </c>
      <c r="Q132" s="187"/>
      <c r="R132" s="187"/>
      <c r="S132" s="187"/>
      <c r="T132" s="187"/>
      <c r="U132" s="187"/>
      <c r="V132" s="187"/>
      <c r="W132" s="187">
        <v>3</v>
      </c>
      <c r="X132" s="187">
        <v>3</v>
      </c>
      <c r="Y132" s="187">
        <v>2.5</v>
      </c>
      <c r="Z132" s="187">
        <v>3</v>
      </c>
      <c r="AA132" s="187">
        <v>3</v>
      </c>
      <c r="AB132" s="187" t="s">
        <v>6282</v>
      </c>
      <c r="AC132" s="77">
        <v>3</v>
      </c>
      <c r="AD132" s="77">
        <v>3</v>
      </c>
      <c r="AE132" s="77">
        <v>2.5</v>
      </c>
      <c r="AF132" s="77">
        <v>2.5</v>
      </c>
      <c r="AG132" s="77">
        <v>3</v>
      </c>
      <c r="AH132" s="150" t="s">
        <v>60</v>
      </c>
    </row>
    <row r="133" spans="1:34">
      <c r="A133" s="146">
        <v>162</v>
      </c>
      <c r="B133" s="147" t="s">
        <v>5750</v>
      </c>
      <c r="C133" s="77">
        <v>3</v>
      </c>
      <c r="D133" s="77">
        <v>2.5</v>
      </c>
      <c r="E133" s="77">
        <v>2</v>
      </c>
      <c r="F133" s="77">
        <v>2</v>
      </c>
      <c r="G133" s="77">
        <v>3</v>
      </c>
      <c r="H133" s="176" t="s">
        <v>5997</v>
      </c>
      <c r="I133" s="148" t="s">
        <v>3122</v>
      </c>
      <c r="J133" s="46"/>
      <c r="K133" s="187">
        <v>3</v>
      </c>
      <c r="L133" s="187">
        <v>2.5</v>
      </c>
      <c r="M133" s="187">
        <v>2</v>
      </c>
      <c r="N133" s="187">
        <v>2.5</v>
      </c>
      <c r="O133" s="187">
        <v>3</v>
      </c>
      <c r="P133" s="187" t="s">
        <v>5916</v>
      </c>
      <c r="Q133" s="187"/>
      <c r="R133" s="187"/>
      <c r="S133" s="187"/>
      <c r="T133" s="187"/>
      <c r="U133" s="187"/>
      <c r="V133" s="187"/>
      <c r="W133" s="187">
        <v>3</v>
      </c>
      <c r="X133" s="187">
        <v>2.5</v>
      </c>
      <c r="Y133" s="187">
        <v>2</v>
      </c>
      <c r="Z133" s="187">
        <v>2.5</v>
      </c>
      <c r="AA133" s="187">
        <v>3</v>
      </c>
      <c r="AB133" s="187" t="s">
        <v>5916</v>
      </c>
      <c r="AC133" s="77">
        <v>3</v>
      </c>
      <c r="AD133" s="77">
        <v>2.5</v>
      </c>
      <c r="AE133" s="77">
        <v>2</v>
      </c>
      <c r="AF133" s="77">
        <v>2.5</v>
      </c>
      <c r="AG133" s="77">
        <v>3</v>
      </c>
      <c r="AH133" s="150" t="s">
        <v>61</v>
      </c>
    </row>
    <row r="134" spans="1:34">
      <c r="A134" s="146">
        <v>162</v>
      </c>
      <c r="B134" s="147" t="s">
        <v>5751</v>
      </c>
      <c r="C134" s="77">
        <v>3</v>
      </c>
      <c r="D134" s="77">
        <v>2</v>
      </c>
      <c r="E134" s="77">
        <v>2.5</v>
      </c>
      <c r="F134" s="77">
        <v>2</v>
      </c>
      <c r="G134" s="77">
        <v>3</v>
      </c>
      <c r="H134" s="176" t="s">
        <v>4891</v>
      </c>
      <c r="I134" s="148" t="s">
        <v>3122</v>
      </c>
      <c r="J134" s="46"/>
      <c r="K134" s="187">
        <v>3</v>
      </c>
      <c r="L134" s="187">
        <v>2</v>
      </c>
      <c r="M134" s="187">
        <v>2.5</v>
      </c>
      <c r="N134" s="187">
        <v>2</v>
      </c>
      <c r="O134" s="187">
        <v>3</v>
      </c>
      <c r="P134" s="187" t="s">
        <v>62</v>
      </c>
      <c r="Q134" s="187"/>
      <c r="R134" s="187"/>
      <c r="S134" s="187"/>
      <c r="T134" s="187"/>
      <c r="U134" s="187"/>
      <c r="V134" s="187"/>
      <c r="W134" s="187">
        <v>3</v>
      </c>
      <c r="X134" s="187">
        <v>2.5</v>
      </c>
      <c r="Y134" s="187">
        <v>2.5</v>
      </c>
      <c r="Z134" s="187">
        <v>2</v>
      </c>
      <c r="AA134" s="187">
        <v>3</v>
      </c>
      <c r="AB134" s="187" t="s">
        <v>5919</v>
      </c>
      <c r="AC134" s="77">
        <v>3</v>
      </c>
      <c r="AD134" s="77">
        <v>2.5</v>
      </c>
      <c r="AE134" s="77">
        <v>2.5</v>
      </c>
      <c r="AF134" s="77">
        <v>2</v>
      </c>
      <c r="AG134" s="77">
        <v>3</v>
      </c>
      <c r="AH134" s="150" t="s">
        <v>502</v>
      </c>
    </row>
    <row r="135" spans="1:34">
      <c r="A135" s="146" t="s">
        <v>5884</v>
      </c>
      <c r="B135" s="147" t="s">
        <v>6279</v>
      </c>
      <c r="C135" s="77">
        <v>3</v>
      </c>
      <c r="D135" s="77">
        <v>2</v>
      </c>
      <c r="E135" s="77">
        <v>2.5</v>
      </c>
      <c r="F135" s="77">
        <v>2.5</v>
      </c>
      <c r="G135" s="77">
        <v>3</v>
      </c>
      <c r="H135" s="176" t="s">
        <v>4891</v>
      </c>
      <c r="I135" s="148" t="s">
        <v>3125</v>
      </c>
      <c r="J135" s="46"/>
      <c r="K135" s="187">
        <v>3</v>
      </c>
      <c r="L135" s="187">
        <v>2.5</v>
      </c>
      <c r="M135" s="187">
        <v>2.5</v>
      </c>
      <c r="N135" s="187">
        <v>2</v>
      </c>
      <c r="O135" s="187">
        <v>3</v>
      </c>
      <c r="P135" s="187" t="s">
        <v>6280</v>
      </c>
      <c r="Q135" s="187"/>
      <c r="R135" s="187"/>
      <c r="S135" s="187"/>
      <c r="T135" s="187"/>
      <c r="U135" s="187"/>
      <c r="V135" s="187"/>
      <c r="W135" s="187">
        <v>3</v>
      </c>
      <c r="X135" s="187">
        <v>3</v>
      </c>
      <c r="Y135" s="187">
        <v>3</v>
      </c>
      <c r="Z135" s="187">
        <v>3</v>
      </c>
      <c r="AA135" s="187">
        <v>3</v>
      </c>
      <c r="AB135" s="187" t="s">
        <v>6283</v>
      </c>
      <c r="AC135" s="77">
        <v>3</v>
      </c>
      <c r="AD135" s="77">
        <v>2.5</v>
      </c>
      <c r="AE135" s="77">
        <v>2.5</v>
      </c>
      <c r="AF135" s="77">
        <v>2.5</v>
      </c>
      <c r="AG135" s="77">
        <v>3</v>
      </c>
      <c r="AH135" s="150" t="s">
        <v>60</v>
      </c>
    </row>
    <row r="136" spans="1:34">
      <c r="A136" s="146" t="s">
        <v>5884</v>
      </c>
      <c r="B136" s="147" t="s">
        <v>6274</v>
      </c>
      <c r="C136" s="77">
        <v>3</v>
      </c>
      <c r="D136" s="77">
        <v>3</v>
      </c>
      <c r="E136" s="77">
        <v>2.5</v>
      </c>
      <c r="F136" s="77">
        <v>2</v>
      </c>
      <c r="G136" s="77">
        <v>3</v>
      </c>
      <c r="H136" s="176" t="s">
        <v>4891</v>
      </c>
      <c r="I136" s="148" t="s">
        <v>3125</v>
      </c>
      <c r="J136" s="46"/>
      <c r="K136" s="187">
        <v>3</v>
      </c>
      <c r="L136" s="187">
        <v>2.5</v>
      </c>
      <c r="M136" s="187">
        <v>2.5</v>
      </c>
      <c r="N136" s="187">
        <v>2</v>
      </c>
      <c r="O136" s="187">
        <v>3</v>
      </c>
      <c r="P136" s="187" t="s">
        <v>6280</v>
      </c>
      <c r="Q136" s="187"/>
      <c r="R136" s="187"/>
      <c r="S136" s="187"/>
      <c r="T136" s="187"/>
      <c r="U136" s="187"/>
      <c r="V136" s="187"/>
      <c r="W136" s="187">
        <v>3</v>
      </c>
      <c r="X136" s="187">
        <v>3</v>
      </c>
      <c r="Y136" s="187">
        <v>2.5</v>
      </c>
      <c r="Z136" s="187">
        <v>2.5</v>
      </c>
      <c r="AA136" s="187">
        <v>3</v>
      </c>
      <c r="AB136" s="187" t="s">
        <v>3246</v>
      </c>
      <c r="AC136" s="77">
        <v>3</v>
      </c>
      <c r="AD136" s="77">
        <v>2.5</v>
      </c>
      <c r="AE136" s="77">
        <v>2.5</v>
      </c>
      <c r="AF136" s="77">
        <v>2</v>
      </c>
      <c r="AG136" s="77">
        <v>2.5</v>
      </c>
      <c r="AH136" s="150" t="s">
        <v>4212</v>
      </c>
    </row>
    <row r="137" spans="1:34">
      <c r="A137" s="146" t="s">
        <v>5884</v>
      </c>
      <c r="B137" s="147" t="s">
        <v>6278</v>
      </c>
      <c r="C137" s="77">
        <v>3</v>
      </c>
      <c r="D137" s="77">
        <v>3</v>
      </c>
      <c r="E137" s="77">
        <v>2.5</v>
      </c>
      <c r="F137" s="77">
        <v>2</v>
      </c>
      <c r="G137" s="77">
        <v>3</v>
      </c>
      <c r="H137" s="176" t="s">
        <v>4891</v>
      </c>
      <c r="I137" s="148" t="s">
        <v>105</v>
      </c>
      <c r="J137" s="46" t="s">
        <v>5878</v>
      </c>
      <c r="K137" s="187">
        <v>3</v>
      </c>
      <c r="L137" s="187">
        <v>3</v>
      </c>
      <c r="M137" s="187">
        <v>2</v>
      </c>
      <c r="N137" s="187">
        <v>2</v>
      </c>
      <c r="O137" s="187">
        <v>3</v>
      </c>
      <c r="P137" s="187" t="s">
        <v>62</v>
      </c>
      <c r="Q137" s="187"/>
      <c r="R137" s="187"/>
      <c r="S137" s="187"/>
      <c r="T137" s="187"/>
      <c r="U137" s="187"/>
      <c r="V137" s="187"/>
      <c r="W137" s="187">
        <v>3</v>
      </c>
      <c r="X137" s="187">
        <v>2.5</v>
      </c>
      <c r="Y137" s="187">
        <v>2.5</v>
      </c>
      <c r="Z137" s="187">
        <v>2.5</v>
      </c>
      <c r="AA137" s="187">
        <v>3</v>
      </c>
      <c r="AB137" s="187" t="s">
        <v>6282</v>
      </c>
      <c r="AC137" s="77">
        <v>3</v>
      </c>
      <c r="AD137" s="77">
        <v>2.5</v>
      </c>
      <c r="AE137" s="77">
        <v>2.5</v>
      </c>
      <c r="AF137" s="77">
        <v>2</v>
      </c>
      <c r="AG137" s="77">
        <v>3</v>
      </c>
      <c r="AH137" s="150" t="s">
        <v>170</v>
      </c>
    </row>
    <row r="138" spans="1:34">
      <c r="A138" s="146" t="s">
        <v>6129</v>
      </c>
      <c r="B138" s="147" t="s">
        <v>6204</v>
      </c>
      <c r="C138" s="153">
        <v>3</v>
      </c>
      <c r="D138" s="153">
        <v>2.5</v>
      </c>
      <c r="E138" s="153">
        <v>1.5</v>
      </c>
      <c r="F138" s="153">
        <v>1.5</v>
      </c>
      <c r="G138" s="153">
        <v>3</v>
      </c>
      <c r="H138" s="153" t="s">
        <v>5870</v>
      </c>
      <c r="I138" s="153" t="s">
        <v>3125</v>
      </c>
      <c r="J138" s="46"/>
      <c r="K138" s="190">
        <v>3</v>
      </c>
      <c r="L138" s="190">
        <v>2</v>
      </c>
      <c r="M138" s="190">
        <v>2</v>
      </c>
      <c r="N138" s="190">
        <v>2</v>
      </c>
      <c r="O138" s="190">
        <v>3</v>
      </c>
      <c r="P138" s="190" t="s">
        <v>3321</v>
      </c>
      <c r="Q138" s="190">
        <v>3</v>
      </c>
      <c r="R138" s="190">
        <v>2</v>
      </c>
      <c r="S138" s="190">
        <v>2</v>
      </c>
      <c r="T138" s="190">
        <v>2</v>
      </c>
      <c r="U138" s="190">
        <v>3</v>
      </c>
      <c r="V138" s="190" t="s">
        <v>3321</v>
      </c>
      <c r="W138" s="190">
        <v>3</v>
      </c>
      <c r="X138" s="190">
        <v>2</v>
      </c>
      <c r="Y138" s="190">
        <v>2</v>
      </c>
      <c r="Z138" s="190">
        <v>2</v>
      </c>
      <c r="AA138" s="190">
        <v>3</v>
      </c>
      <c r="AB138" s="190" t="s">
        <v>5874</v>
      </c>
      <c r="AC138" s="77">
        <v>3</v>
      </c>
      <c r="AD138" s="77">
        <v>2.5</v>
      </c>
      <c r="AE138" s="77">
        <v>2</v>
      </c>
      <c r="AF138" s="77">
        <v>2</v>
      </c>
      <c r="AG138" s="77">
        <v>3</v>
      </c>
      <c r="AH138" s="150" t="s">
        <v>3244</v>
      </c>
    </row>
    <row r="139" spans="1:34">
      <c r="A139" s="146" t="s">
        <v>6129</v>
      </c>
      <c r="B139" s="147" t="s">
        <v>6206</v>
      </c>
      <c r="C139" s="153">
        <v>3</v>
      </c>
      <c r="D139" s="153">
        <v>2</v>
      </c>
      <c r="E139" s="153">
        <v>2</v>
      </c>
      <c r="F139" s="153">
        <v>2</v>
      </c>
      <c r="G139" s="153">
        <v>3</v>
      </c>
      <c r="H139" s="153"/>
      <c r="I139" s="153" t="s">
        <v>3125</v>
      </c>
      <c r="J139" s="46"/>
      <c r="K139" s="190">
        <v>3</v>
      </c>
      <c r="L139" s="190">
        <v>2.5</v>
      </c>
      <c r="M139" s="190">
        <v>1.5</v>
      </c>
      <c r="N139" s="190">
        <v>2</v>
      </c>
      <c r="O139" s="190">
        <v>3</v>
      </c>
      <c r="P139" s="190" t="s">
        <v>6308</v>
      </c>
      <c r="Q139" s="77">
        <v>3</v>
      </c>
      <c r="R139" s="77">
        <v>2.5</v>
      </c>
      <c r="S139" s="77">
        <v>2</v>
      </c>
      <c r="T139" s="77">
        <v>1.5</v>
      </c>
      <c r="U139" s="77">
        <v>3</v>
      </c>
      <c r="V139" s="190" t="s">
        <v>6308</v>
      </c>
      <c r="W139" s="190">
        <v>3</v>
      </c>
      <c r="X139" s="190">
        <v>2.5</v>
      </c>
      <c r="Y139" s="190">
        <v>2</v>
      </c>
      <c r="Z139" s="190">
        <v>2.5</v>
      </c>
      <c r="AA139" s="190">
        <v>3</v>
      </c>
      <c r="AB139" s="190" t="s">
        <v>6103</v>
      </c>
      <c r="AC139" s="77">
        <v>3</v>
      </c>
      <c r="AD139" s="77">
        <v>2.5</v>
      </c>
      <c r="AE139" s="77">
        <v>1.5</v>
      </c>
      <c r="AF139" s="77">
        <v>2</v>
      </c>
      <c r="AG139" s="77">
        <v>3</v>
      </c>
      <c r="AH139" s="150" t="s">
        <v>3321</v>
      </c>
    </row>
    <row r="140" spans="1:34">
      <c r="A140" s="146" t="s">
        <v>6129</v>
      </c>
      <c r="B140" s="147" t="s">
        <v>6208</v>
      </c>
      <c r="C140" s="153">
        <v>3</v>
      </c>
      <c r="D140" s="153">
        <v>2</v>
      </c>
      <c r="E140" s="153">
        <v>2</v>
      </c>
      <c r="F140" s="153">
        <v>1.5</v>
      </c>
      <c r="G140" s="153">
        <v>3</v>
      </c>
      <c r="H140" s="153" t="s">
        <v>5870</v>
      </c>
      <c r="I140" s="153" t="s">
        <v>3125</v>
      </c>
      <c r="J140" s="46"/>
      <c r="K140" s="190">
        <v>3</v>
      </c>
      <c r="L140" s="190">
        <v>2</v>
      </c>
      <c r="M140" s="190">
        <v>2</v>
      </c>
      <c r="N140" s="190">
        <v>2</v>
      </c>
      <c r="O140" s="190">
        <v>3</v>
      </c>
      <c r="P140" s="190" t="s">
        <v>3321</v>
      </c>
      <c r="Q140" s="77">
        <v>3</v>
      </c>
      <c r="R140" s="77">
        <v>2</v>
      </c>
      <c r="S140" s="77">
        <v>2</v>
      </c>
      <c r="T140" s="77">
        <v>2.5</v>
      </c>
      <c r="U140" s="77">
        <v>3</v>
      </c>
      <c r="V140" s="190" t="s">
        <v>6308</v>
      </c>
      <c r="W140" s="190">
        <v>3</v>
      </c>
      <c r="X140" s="190">
        <v>2</v>
      </c>
      <c r="Y140" s="190">
        <v>2.5</v>
      </c>
      <c r="Z140" s="190">
        <v>2.5</v>
      </c>
      <c r="AA140" s="190">
        <v>3</v>
      </c>
      <c r="AB140" s="190" t="s">
        <v>6103</v>
      </c>
      <c r="AC140" s="77">
        <v>3</v>
      </c>
      <c r="AD140" s="77">
        <v>2.5</v>
      </c>
      <c r="AE140" s="77">
        <v>2</v>
      </c>
      <c r="AF140" s="77">
        <v>2</v>
      </c>
      <c r="AG140" s="77">
        <v>3</v>
      </c>
      <c r="AH140" s="150" t="s">
        <v>3244</v>
      </c>
    </row>
    <row r="141" spans="1:34">
      <c r="A141" s="146" t="s">
        <v>6129</v>
      </c>
      <c r="B141" s="147" t="s">
        <v>6210</v>
      </c>
      <c r="C141" s="153">
        <v>3</v>
      </c>
      <c r="D141" s="153">
        <v>2</v>
      </c>
      <c r="E141" s="153">
        <v>2</v>
      </c>
      <c r="F141" s="153">
        <v>1.5</v>
      </c>
      <c r="G141" s="153">
        <v>3</v>
      </c>
      <c r="H141" s="153"/>
      <c r="I141" s="153" t="s">
        <v>3125</v>
      </c>
      <c r="J141" s="46"/>
      <c r="K141" s="190">
        <v>3</v>
      </c>
      <c r="L141" s="190">
        <v>2</v>
      </c>
      <c r="M141" s="190">
        <v>2</v>
      </c>
      <c r="N141" s="190">
        <v>2</v>
      </c>
      <c r="O141" s="190">
        <v>3</v>
      </c>
      <c r="P141" s="190" t="s">
        <v>3321</v>
      </c>
      <c r="Q141" s="77">
        <v>3</v>
      </c>
      <c r="R141" s="77">
        <v>2</v>
      </c>
      <c r="S141" s="77">
        <v>2</v>
      </c>
      <c r="T141" s="77">
        <v>2</v>
      </c>
      <c r="U141" s="77">
        <v>3</v>
      </c>
      <c r="V141" s="190" t="s">
        <v>3321</v>
      </c>
      <c r="W141" s="190">
        <v>3</v>
      </c>
      <c r="X141" s="190">
        <v>2.5</v>
      </c>
      <c r="Y141" s="190">
        <v>2</v>
      </c>
      <c r="Z141" s="190">
        <v>2.5</v>
      </c>
      <c r="AA141" s="190">
        <v>3</v>
      </c>
      <c r="AB141" s="190" t="s">
        <v>6103</v>
      </c>
      <c r="AC141" s="77">
        <v>3</v>
      </c>
      <c r="AD141" s="77">
        <v>2.5</v>
      </c>
      <c r="AE141" s="77">
        <v>2</v>
      </c>
      <c r="AF141" s="77">
        <v>2</v>
      </c>
      <c r="AG141" s="77">
        <v>3</v>
      </c>
      <c r="AH141" s="150" t="s">
        <v>4970</v>
      </c>
    </row>
    <row r="142" spans="1:34">
      <c r="A142" s="146" t="s">
        <v>6129</v>
      </c>
      <c r="B142" s="147" t="s">
        <v>6212</v>
      </c>
      <c r="C142" s="153">
        <v>3</v>
      </c>
      <c r="D142" s="153">
        <v>2</v>
      </c>
      <c r="E142" s="153">
        <v>2</v>
      </c>
      <c r="F142" s="153">
        <v>2</v>
      </c>
      <c r="G142" s="153">
        <v>3</v>
      </c>
      <c r="H142" s="153"/>
      <c r="I142" s="153" t="s">
        <v>5866</v>
      </c>
      <c r="J142" s="46" t="s">
        <v>5878</v>
      </c>
      <c r="K142" s="190">
        <v>3</v>
      </c>
      <c r="L142" s="190">
        <v>2</v>
      </c>
      <c r="M142" s="190">
        <v>1.5</v>
      </c>
      <c r="N142" s="190">
        <v>1.5</v>
      </c>
      <c r="O142" s="190">
        <v>3</v>
      </c>
      <c r="P142" s="190" t="s">
        <v>3818</v>
      </c>
      <c r="Q142" s="77">
        <v>3</v>
      </c>
      <c r="R142" s="77">
        <v>2</v>
      </c>
      <c r="S142" s="77">
        <v>1.5</v>
      </c>
      <c r="T142" s="77">
        <v>2</v>
      </c>
      <c r="U142" s="77">
        <v>3</v>
      </c>
      <c r="V142" s="190" t="s">
        <v>3818</v>
      </c>
      <c r="W142" s="190">
        <v>3</v>
      </c>
      <c r="X142" s="190">
        <v>2</v>
      </c>
      <c r="Y142" s="190">
        <v>2</v>
      </c>
      <c r="Z142" s="190">
        <v>2</v>
      </c>
      <c r="AA142" s="190">
        <v>3</v>
      </c>
      <c r="AB142" s="190" t="s">
        <v>5874</v>
      </c>
      <c r="AC142" s="77">
        <v>3</v>
      </c>
      <c r="AD142" s="77">
        <v>2</v>
      </c>
      <c r="AE142" s="77">
        <v>2</v>
      </c>
      <c r="AF142" s="77">
        <v>2</v>
      </c>
      <c r="AG142" s="77">
        <v>3</v>
      </c>
      <c r="AH142" s="150" t="s">
        <v>3321</v>
      </c>
    </row>
    <row r="143" spans="1:34">
      <c r="A143" s="146" t="s">
        <v>6129</v>
      </c>
      <c r="B143" s="147" t="s">
        <v>6214</v>
      </c>
      <c r="C143" s="153">
        <v>3</v>
      </c>
      <c r="D143" s="153">
        <v>3</v>
      </c>
      <c r="E143" s="153">
        <v>2</v>
      </c>
      <c r="F143" s="153">
        <v>1.5</v>
      </c>
      <c r="G143" s="153">
        <v>3</v>
      </c>
      <c r="H143" s="153"/>
      <c r="I143" s="153" t="s">
        <v>5868</v>
      </c>
      <c r="J143" s="46" t="s">
        <v>5878</v>
      </c>
      <c r="K143" s="190">
        <v>3</v>
      </c>
      <c r="L143" s="190">
        <v>2</v>
      </c>
      <c r="M143" s="190">
        <v>2</v>
      </c>
      <c r="N143" s="190">
        <v>2</v>
      </c>
      <c r="O143" s="190">
        <v>3</v>
      </c>
      <c r="P143" s="190" t="s">
        <v>3321</v>
      </c>
      <c r="Q143" s="77">
        <v>3</v>
      </c>
      <c r="R143" s="77">
        <v>2</v>
      </c>
      <c r="S143" s="77">
        <v>2</v>
      </c>
      <c r="T143" s="77">
        <v>2</v>
      </c>
      <c r="U143" s="77">
        <v>3</v>
      </c>
      <c r="V143" s="190" t="s">
        <v>3321</v>
      </c>
      <c r="W143" s="190">
        <v>3</v>
      </c>
      <c r="X143" s="190">
        <v>2</v>
      </c>
      <c r="Y143" s="190">
        <v>2.5</v>
      </c>
      <c r="Z143" s="190">
        <v>2.5</v>
      </c>
      <c r="AA143" s="190">
        <v>3</v>
      </c>
      <c r="AB143" s="190" t="s">
        <v>6103</v>
      </c>
      <c r="AC143" s="77">
        <v>3</v>
      </c>
      <c r="AD143" s="77">
        <v>3</v>
      </c>
      <c r="AE143" s="77">
        <v>2</v>
      </c>
      <c r="AF143" s="77">
        <v>2</v>
      </c>
      <c r="AG143" s="77">
        <v>3</v>
      </c>
      <c r="AH143" s="150" t="s">
        <v>3244</v>
      </c>
    </row>
    <row r="144" spans="1:34">
      <c r="A144" s="146" t="s">
        <v>6129</v>
      </c>
      <c r="B144" s="147" t="s">
        <v>6218</v>
      </c>
      <c r="C144" s="153">
        <v>3</v>
      </c>
      <c r="D144" s="153">
        <v>2</v>
      </c>
      <c r="E144" s="153">
        <v>2</v>
      </c>
      <c r="F144" s="153">
        <v>2</v>
      </c>
      <c r="G144" s="153">
        <v>3</v>
      </c>
      <c r="H144" s="153"/>
      <c r="I144" s="153" t="s">
        <v>52</v>
      </c>
      <c r="J144" s="46" t="s">
        <v>5878</v>
      </c>
      <c r="K144" s="190">
        <v>3</v>
      </c>
      <c r="L144" s="190">
        <v>2</v>
      </c>
      <c r="M144" s="190">
        <v>1.5</v>
      </c>
      <c r="N144" s="190">
        <v>1.5</v>
      </c>
      <c r="O144" s="190">
        <v>3</v>
      </c>
      <c r="P144" s="190" t="s">
        <v>3818</v>
      </c>
      <c r="Q144" s="77">
        <v>3</v>
      </c>
      <c r="R144" s="77">
        <v>2.5</v>
      </c>
      <c r="S144" s="77">
        <v>2</v>
      </c>
      <c r="T144" s="77">
        <v>1.5</v>
      </c>
      <c r="U144" s="77">
        <v>3</v>
      </c>
      <c r="V144" s="190" t="s">
        <v>3321</v>
      </c>
      <c r="W144" s="190">
        <v>3</v>
      </c>
      <c r="X144" s="190">
        <v>2</v>
      </c>
      <c r="Y144" s="190">
        <v>2.5</v>
      </c>
      <c r="Z144" s="190">
        <v>2.5</v>
      </c>
      <c r="AA144" s="190">
        <v>3</v>
      </c>
      <c r="AB144" s="190" t="s">
        <v>6103</v>
      </c>
      <c r="AC144" s="77">
        <v>3</v>
      </c>
      <c r="AD144" s="77">
        <v>3</v>
      </c>
      <c r="AE144" s="77">
        <v>2</v>
      </c>
      <c r="AF144" s="77">
        <v>1.5</v>
      </c>
      <c r="AG144" s="77">
        <v>3</v>
      </c>
      <c r="AH144" s="150" t="s">
        <v>3321</v>
      </c>
    </row>
    <row r="145" spans="1:34">
      <c r="A145" s="146" t="s">
        <v>6129</v>
      </c>
      <c r="B145" s="147" t="s">
        <v>6220</v>
      </c>
      <c r="C145" s="153">
        <v>3</v>
      </c>
      <c r="D145" s="153">
        <v>3</v>
      </c>
      <c r="E145" s="153">
        <v>2</v>
      </c>
      <c r="F145" s="153">
        <v>1.5</v>
      </c>
      <c r="G145" s="153">
        <v>3</v>
      </c>
      <c r="H145" s="153"/>
      <c r="I145" s="153" t="s">
        <v>5868</v>
      </c>
      <c r="J145" s="46" t="s">
        <v>5878</v>
      </c>
      <c r="K145" s="190">
        <v>3</v>
      </c>
      <c r="L145" s="190">
        <v>1.5</v>
      </c>
      <c r="M145" s="190">
        <v>1.5</v>
      </c>
      <c r="N145" s="190">
        <v>1</v>
      </c>
      <c r="O145" s="190">
        <v>3</v>
      </c>
      <c r="P145" s="190" t="s">
        <v>3818</v>
      </c>
      <c r="Q145" s="77">
        <v>3</v>
      </c>
      <c r="R145" s="77">
        <v>2</v>
      </c>
      <c r="S145" s="77">
        <v>1.5</v>
      </c>
      <c r="T145" s="77">
        <v>1</v>
      </c>
      <c r="U145" s="77">
        <v>3</v>
      </c>
      <c r="V145" s="190" t="s">
        <v>3818</v>
      </c>
      <c r="W145" s="190">
        <v>3</v>
      </c>
      <c r="X145" s="190">
        <v>2.5</v>
      </c>
      <c r="Y145" s="190">
        <v>2</v>
      </c>
      <c r="Z145" s="190">
        <v>2</v>
      </c>
      <c r="AA145" s="190">
        <v>3</v>
      </c>
      <c r="AB145" s="190" t="s">
        <v>5874</v>
      </c>
      <c r="AC145" s="77">
        <v>3</v>
      </c>
      <c r="AD145" s="77">
        <v>1.5</v>
      </c>
      <c r="AE145" s="77">
        <v>1.5</v>
      </c>
      <c r="AF145" s="77">
        <v>1</v>
      </c>
      <c r="AG145" s="77">
        <v>2</v>
      </c>
      <c r="AH145" s="150" t="s">
        <v>3818</v>
      </c>
    </row>
    <row r="146" spans="1:34">
      <c r="A146" s="146" t="s">
        <v>6129</v>
      </c>
      <c r="B146" s="147" t="s">
        <v>6224</v>
      </c>
      <c r="C146" s="153">
        <v>3</v>
      </c>
      <c r="D146" s="153">
        <v>3</v>
      </c>
      <c r="E146" s="153">
        <v>2</v>
      </c>
      <c r="F146" s="153">
        <v>1.5</v>
      </c>
      <c r="G146" s="153">
        <v>3</v>
      </c>
      <c r="H146" s="153"/>
      <c r="I146" s="153" t="s">
        <v>5868</v>
      </c>
      <c r="J146" s="46" t="s">
        <v>5878</v>
      </c>
      <c r="K146" s="190">
        <v>3</v>
      </c>
      <c r="L146" s="190">
        <v>2</v>
      </c>
      <c r="M146" s="190">
        <v>2</v>
      </c>
      <c r="N146" s="190">
        <v>2</v>
      </c>
      <c r="O146" s="190">
        <v>3</v>
      </c>
      <c r="P146" s="190" t="s">
        <v>3321</v>
      </c>
      <c r="Q146" s="77">
        <v>3</v>
      </c>
      <c r="R146" s="77">
        <v>2</v>
      </c>
      <c r="S146" s="77">
        <v>2</v>
      </c>
      <c r="T146" s="77">
        <v>2</v>
      </c>
      <c r="U146" s="77">
        <v>3</v>
      </c>
      <c r="V146" s="190" t="s">
        <v>3321</v>
      </c>
      <c r="W146" s="190">
        <v>3</v>
      </c>
      <c r="X146" s="190">
        <v>2</v>
      </c>
      <c r="Y146" s="190">
        <v>2</v>
      </c>
      <c r="Z146" s="190">
        <v>1.5</v>
      </c>
      <c r="AA146" s="190">
        <v>3</v>
      </c>
      <c r="AB146" s="190" t="s">
        <v>62</v>
      </c>
      <c r="AC146" s="77">
        <v>3</v>
      </c>
      <c r="AD146" s="77">
        <v>3</v>
      </c>
      <c r="AE146" s="77">
        <v>2</v>
      </c>
      <c r="AF146" s="77">
        <v>2</v>
      </c>
      <c r="AG146" s="77">
        <v>3</v>
      </c>
      <c r="AH146" s="150" t="s">
        <v>3244</v>
      </c>
    </row>
    <row r="147" spans="1:34">
      <c r="A147" s="146" t="s">
        <v>6129</v>
      </c>
      <c r="B147" s="147" t="s">
        <v>6228</v>
      </c>
      <c r="C147" s="153">
        <v>3</v>
      </c>
      <c r="D147" s="153">
        <v>2</v>
      </c>
      <c r="E147" s="153">
        <v>2</v>
      </c>
      <c r="F147" s="153">
        <v>1.5</v>
      </c>
      <c r="G147" s="153">
        <v>3</v>
      </c>
      <c r="H147" s="153"/>
      <c r="I147" s="153" t="s">
        <v>3125</v>
      </c>
      <c r="J147" s="46"/>
      <c r="K147" s="190">
        <v>3</v>
      </c>
      <c r="L147" s="190">
        <v>2</v>
      </c>
      <c r="M147" s="190">
        <v>2</v>
      </c>
      <c r="N147" s="190">
        <v>2</v>
      </c>
      <c r="O147" s="190">
        <v>3</v>
      </c>
      <c r="P147" s="190" t="s">
        <v>3321</v>
      </c>
      <c r="Q147" s="77">
        <v>3</v>
      </c>
      <c r="R147" s="77">
        <v>2</v>
      </c>
      <c r="S147" s="77">
        <v>2.5</v>
      </c>
      <c r="T147" s="77">
        <v>2</v>
      </c>
      <c r="U147" s="77">
        <v>3</v>
      </c>
      <c r="V147" s="190" t="s">
        <v>6308</v>
      </c>
      <c r="W147" s="190">
        <v>3</v>
      </c>
      <c r="X147" s="190">
        <v>2</v>
      </c>
      <c r="Y147" s="190">
        <v>2.5</v>
      </c>
      <c r="Z147" s="190">
        <v>2.5</v>
      </c>
      <c r="AA147" s="190">
        <v>3</v>
      </c>
      <c r="AB147" s="190" t="s">
        <v>6103</v>
      </c>
      <c r="AC147" s="77">
        <v>3</v>
      </c>
      <c r="AD147" s="77">
        <v>2.5</v>
      </c>
      <c r="AE147" s="77">
        <v>2</v>
      </c>
      <c r="AF147" s="77">
        <v>2</v>
      </c>
      <c r="AG147" s="77">
        <v>3</v>
      </c>
      <c r="AH147" s="150" t="s">
        <v>4970</v>
      </c>
    </row>
    <row r="148" spans="1:34">
      <c r="A148" s="146" t="s">
        <v>6129</v>
      </c>
      <c r="B148" s="147" t="s">
        <v>6230</v>
      </c>
      <c r="C148" s="153">
        <v>3</v>
      </c>
      <c r="D148" s="153">
        <v>3</v>
      </c>
      <c r="E148" s="153">
        <v>2</v>
      </c>
      <c r="F148" s="153">
        <v>1.5</v>
      </c>
      <c r="G148" s="153">
        <v>3</v>
      </c>
      <c r="H148" s="153"/>
      <c r="I148" s="153" t="s">
        <v>3125</v>
      </c>
      <c r="J148" s="46"/>
      <c r="K148" s="190">
        <v>3</v>
      </c>
      <c r="L148" s="190">
        <v>2</v>
      </c>
      <c r="M148" s="190">
        <v>2.5</v>
      </c>
      <c r="N148" s="190">
        <v>2</v>
      </c>
      <c r="O148" s="190">
        <v>3</v>
      </c>
      <c r="P148" s="190" t="s">
        <v>6308</v>
      </c>
      <c r="Q148" s="77">
        <v>3</v>
      </c>
      <c r="R148" s="77">
        <v>2.5</v>
      </c>
      <c r="S148" s="77">
        <v>2</v>
      </c>
      <c r="T148" s="77">
        <v>2.5</v>
      </c>
      <c r="U148" s="77">
        <v>3</v>
      </c>
      <c r="V148" s="190" t="s">
        <v>6308</v>
      </c>
      <c r="W148" s="190">
        <v>3</v>
      </c>
      <c r="X148" s="190">
        <v>2</v>
      </c>
      <c r="Y148" s="190">
        <v>2.5</v>
      </c>
      <c r="Z148" s="190">
        <v>2.5</v>
      </c>
      <c r="AA148" s="190">
        <v>3</v>
      </c>
      <c r="AB148" s="190" t="s">
        <v>6103</v>
      </c>
      <c r="AC148" s="77">
        <v>3</v>
      </c>
      <c r="AD148" s="77">
        <v>3</v>
      </c>
      <c r="AE148" s="77">
        <v>2</v>
      </c>
      <c r="AF148" s="77">
        <v>2</v>
      </c>
      <c r="AG148" s="77">
        <v>3</v>
      </c>
      <c r="AH148" s="150" t="s">
        <v>3244</v>
      </c>
    </row>
    <row r="149" spans="1:34">
      <c r="A149" s="146">
        <v>166</v>
      </c>
      <c r="B149" s="147" t="s">
        <v>6232</v>
      </c>
      <c r="C149" s="192">
        <v>3</v>
      </c>
      <c r="D149" s="192">
        <v>2.5</v>
      </c>
      <c r="E149" s="192">
        <v>2</v>
      </c>
      <c r="F149" s="192">
        <v>2</v>
      </c>
      <c r="G149" s="192">
        <v>3</v>
      </c>
      <c r="H149" s="176"/>
      <c r="I149" s="192" t="s">
        <v>3125</v>
      </c>
      <c r="J149" s="46"/>
      <c r="K149" s="190">
        <v>3</v>
      </c>
      <c r="L149" s="190">
        <v>2.5</v>
      </c>
      <c r="M149" s="190">
        <v>2</v>
      </c>
      <c r="N149" s="190">
        <v>2</v>
      </c>
      <c r="O149" s="190">
        <v>3</v>
      </c>
      <c r="P149" s="190" t="s">
        <v>6292</v>
      </c>
      <c r="Q149" s="77">
        <v>3</v>
      </c>
      <c r="R149" s="77">
        <v>2</v>
      </c>
      <c r="S149" s="77">
        <v>2</v>
      </c>
      <c r="T149" s="77">
        <v>2.5</v>
      </c>
      <c r="U149" s="77">
        <v>3</v>
      </c>
      <c r="V149" s="190" t="s">
        <v>5872</v>
      </c>
      <c r="W149" s="190"/>
      <c r="X149" s="190"/>
      <c r="Y149" s="190"/>
      <c r="Z149" s="190"/>
      <c r="AA149" s="190"/>
      <c r="AB149" s="190"/>
      <c r="AC149" s="77">
        <v>3</v>
      </c>
      <c r="AD149" s="77">
        <v>2.5</v>
      </c>
      <c r="AE149" s="77">
        <v>2</v>
      </c>
      <c r="AF149" s="77">
        <v>2.5</v>
      </c>
      <c r="AG149" s="77">
        <v>3</v>
      </c>
      <c r="AH149" s="150" t="s">
        <v>171</v>
      </c>
    </row>
    <row r="150" spans="1:34">
      <c r="A150" s="146">
        <v>166</v>
      </c>
      <c r="B150" s="147" t="s">
        <v>6233</v>
      </c>
      <c r="C150" s="32"/>
      <c r="D150" s="32"/>
      <c r="E150" s="32"/>
      <c r="F150" s="32"/>
      <c r="G150" s="32"/>
      <c r="H150" s="176"/>
      <c r="I150" s="193"/>
      <c r="J150" s="46" t="s">
        <v>5878</v>
      </c>
      <c r="K150" s="190">
        <v>3</v>
      </c>
      <c r="L150" s="190">
        <v>2</v>
      </c>
      <c r="M150" s="190">
        <v>2</v>
      </c>
      <c r="N150" s="190">
        <v>1.5</v>
      </c>
      <c r="O150" s="190">
        <v>3</v>
      </c>
      <c r="P150" s="190" t="s">
        <v>3321</v>
      </c>
      <c r="Q150" s="77">
        <v>3</v>
      </c>
      <c r="R150" s="77">
        <v>2</v>
      </c>
      <c r="S150" s="77">
        <v>2</v>
      </c>
      <c r="T150" s="77">
        <v>2</v>
      </c>
      <c r="U150" s="77">
        <v>3</v>
      </c>
      <c r="V150" s="190" t="s">
        <v>5874</v>
      </c>
      <c r="W150" s="190"/>
      <c r="X150" s="190"/>
      <c r="Y150" s="190"/>
      <c r="Z150" s="190"/>
      <c r="AA150" s="190"/>
      <c r="AB150" s="190"/>
      <c r="AC150" s="77">
        <v>3</v>
      </c>
      <c r="AD150" s="77">
        <v>2.5</v>
      </c>
      <c r="AE150" s="77">
        <v>2</v>
      </c>
      <c r="AF150" s="77">
        <v>2</v>
      </c>
      <c r="AG150" s="77">
        <v>3</v>
      </c>
      <c r="AH150" s="150" t="s">
        <v>62</v>
      </c>
    </row>
    <row r="151" spans="1:34">
      <c r="A151" s="146">
        <v>166</v>
      </c>
      <c r="B151" s="147" t="s">
        <v>6235</v>
      </c>
      <c r="C151" s="192">
        <v>3</v>
      </c>
      <c r="D151" s="192">
        <v>3</v>
      </c>
      <c r="E151" s="192">
        <v>2.5</v>
      </c>
      <c r="F151" s="192">
        <v>2</v>
      </c>
      <c r="G151" s="192">
        <v>3</v>
      </c>
      <c r="H151" s="176"/>
      <c r="I151" s="68" t="s">
        <v>3173</v>
      </c>
      <c r="J151" s="46" t="s">
        <v>5878</v>
      </c>
      <c r="K151" s="190">
        <v>3</v>
      </c>
      <c r="L151" s="190">
        <v>2</v>
      </c>
      <c r="M151" s="190">
        <v>2.5</v>
      </c>
      <c r="N151" s="190">
        <v>2</v>
      </c>
      <c r="O151" s="190">
        <v>3</v>
      </c>
      <c r="P151" s="190" t="s">
        <v>6292</v>
      </c>
      <c r="Q151" s="77">
        <v>3</v>
      </c>
      <c r="R151" s="77">
        <v>2</v>
      </c>
      <c r="S151" s="77">
        <v>2</v>
      </c>
      <c r="T151" s="77">
        <v>2</v>
      </c>
      <c r="U151" s="77">
        <v>3</v>
      </c>
      <c r="V151" s="190" t="s">
        <v>62</v>
      </c>
      <c r="W151" s="190"/>
      <c r="X151" s="190"/>
      <c r="Y151" s="190"/>
      <c r="Z151" s="190"/>
      <c r="AA151" s="190"/>
      <c r="AB151" s="190"/>
      <c r="AC151" s="77">
        <v>3</v>
      </c>
      <c r="AD151" s="77">
        <v>2.5</v>
      </c>
      <c r="AE151" s="77">
        <v>2</v>
      </c>
      <c r="AF151" s="77">
        <v>1.5</v>
      </c>
      <c r="AG151" s="77">
        <v>3</v>
      </c>
      <c r="AH151" s="150" t="s">
        <v>62</v>
      </c>
    </row>
    <row r="152" spans="1:34">
      <c r="A152" s="146">
        <v>166</v>
      </c>
      <c r="B152" s="147" t="s">
        <v>6238</v>
      </c>
      <c r="C152" s="193">
        <v>3</v>
      </c>
      <c r="D152" s="193">
        <v>3</v>
      </c>
      <c r="E152" s="193">
        <v>2</v>
      </c>
      <c r="F152" s="193">
        <v>2</v>
      </c>
      <c r="G152" s="193">
        <v>3</v>
      </c>
      <c r="H152" s="176"/>
      <c r="I152" s="193" t="s">
        <v>3173</v>
      </c>
      <c r="J152" s="46" t="s">
        <v>5878</v>
      </c>
      <c r="K152" s="190">
        <v>3</v>
      </c>
      <c r="L152" s="190">
        <v>2</v>
      </c>
      <c r="M152" s="190">
        <v>2</v>
      </c>
      <c r="N152" s="190">
        <v>2</v>
      </c>
      <c r="O152" s="190">
        <v>3</v>
      </c>
      <c r="P152" s="190" t="s">
        <v>62</v>
      </c>
      <c r="Q152" s="77">
        <v>3</v>
      </c>
      <c r="R152" s="77">
        <v>2</v>
      </c>
      <c r="S152" s="77">
        <v>2</v>
      </c>
      <c r="T152" s="77">
        <v>2</v>
      </c>
      <c r="U152" s="77">
        <v>3</v>
      </c>
      <c r="V152" s="190" t="s">
        <v>5874</v>
      </c>
      <c r="W152" s="190"/>
      <c r="X152" s="190"/>
      <c r="Y152" s="190"/>
      <c r="Z152" s="190"/>
      <c r="AA152" s="190"/>
      <c r="AB152" s="190"/>
      <c r="AC152" s="77">
        <v>3</v>
      </c>
      <c r="AD152" s="77">
        <v>2.5</v>
      </c>
      <c r="AE152" s="77">
        <v>2</v>
      </c>
      <c r="AF152" s="77">
        <v>1.5</v>
      </c>
      <c r="AG152" s="77">
        <v>3</v>
      </c>
      <c r="AH152" s="150" t="s">
        <v>62</v>
      </c>
    </row>
    <row r="153" spans="1:34">
      <c r="A153" s="146">
        <v>166</v>
      </c>
      <c r="B153" s="147" t="s">
        <v>6239</v>
      </c>
      <c r="C153" s="192">
        <v>3</v>
      </c>
      <c r="D153" s="192">
        <v>3</v>
      </c>
      <c r="E153" s="192">
        <v>2</v>
      </c>
      <c r="F153" s="192">
        <v>2</v>
      </c>
      <c r="G153" s="192">
        <v>3</v>
      </c>
      <c r="H153" s="176"/>
      <c r="I153" s="192" t="s">
        <v>52</v>
      </c>
      <c r="J153" s="46" t="s">
        <v>5878</v>
      </c>
      <c r="K153" s="190">
        <v>3</v>
      </c>
      <c r="L153" s="190">
        <v>3</v>
      </c>
      <c r="M153" s="190">
        <v>2</v>
      </c>
      <c r="N153" s="190">
        <v>1.5</v>
      </c>
      <c r="O153" s="190">
        <v>3</v>
      </c>
      <c r="P153" s="190" t="s">
        <v>62</v>
      </c>
      <c r="Q153" s="77">
        <v>3</v>
      </c>
      <c r="R153" s="77">
        <v>3</v>
      </c>
      <c r="S153" s="77">
        <v>2</v>
      </c>
      <c r="T153" s="77">
        <v>2</v>
      </c>
      <c r="U153" s="77">
        <v>3</v>
      </c>
      <c r="V153" s="190" t="s">
        <v>5872</v>
      </c>
      <c r="W153" s="190"/>
      <c r="X153" s="190"/>
      <c r="Y153" s="190"/>
      <c r="Z153" s="190"/>
      <c r="AA153" s="190"/>
      <c r="AB153" s="190"/>
      <c r="AC153" s="77">
        <v>3</v>
      </c>
      <c r="AD153" s="77">
        <v>3</v>
      </c>
      <c r="AE153" s="77">
        <v>2</v>
      </c>
      <c r="AF153" s="77">
        <v>2</v>
      </c>
      <c r="AG153" s="77">
        <v>3</v>
      </c>
      <c r="AH153" s="150" t="s">
        <v>5997</v>
      </c>
    </row>
    <row r="154" spans="1:34">
      <c r="A154" s="146">
        <v>166</v>
      </c>
      <c r="B154" s="147" t="s">
        <v>6241</v>
      </c>
      <c r="C154" s="192">
        <v>3</v>
      </c>
      <c r="D154" s="192">
        <v>2.5</v>
      </c>
      <c r="E154" s="192">
        <v>2</v>
      </c>
      <c r="F154" s="192">
        <v>2</v>
      </c>
      <c r="G154" s="192">
        <v>3</v>
      </c>
      <c r="H154" s="176"/>
      <c r="I154" s="192" t="s">
        <v>3125</v>
      </c>
      <c r="J154" s="46"/>
      <c r="K154" s="190">
        <v>3</v>
      </c>
      <c r="L154" s="190">
        <v>2.5</v>
      </c>
      <c r="M154" s="190">
        <v>2</v>
      </c>
      <c r="N154" s="190">
        <v>2</v>
      </c>
      <c r="O154" s="190">
        <v>3</v>
      </c>
      <c r="P154" s="190" t="s">
        <v>6292</v>
      </c>
      <c r="Q154" s="77">
        <v>3</v>
      </c>
      <c r="R154" s="77">
        <v>3</v>
      </c>
      <c r="S154" s="77">
        <v>2</v>
      </c>
      <c r="T154" s="77">
        <v>2.5</v>
      </c>
      <c r="U154" s="77">
        <v>3</v>
      </c>
      <c r="V154" s="190" t="s">
        <v>5876</v>
      </c>
      <c r="W154" s="190"/>
      <c r="X154" s="190"/>
      <c r="Y154" s="190"/>
      <c r="Z154" s="190"/>
      <c r="AA154" s="190"/>
      <c r="AB154" s="190"/>
      <c r="AC154" s="77">
        <v>3</v>
      </c>
      <c r="AD154" s="77">
        <v>2.5</v>
      </c>
      <c r="AE154" s="77">
        <v>2</v>
      </c>
      <c r="AF154" s="77">
        <v>2.5</v>
      </c>
      <c r="AG154" s="77">
        <v>3</v>
      </c>
      <c r="AH154" s="150" t="s">
        <v>171</v>
      </c>
    </row>
    <row r="155" spans="1:34">
      <c r="A155" s="146">
        <v>166</v>
      </c>
      <c r="B155" s="147" t="s">
        <v>6243</v>
      </c>
      <c r="C155" s="194">
        <v>3</v>
      </c>
      <c r="D155" s="194">
        <v>2.5</v>
      </c>
      <c r="E155" s="194">
        <v>2</v>
      </c>
      <c r="F155" s="194">
        <v>2</v>
      </c>
      <c r="G155" s="194">
        <v>3</v>
      </c>
      <c r="H155" s="176"/>
      <c r="I155" s="194" t="s">
        <v>3125</v>
      </c>
      <c r="J155" s="46"/>
      <c r="K155" s="190">
        <v>3</v>
      </c>
      <c r="L155" s="190">
        <v>2.5</v>
      </c>
      <c r="M155" s="190">
        <v>2</v>
      </c>
      <c r="N155" s="190">
        <v>2</v>
      </c>
      <c r="O155" s="190">
        <v>3</v>
      </c>
      <c r="P155" s="190" t="s">
        <v>62</v>
      </c>
      <c r="Q155" s="77">
        <v>3</v>
      </c>
      <c r="R155" s="77">
        <v>2.5</v>
      </c>
      <c r="S155" s="77">
        <v>2</v>
      </c>
      <c r="T155" s="77">
        <v>2</v>
      </c>
      <c r="U155" s="77">
        <v>3</v>
      </c>
      <c r="V155" s="190" t="s">
        <v>5872</v>
      </c>
      <c r="W155" s="190"/>
      <c r="X155" s="190"/>
      <c r="Y155" s="190"/>
      <c r="Z155" s="190"/>
      <c r="AA155" s="190"/>
      <c r="AB155" s="190"/>
      <c r="AC155" s="77">
        <v>3</v>
      </c>
      <c r="AD155" s="77">
        <v>2.5</v>
      </c>
      <c r="AE155" s="77">
        <v>2</v>
      </c>
      <c r="AF155" s="77">
        <v>2.5</v>
      </c>
      <c r="AG155" s="77">
        <v>3</v>
      </c>
      <c r="AH155" s="150" t="s">
        <v>171</v>
      </c>
    </row>
    <row r="156" spans="1:34">
      <c r="A156" s="146">
        <v>166</v>
      </c>
      <c r="B156" s="147" t="s">
        <v>6244</v>
      </c>
      <c r="C156" s="193">
        <v>3</v>
      </c>
      <c r="D156" s="193">
        <v>3</v>
      </c>
      <c r="E156" s="193">
        <v>2</v>
      </c>
      <c r="F156" s="193">
        <v>2</v>
      </c>
      <c r="G156" s="193">
        <v>3</v>
      </c>
      <c r="H156" s="176"/>
      <c r="I156" s="193" t="s">
        <v>3125</v>
      </c>
      <c r="J156" s="46"/>
      <c r="K156" s="190">
        <v>3</v>
      </c>
      <c r="L156" s="190">
        <v>2.5</v>
      </c>
      <c r="M156" s="190">
        <v>2</v>
      </c>
      <c r="N156" s="190">
        <v>1</v>
      </c>
      <c r="O156" s="190">
        <v>3</v>
      </c>
      <c r="P156" s="190" t="s">
        <v>3818</v>
      </c>
      <c r="Q156" s="77">
        <v>3</v>
      </c>
      <c r="R156" s="77">
        <v>2.5</v>
      </c>
      <c r="S156" s="77">
        <v>2</v>
      </c>
      <c r="T156" s="77">
        <v>2</v>
      </c>
      <c r="U156" s="77">
        <v>3</v>
      </c>
      <c r="V156" s="190" t="s">
        <v>5872</v>
      </c>
      <c r="W156" s="190"/>
      <c r="X156" s="190"/>
      <c r="Y156" s="190"/>
      <c r="Z156" s="190"/>
      <c r="AA156" s="190"/>
      <c r="AB156" s="190"/>
      <c r="AC156" s="77">
        <v>3</v>
      </c>
      <c r="AD156" s="77">
        <v>3</v>
      </c>
      <c r="AE156" s="77">
        <v>2</v>
      </c>
      <c r="AF156" s="77">
        <v>2</v>
      </c>
      <c r="AG156" s="77">
        <v>3</v>
      </c>
      <c r="AH156" s="150" t="s">
        <v>4891</v>
      </c>
    </row>
    <row r="157" spans="1:34">
      <c r="A157" s="146">
        <v>166</v>
      </c>
      <c r="B157" s="147" t="s">
        <v>6265</v>
      </c>
      <c r="C157" s="192">
        <v>3</v>
      </c>
      <c r="D157" s="192">
        <v>2.5</v>
      </c>
      <c r="E157" s="192">
        <v>2</v>
      </c>
      <c r="F157" s="192">
        <v>2</v>
      </c>
      <c r="G157" s="192">
        <v>3</v>
      </c>
      <c r="H157" s="176"/>
      <c r="I157" s="192" t="s">
        <v>3125</v>
      </c>
      <c r="J157" s="46"/>
      <c r="K157" s="190">
        <v>3</v>
      </c>
      <c r="L157" s="190">
        <v>2</v>
      </c>
      <c r="M157" s="190">
        <v>2</v>
      </c>
      <c r="N157" s="190">
        <v>2</v>
      </c>
      <c r="O157" s="190">
        <v>3</v>
      </c>
      <c r="P157" s="190" t="s">
        <v>6292</v>
      </c>
      <c r="Q157" s="77">
        <v>3</v>
      </c>
      <c r="R157" s="77">
        <v>3</v>
      </c>
      <c r="S157" s="77">
        <v>2.5</v>
      </c>
      <c r="T157" s="77">
        <v>2</v>
      </c>
      <c r="U157" s="77">
        <v>3</v>
      </c>
      <c r="V157" s="190" t="s">
        <v>5875</v>
      </c>
      <c r="W157" s="190"/>
      <c r="X157" s="190"/>
      <c r="Y157" s="190"/>
      <c r="Z157" s="190"/>
      <c r="AA157" s="190"/>
      <c r="AB157" s="190"/>
      <c r="AC157" s="77">
        <v>3</v>
      </c>
      <c r="AD157" s="77">
        <v>2.5</v>
      </c>
      <c r="AE157" s="77">
        <v>2.5</v>
      </c>
      <c r="AF157" s="77">
        <v>2.5</v>
      </c>
      <c r="AG157" s="77">
        <v>3</v>
      </c>
      <c r="AH157" s="150" t="s">
        <v>4212</v>
      </c>
    </row>
    <row r="158" spans="1:34">
      <c r="A158" s="151">
        <v>167</v>
      </c>
      <c r="B158" s="152" t="s">
        <v>6293</v>
      </c>
      <c r="C158" s="153">
        <v>3</v>
      </c>
      <c r="D158" s="153">
        <v>3</v>
      </c>
      <c r="E158" s="153">
        <v>2</v>
      </c>
      <c r="F158" s="153">
        <v>2</v>
      </c>
      <c r="G158" s="153">
        <v>3</v>
      </c>
      <c r="H158" s="153"/>
      <c r="I158" s="153" t="s">
        <v>3125</v>
      </c>
      <c r="J158" s="46"/>
      <c r="K158" s="279" t="s">
        <v>6260</v>
      </c>
      <c r="L158" s="280"/>
      <c r="M158" s="280"/>
      <c r="N158" s="280"/>
      <c r="O158" s="280"/>
      <c r="P158" s="281"/>
      <c r="Q158" s="77">
        <v>3</v>
      </c>
      <c r="R158" s="77">
        <v>2.5</v>
      </c>
      <c r="S158" s="77">
        <v>2</v>
      </c>
      <c r="T158" s="77">
        <v>2.5</v>
      </c>
      <c r="U158" s="77">
        <v>3</v>
      </c>
      <c r="V158" s="190" t="s">
        <v>5961</v>
      </c>
      <c r="W158" s="190">
        <v>3</v>
      </c>
      <c r="X158" s="190">
        <v>3</v>
      </c>
      <c r="Y158" s="190">
        <v>2</v>
      </c>
      <c r="Z158" s="190">
        <v>2.5</v>
      </c>
      <c r="AA158" s="190">
        <v>3</v>
      </c>
      <c r="AB158" s="190" t="s">
        <v>5961</v>
      </c>
      <c r="AC158" s="77">
        <v>3</v>
      </c>
      <c r="AD158" s="77">
        <v>2.5</v>
      </c>
      <c r="AE158" s="77">
        <v>2</v>
      </c>
      <c r="AF158" s="77">
        <v>2</v>
      </c>
      <c r="AG158" s="77">
        <v>3</v>
      </c>
      <c r="AH158" s="150" t="s">
        <v>4891</v>
      </c>
    </row>
    <row r="159" spans="1:34">
      <c r="A159" s="146">
        <v>167</v>
      </c>
      <c r="B159" s="147" t="s">
        <v>6295</v>
      </c>
      <c r="C159" s="153">
        <v>3</v>
      </c>
      <c r="D159" s="153">
        <v>2</v>
      </c>
      <c r="E159" s="153">
        <v>2.5</v>
      </c>
      <c r="F159" s="153">
        <v>2</v>
      </c>
      <c r="G159" s="153">
        <v>3</v>
      </c>
      <c r="H159" s="153"/>
      <c r="I159" s="153" t="s">
        <v>3125</v>
      </c>
      <c r="J159" s="46"/>
      <c r="K159" s="190">
        <v>3</v>
      </c>
      <c r="L159" s="190">
        <v>2</v>
      </c>
      <c r="M159" s="190">
        <v>2</v>
      </c>
      <c r="N159" s="190">
        <v>2</v>
      </c>
      <c r="O159" s="190">
        <v>3</v>
      </c>
      <c r="P159" s="190" t="s">
        <v>5999</v>
      </c>
      <c r="Q159" s="77">
        <v>3</v>
      </c>
      <c r="R159" s="77">
        <v>2.5</v>
      </c>
      <c r="S159" s="77">
        <v>2.5</v>
      </c>
      <c r="T159" s="77">
        <v>2</v>
      </c>
      <c r="U159" s="77">
        <v>3</v>
      </c>
      <c r="V159" s="190" t="s">
        <v>5873</v>
      </c>
      <c r="W159" s="190">
        <v>3</v>
      </c>
      <c r="X159" s="190">
        <v>2.5</v>
      </c>
      <c r="Y159" s="190">
        <v>2.5</v>
      </c>
      <c r="Z159" s="190">
        <v>2.5</v>
      </c>
      <c r="AA159" s="190">
        <v>3</v>
      </c>
      <c r="AB159" s="190" t="s">
        <v>5875</v>
      </c>
      <c r="AC159" s="77">
        <v>3</v>
      </c>
      <c r="AD159" s="77">
        <v>2</v>
      </c>
      <c r="AE159" s="77">
        <v>2.5</v>
      </c>
      <c r="AF159" s="77">
        <v>2</v>
      </c>
      <c r="AG159" s="77">
        <v>3</v>
      </c>
      <c r="AH159" s="150" t="s">
        <v>4891</v>
      </c>
    </row>
    <row r="160" spans="1:34">
      <c r="A160" s="146">
        <v>167</v>
      </c>
      <c r="B160" s="147" t="s">
        <v>6297</v>
      </c>
      <c r="C160" s="153">
        <v>3</v>
      </c>
      <c r="D160" s="153">
        <v>2.5</v>
      </c>
      <c r="E160" s="153">
        <v>2</v>
      </c>
      <c r="F160" s="153">
        <v>2</v>
      </c>
      <c r="G160" s="153">
        <v>3</v>
      </c>
      <c r="H160" s="153" t="s">
        <v>5870</v>
      </c>
      <c r="I160" s="153" t="s">
        <v>3125</v>
      </c>
      <c r="J160" s="46"/>
      <c r="K160" s="190">
        <v>3</v>
      </c>
      <c r="L160" s="190">
        <v>2</v>
      </c>
      <c r="M160" s="190">
        <v>2</v>
      </c>
      <c r="N160" s="190">
        <v>2</v>
      </c>
      <c r="O160" s="190">
        <v>3</v>
      </c>
      <c r="P160" s="190" t="s">
        <v>5999</v>
      </c>
      <c r="Q160" s="77">
        <v>3</v>
      </c>
      <c r="R160" s="77">
        <v>3</v>
      </c>
      <c r="S160" s="77">
        <v>2</v>
      </c>
      <c r="T160" s="77">
        <v>2</v>
      </c>
      <c r="U160" s="77">
        <v>3</v>
      </c>
      <c r="V160" s="190" t="s">
        <v>5872</v>
      </c>
      <c r="W160" s="190">
        <v>3</v>
      </c>
      <c r="X160" s="190">
        <v>3</v>
      </c>
      <c r="Y160" s="190">
        <v>2</v>
      </c>
      <c r="Z160" s="190">
        <v>2</v>
      </c>
      <c r="AA160" s="190">
        <v>3</v>
      </c>
      <c r="AB160" s="190" t="s">
        <v>5872</v>
      </c>
      <c r="AC160" s="77">
        <v>3</v>
      </c>
      <c r="AD160" s="77">
        <v>2.5</v>
      </c>
      <c r="AE160" s="77">
        <v>2</v>
      </c>
      <c r="AF160" s="77">
        <v>2</v>
      </c>
      <c r="AG160" s="77">
        <v>3</v>
      </c>
      <c r="AH160" s="150" t="s">
        <v>5997</v>
      </c>
    </row>
    <row r="161" spans="1:34">
      <c r="A161" s="146">
        <v>167</v>
      </c>
      <c r="B161" s="147" t="s">
        <v>6299</v>
      </c>
      <c r="C161" s="153">
        <v>3</v>
      </c>
      <c r="D161" s="153">
        <v>3</v>
      </c>
      <c r="E161" s="153">
        <v>2</v>
      </c>
      <c r="F161" s="153">
        <v>2</v>
      </c>
      <c r="G161" s="153">
        <v>3</v>
      </c>
      <c r="H161" s="153"/>
      <c r="I161" s="153" t="s">
        <v>3125</v>
      </c>
      <c r="J161" s="46"/>
      <c r="K161" s="190">
        <v>3</v>
      </c>
      <c r="L161" s="190">
        <v>2.5</v>
      </c>
      <c r="M161" s="190">
        <v>2</v>
      </c>
      <c r="N161" s="190">
        <v>2</v>
      </c>
      <c r="O161" s="190">
        <v>3</v>
      </c>
      <c r="P161" s="190" t="s">
        <v>5999</v>
      </c>
      <c r="Q161" s="77">
        <v>3</v>
      </c>
      <c r="R161" s="77">
        <v>3</v>
      </c>
      <c r="S161" s="77">
        <v>2.5</v>
      </c>
      <c r="T161" s="77">
        <v>2.5</v>
      </c>
      <c r="U161" s="77">
        <v>3</v>
      </c>
      <c r="V161" s="190" t="s">
        <v>5960</v>
      </c>
      <c r="W161" s="190">
        <v>3</v>
      </c>
      <c r="X161" s="190">
        <v>3</v>
      </c>
      <c r="Y161" s="190">
        <v>2.5</v>
      </c>
      <c r="Z161" s="190">
        <v>3</v>
      </c>
      <c r="AA161" s="190">
        <v>3</v>
      </c>
      <c r="AB161" s="190" t="s">
        <v>502</v>
      </c>
      <c r="AC161" s="77">
        <v>3</v>
      </c>
      <c r="AD161" s="77">
        <v>3</v>
      </c>
      <c r="AE161" s="77">
        <v>2</v>
      </c>
      <c r="AF161" s="77">
        <v>2.5</v>
      </c>
      <c r="AG161" s="77">
        <v>3</v>
      </c>
      <c r="AH161" s="150" t="s">
        <v>61</v>
      </c>
    </row>
    <row r="162" spans="1:34">
      <c r="A162" s="146">
        <v>167</v>
      </c>
      <c r="B162" s="147" t="s">
        <v>6301</v>
      </c>
      <c r="C162" s="153">
        <v>3</v>
      </c>
      <c r="D162" s="153">
        <v>2.5</v>
      </c>
      <c r="E162" s="153">
        <v>2.5</v>
      </c>
      <c r="F162" s="153">
        <v>2</v>
      </c>
      <c r="G162" s="153">
        <v>3</v>
      </c>
      <c r="H162" s="153"/>
      <c r="I162" s="153" t="s">
        <v>3125</v>
      </c>
      <c r="J162" s="46"/>
      <c r="K162" s="190">
        <v>3</v>
      </c>
      <c r="L162" s="190">
        <v>2</v>
      </c>
      <c r="M162" s="190">
        <v>2</v>
      </c>
      <c r="N162" s="190">
        <v>2</v>
      </c>
      <c r="O162" s="190">
        <v>3</v>
      </c>
      <c r="P162" s="190" t="s">
        <v>5999</v>
      </c>
      <c r="Q162" s="77">
        <v>3</v>
      </c>
      <c r="R162" s="77">
        <v>2.5</v>
      </c>
      <c r="S162" s="77">
        <v>2.5</v>
      </c>
      <c r="T162" s="77">
        <v>2</v>
      </c>
      <c r="U162" s="77">
        <v>3</v>
      </c>
      <c r="V162" s="190" t="s">
        <v>5875</v>
      </c>
      <c r="W162" s="190">
        <v>3</v>
      </c>
      <c r="X162" s="190">
        <v>2.5</v>
      </c>
      <c r="Y162" s="190">
        <v>2.5</v>
      </c>
      <c r="Z162" s="190">
        <v>2.5</v>
      </c>
      <c r="AA162" s="190">
        <v>3</v>
      </c>
      <c r="AB162" s="190" t="s">
        <v>5875</v>
      </c>
      <c r="AC162" s="77">
        <v>3</v>
      </c>
      <c r="AD162" s="77">
        <v>2</v>
      </c>
      <c r="AE162" s="77">
        <v>2.5</v>
      </c>
      <c r="AF162" s="77">
        <v>2</v>
      </c>
      <c r="AG162" s="77">
        <v>3</v>
      </c>
      <c r="AH162" s="150" t="s">
        <v>4891</v>
      </c>
    </row>
    <row r="163" spans="1:34">
      <c r="A163" s="146">
        <v>167</v>
      </c>
      <c r="B163" s="147" t="s">
        <v>6303</v>
      </c>
      <c r="C163" s="153">
        <v>3</v>
      </c>
      <c r="D163" s="153">
        <v>3</v>
      </c>
      <c r="E163" s="153">
        <v>2</v>
      </c>
      <c r="F163" s="153">
        <v>2</v>
      </c>
      <c r="G163" s="153">
        <v>3</v>
      </c>
      <c r="H163" s="153"/>
      <c r="I163" s="153" t="s">
        <v>3125</v>
      </c>
      <c r="J163" s="46"/>
      <c r="K163" s="190">
        <v>3</v>
      </c>
      <c r="L163" s="190">
        <v>2.5</v>
      </c>
      <c r="M163" s="190">
        <v>2</v>
      </c>
      <c r="N163" s="190">
        <v>2</v>
      </c>
      <c r="O163" s="190">
        <v>3</v>
      </c>
      <c r="P163" s="190" t="s">
        <v>5999</v>
      </c>
      <c r="Q163" s="77">
        <v>3</v>
      </c>
      <c r="R163" s="77">
        <v>2.5</v>
      </c>
      <c r="S163" s="77">
        <v>2</v>
      </c>
      <c r="T163" s="77">
        <v>2</v>
      </c>
      <c r="U163" s="77">
        <v>3</v>
      </c>
      <c r="V163" s="190" t="s">
        <v>5874</v>
      </c>
      <c r="W163" s="190">
        <v>3</v>
      </c>
      <c r="X163" s="190">
        <v>3</v>
      </c>
      <c r="Y163" s="190">
        <v>2</v>
      </c>
      <c r="Z163" s="190">
        <v>2.5</v>
      </c>
      <c r="AA163" s="190">
        <v>3</v>
      </c>
      <c r="AB163" s="190" t="s">
        <v>5961</v>
      </c>
      <c r="AC163" s="77">
        <v>3</v>
      </c>
      <c r="AD163" s="77">
        <v>2.5</v>
      </c>
      <c r="AE163" s="77">
        <v>2</v>
      </c>
      <c r="AF163" s="77">
        <v>2</v>
      </c>
      <c r="AG163" s="77">
        <v>3</v>
      </c>
      <c r="AH163" s="150" t="s">
        <v>171</v>
      </c>
    </row>
    <row r="164" spans="1:34">
      <c r="A164" s="146">
        <v>167</v>
      </c>
      <c r="B164" s="147" t="s">
        <v>6078</v>
      </c>
      <c r="C164" s="153">
        <v>3</v>
      </c>
      <c r="D164" s="153">
        <v>3</v>
      </c>
      <c r="E164" s="153">
        <v>2</v>
      </c>
      <c r="F164" s="153">
        <v>1.5</v>
      </c>
      <c r="G164" s="153">
        <v>3</v>
      </c>
      <c r="H164" s="153" t="s">
        <v>5870</v>
      </c>
      <c r="I164" s="153" t="s">
        <v>3122</v>
      </c>
      <c r="J164" s="46"/>
      <c r="K164" s="190">
        <v>3</v>
      </c>
      <c r="L164" s="190">
        <v>2.5</v>
      </c>
      <c r="M164" s="190">
        <v>2</v>
      </c>
      <c r="N164" s="190">
        <v>2</v>
      </c>
      <c r="O164" s="190">
        <v>3</v>
      </c>
      <c r="P164" s="190" t="s">
        <v>5999</v>
      </c>
      <c r="Q164" s="77">
        <v>3</v>
      </c>
      <c r="R164" s="77">
        <v>3</v>
      </c>
      <c r="S164" s="77">
        <v>2</v>
      </c>
      <c r="T164" s="77">
        <v>2</v>
      </c>
      <c r="U164" s="77">
        <v>3</v>
      </c>
      <c r="V164" s="190" t="s">
        <v>5874</v>
      </c>
      <c r="W164" s="190">
        <v>3</v>
      </c>
      <c r="X164" s="190">
        <v>3</v>
      </c>
      <c r="Y164" s="190">
        <v>2</v>
      </c>
      <c r="Z164" s="190">
        <v>2.5</v>
      </c>
      <c r="AA164" s="190">
        <v>3</v>
      </c>
      <c r="AB164" s="190" t="s">
        <v>5961</v>
      </c>
      <c r="AC164" s="77">
        <v>3</v>
      </c>
      <c r="AD164" s="77">
        <v>2.5</v>
      </c>
      <c r="AE164" s="77">
        <v>2.5</v>
      </c>
      <c r="AF164" s="77">
        <v>2.5</v>
      </c>
      <c r="AG164" s="77">
        <v>3</v>
      </c>
      <c r="AH164" s="150" t="s">
        <v>4212</v>
      </c>
    </row>
    <row r="165" spans="1:34">
      <c r="A165" s="146">
        <v>167</v>
      </c>
      <c r="B165" s="147" t="s">
        <v>6079</v>
      </c>
      <c r="C165" s="153">
        <v>3</v>
      </c>
      <c r="D165" s="153">
        <v>2.5</v>
      </c>
      <c r="E165" s="153">
        <v>2</v>
      </c>
      <c r="F165" s="153">
        <v>2</v>
      </c>
      <c r="G165" s="153">
        <v>3</v>
      </c>
      <c r="H165" s="153"/>
      <c r="I165" s="153" t="s">
        <v>3122</v>
      </c>
      <c r="J165" s="46"/>
      <c r="K165" s="190">
        <v>3</v>
      </c>
      <c r="L165" s="190">
        <v>2.5</v>
      </c>
      <c r="M165" s="190">
        <v>2</v>
      </c>
      <c r="N165" s="190">
        <v>1.5</v>
      </c>
      <c r="O165" s="190">
        <v>3</v>
      </c>
      <c r="P165" s="190" t="s">
        <v>62</v>
      </c>
      <c r="Q165" s="77">
        <v>3</v>
      </c>
      <c r="R165" s="77">
        <v>3</v>
      </c>
      <c r="S165" s="77">
        <v>2</v>
      </c>
      <c r="T165" s="77">
        <v>2.5</v>
      </c>
      <c r="U165" s="77">
        <v>3</v>
      </c>
      <c r="V165" s="190" t="s">
        <v>5876</v>
      </c>
      <c r="W165" s="190">
        <v>3</v>
      </c>
      <c r="X165" s="190">
        <v>3</v>
      </c>
      <c r="Y165" s="190">
        <v>2</v>
      </c>
      <c r="Z165" s="190">
        <v>2.5</v>
      </c>
      <c r="AA165" s="190">
        <v>3</v>
      </c>
      <c r="AB165" s="190" t="s">
        <v>5876</v>
      </c>
      <c r="AC165" s="77">
        <v>3</v>
      </c>
      <c r="AD165" s="77">
        <v>2.5</v>
      </c>
      <c r="AE165" s="77">
        <v>2</v>
      </c>
      <c r="AF165" s="77">
        <v>2</v>
      </c>
      <c r="AG165" s="77">
        <v>3</v>
      </c>
      <c r="AH165" s="150" t="s">
        <v>4891</v>
      </c>
    </row>
    <row r="166" spans="1:34">
      <c r="A166" s="146">
        <v>167</v>
      </c>
      <c r="B166" s="147" t="s">
        <v>6083</v>
      </c>
      <c r="C166" s="153">
        <v>3</v>
      </c>
      <c r="D166" s="153">
        <v>2.5</v>
      </c>
      <c r="E166" s="153">
        <v>2</v>
      </c>
      <c r="F166" s="153">
        <v>2.5</v>
      </c>
      <c r="G166" s="153">
        <v>3</v>
      </c>
      <c r="H166" s="153"/>
      <c r="I166" s="153" t="s">
        <v>3122</v>
      </c>
      <c r="J166" s="46"/>
      <c r="K166" s="190">
        <v>3</v>
      </c>
      <c r="L166" s="190">
        <v>2.5</v>
      </c>
      <c r="M166" s="190">
        <v>2</v>
      </c>
      <c r="N166" s="190">
        <v>2</v>
      </c>
      <c r="O166" s="190">
        <v>3</v>
      </c>
      <c r="P166" s="190" t="s">
        <v>5999</v>
      </c>
      <c r="Q166" s="77">
        <v>3</v>
      </c>
      <c r="R166" s="77">
        <v>2.5</v>
      </c>
      <c r="S166" s="77">
        <v>2</v>
      </c>
      <c r="T166" s="77">
        <v>2</v>
      </c>
      <c r="U166" s="77">
        <v>3</v>
      </c>
      <c r="V166" s="190" t="s">
        <v>5874</v>
      </c>
      <c r="W166" s="190">
        <v>3</v>
      </c>
      <c r="X166" s="190">
        <v>2.5</v>
      </c>
      <c r="Y166" s="190">
        <v>2.5</v>
      </c>
      <c r="Z166" s="190">
        <v>2.5</v>
      </c>
      <c r="AA166" s="190">
        <v>3</v>
      </c>
      <c r="AB166" s="190" t="s">
        <v>6306</v>
      </c>
      <c r="AC166" s="77">
        <v>3</v>
      </c>
      <c r="AD166" s="77">
        <v>2.5</v>
      </c>
      <c r="AE166" s="77">
        <v>2.5</v>
      </c>
      <c r="AF166" s="77">
        <v>2.5</v>
      </c>
      <c r="AG166" s="77">
        <v>3</v>
      </c>
      <c r="AH166" s="150" t="s">
        <v>60</v>
      </c>
    </row>
    <row r="167" spans="1:34">
      <c r="A167" s="146">
        <v>167</v>
      </c>
      <c r="B167" s="147" t="s">
        <v>6085</v>
      </c>
      <c r="C167" s="153">
        <v>3</v>
      </c>
      <c r="D167" s="153">
        <v>2.5</v>
      </c>
      <c r="E167" s="153">
        <v>2</v>
      </c>
      <c r="F167" s="153">
        <v>2</v>
      </c>
      <c r="G167" s="153">
        <v>3</v>
      </c>
      <c r="H167" s="153"/>
      <c r="I167" s="153" t="s">
        <v>3122</v>
      </c>
      <c r="J167" s="46"/>
      <c r="K167" s="190">
        <v>3</v>
      </c>
      <c r="L167" s="190">
        <v>2.5</v>
      </c>
      <c r="M167" s="190">
        <v>2</v>
      </c>
      <c r="N167" s="190">
        <v>2</v>
      </c>
      <c r="O167" s="190">
        <v>3</v>
      </c>
      <c r="P167" s="190" t="s">
        <v>5999</v>
      </c>
      <c r="Q167" s="77">
        <v>3</v>
      </c>
      <c r="R167" s="77">
        <v>2.5</v>
      </c>
      <c r="S167" s="77">
        <v>2</v>
      </c>
      <c r="T167" s="77">
        <v>2</v>
      </c>
      <c r="U167" s="77">
        <v>3</v>
      </c>
      <c r="V167" s="190" t="s">
        <v>5874</v>
      </c>
      <c r="W167" s="190">
        <v>3</v>
      </c>
      <c r="X167" s="190">
        <v>2.5</v>
      </c>
      <c r="Y167" s="190">
        <v>2.5</v>
      </c>
      <c r="Z167" s="190">
        <v>2</v>
      </c>
      <c r="AA167" s="190">
        <v>3</v>
      </c>
      <c r="AB167" s="190" t="s">
        <v>5875</v>
      </c>
      <c r="AC167" s="77">
        <v>3</v>
      </c>
      <c r="AD167" s="77">
        <v>2.5</v>
      </c>
      <c r="AE167" s="77">
        <v>2.5</v>
      </c>
      <c r="AF167" s="77">
        <v>2</v>
      </c>
      <c r="AG167" s="77">
        <v>3</v>
      </c>
      <c r="AH167" s="150" t="s">
        <v>4212</v>
      </c>
    </row>
    <row r="168" spans="1:34">
      <c r="A168" s="146">
        <v>167</v>
      </c>
      <c r="B168" s="147" t="s">
        <v>6087</v>
      </c>
      <c r="C168" s="153">
        <v>3</v>
      </c>
      <c r="D168" s="153">
        <v>2</v>
      </c>
      <c r="E168" s="153">
        <v>2.5</v>
      </c>
      <c r="F168" s="153">
        <v>2</v>
      </c>
      <c r="G168" s="153">
        <v>3</v>
      </c>
      <c r="H168" s="153" t="s">
        <v>5870</v>
      </c>
      <c r="I168" s="153" t="s">
        <v>3122</v>
      </c>
      <c r="J168" s="46"/>
      <c r="K168" s="190">
        <v>3</v>
      </c>
      <c r="L168" s="190">
        <v>2.5</v>
      </c>
      <c r="M168" s="190">
        <v>2</v>
      </c>
      <c r="N168" s="190">
        <v>2</v>
      </c>
      <c r="O168" s="190">
        <v>3</v>
      </c>
      <c r="P168" s="190" t="s">
        <v>5999</v>
      </c>
      <c r="Q168" s="77">
        <v>3</v>
      </c>
      <c r="R168" s="77">
        <v>2</v>
      </c>
      <c r="S168" s="77">
        <v>2</v>
      </c>
      <c r="T168" s="77">
        <v>2</v>
      </c>
      <c r="U168" s="77">
        <v>3</v>
      </c>
      <c r="V168" s="190" t="s">
        <v>5874</v>
      </c>
      <c r="W168" s="190">
        <v>3</v>
      </c>
      <c r="X168" s="190">
        <v>2.5</v>
      </c>
      <c r="Y168" s="190">
        <v>2.5</v>
      </c>
      <c r="Z168" s="190">
        <v>2</v>
      </c>
      <c r="AA168" s="190">
        <v>3</v>
      </c>
      <c r="AB168" s="190" t="s">
        <v>5873</v>
      </c>
      <c r="AC168" s="77">
        <v>3</v>
      </c>
      <c r="AD168" s="77">
        <v>2.5</v>
      </c>
      <c r="AE168" s="77">
        <v>2.5</v>
      </c>
      <c r="AF168" s="77">
        <v>2.5</v>
      </c>
      <c r="AG168" s="77">
        <v>3</v>
      </c>
      <c r="AH168" s="150" t="s">
        <v>502</v>
      </c>
    </row>
    <row r="169" spans="1:34">
      <c r="A169" s="146">
        <v>168</v>
      </c>
      <c r="B169" s="147" t="s">
        <v>6309</v>
      </c>
      <c r="C169" s="148">
        <v>3</v>
      </c>
      <c r="D169" s="148">
        <v>3</v>
      </c>
      <c r="E169" s="148">
        <v>2</v>
      </c>
      <c r="F169" s="148">
        <v>2</v>
      </c>
      <c r="G169" s="148">
        <v>3</v>
      </c>
      <c r="H169" s="153"/>
      <c r="I169" s="46" t="s">
        <v>3125</v>
      </c>
      <c r="J169" s="46"/>
      <c r="K169" s="195">
        <v>3</v>
      </c>
      <c r="L169" s="195">
        <v>3</v>
      </c>
      <c r="M169" s="195">
        <v>2</v>
      </c>
      <c r="N169" s="195">
        <v>2</v>
      </c>
      <c r="O169" s="195">
        <v>3</v>
      </c>
      <c r="P169" s="195" t="s">
        <v>5872</v>
      </c>
      <c r="Q169" s="77">
        <v>3</v>
      </c>
      <c r="R169" s="77">
        <v>2.5</v>
      </c>
      <c r="S169" s="77">
        <v>2</v>
      </c>
      <c r="T169" s="77">
        <v>2</v>
      </c>
      <c r="U169" s="77">
        <v>3</v>
      </c>
      <c r="V169" s="195" t="s">
        <v>5872</v>
      </c>
      <c r="W169" s="195">
        <v>3</v>
      </c>
      <c r="X169" s="195">
        <v>2.5</v>
      </c>
      <c r="Y169" s="195">
        <v>2</v>
      </c>
      <c r="Z169" s="195">
        <v>2.5</v>
      </c>
      <c r="AA169" s="195">
        <v>3</v>
      </c>
      <c r="AB169" s="195" t="s">
        <v>61</v>
      </c>
      <c r="AC169" s="77">
        <v>3</v>
      </c>
      <c r="AD169" s="77">
        <v>3</v>
      </c>
      <c r="AE169" s="77">
        <v>2</v>
      </c>
      <c r="AF169" s="77">
        <v>2.5</v>
      </c>
      <c r="AG169" s="77">
        <v>3</v>
      </c>
      <c r="AH169" s="150" t="s">
        <v>61</v>
      </c>
    </row>
    <row r="170" spans="1:34">
      <c r="A170" s="146">
        <v>168</v>
      </c>
      <c r="B170" s="147" t="s">
        <v>6310</v>
      </c>
      <c r="C170" s="148">
        <v>3</v>
      </c>
      <c r="D170" s="148">
        <v>3</v>
      </c>
      <c r="E170" s="148">
        <v>2.5</v>
      </c>
      <c r="F170" s="148">
        <v>2</v>
      </c>
      <c r="G170" s="148">
        <v>3</v>
      </c>
      <c r="H170" s="153"/>
      <c r="I170" s="46" t="s">
        <v>105</v>
      </c>
      <c r="J170" s="46" t="s">
        <v>5878</v>
      </c>
      <c r="K170" s="195">
        <v>3</v>
      </c>
      <c r="L170" s="195">
        <v>3</v>
      </c>
      <c r="M170" s="195">
        <v>1.5</v>
      </c>
      <c r="N170" s="195">
        <v>2</v>
      </c>
      <c r="O170" s="195">
        <v>3</v>
      </c>
      <c r="P170" s="195" t="s">
        <v>6330</v>
      </c>
      <c r="Q170" s="77">
        <v>3</v>
      </c>
      <c r="R170" s="77">
        <v>2</v>
      </c>
      <c r="S170" s="77">
        <v>2</v>
      </c>
      <c r="T170" s="77">
        <v>2</v>
      </c>
      <c r="U170" s="77">
        <v>3</v>
      </c>
      <c r="V170" s="195" t="s">
        <v>5874</v>
      </c>
      <c r="W170" s="195">
        <v>3</v>
      </c>
      <c r="X170" s="195">
        <v>3</v>
      </c>
      <c r="Y170" s="195">
        <v>2</v>
      </c>
      <c r="Z170" s="195">
        <v>2</v>
      </c>
      <c r="AA170" s="195">
        <v>3</v>
      </c>
      <c r="AB170" s="195" t="s">
        <v>5874</v>
      </c>
      <c r="AC170" s="77">
        <v>3</v>
      </c>
      <c r="AD170" s="77">
        <v>2.5</v>
      </c>
      <c r="AE170" s="77">
        <v>2</v>
      </c>
      <c r="AF170" s="77">
        <v>2</v>
      </c>
      <c r="AG170" s="77">
        <v>3</v>
      </c>
      <c r="AH170" s="150" t="s">
        <v>62</v>
      </c>
    </row>
    <row r="171" spans="1:34">
      <c r="A171" s="146">
        <v>168</v>
      </c>
      <c r="B171" s="147" t="s">
        <v>6311</v>
      </c>
      <c r="C171" s="148">
        <v>3</v>
      </c>
      <c r="D171" s="148">
        <v>3</v>
      </c>
      <c r="E171" s="148">
        <v>2</v>
      </c>
      <c r="F171" s="148">
        <v>2.5</v>
      </c>
      <c r="G171" s="148">
        <v>3</v>
      </c>
      <c r="H171" s="153"/>
      <c r="I171" s="46" t="s">
        <v>52</v>
      </c>
      <c r="J171" s="46" t="s">
        <v>5878</v>
      </c>
      <c r="K171" s="195">
        <v>3</v>
      </c>
      <c r="L171" s="195">
        <v>2</v>
      </c>
      <c r="M171" s="195">
        <v>2</v>
      </c>
      <c r="N171" s="195">
        <v>2</v>
      </c>
      <c r="O171" s="195">
        <v>3</v>
      </c>
      <c r="P171" s="195" t="s">
        <v>6330</v>
      </c>
      <c r="Q171" s="77">
        <v>3</v>
      </c>
      <c r="R171" s="77">
        <v>2.5</v>
      </c>
      <c r="S171" s="77">
        <v>2</v>
      </c>
      <c r="T171" s="77">
        <v>2</v>
      </c>
      <c r="U171" s="77">
        <v>3</v>
      </c>
      <c r="V171" s="195" t="s">
        <v>5874</v>
      </c>
      <c r="W171" s="195">
        <v>3</v>
      </c>
      <c r="X171" s="195">
        <v>3</v>
      </c>
      <c r="Y171" s="195">
        <v>2</v>
      </c>
      <c r="Z171" s="195">
        <v>2.5</v>
      </c>
      <c r="AA171" s="195">
        <v>3</v>
      </c>
      <c r="AB171" s="195" t="s">
        <v>61</v>
      </c>
      <c r="AC171" s="77">
        <v>3</v>
      </c>
      <c r="AD171" s="77">
        <v>3</v>
      </c>
      <c r="AE171" s="77">
        <v>2.5</v>
      </c>
      <c r="AF171" s="77">
        <v>2.5</v>
      </c>
      <c r="AG171" s="77">
        <v>3</v>
      </c>
      <c r="AH171" s="150" t="s">
        <v>61</v>
      </c>
    </row>
    <row r="172" spans="1:34">
      <c r="A172" s="146">
        <v>168</v>
      </c>
      <c r="B172" s="147" t="s">
        <v>6313</v>
      </c>
      <c r="C172" s="148">
        <v>3</v>
      </c>
      <c r="D172" s="148">
        <v>2.5</v>
      </c>
      <c r="E172" s="148">
        <v>2</v>
      </c>
      <c r="F172" s="148">
        <v>2</v>
      </c>
      <c r="G172" s="148">
        <v>3</v>
      </c>
      <c r="H172" s="153"/>
      <c r="I172" s="46" t="s">
        <v>3125</v>
      </c>
      <c r="J172" s="46"/>
      <c r="K172" s="195">
        <v>3</v>
      </c>
      <c r="L172" s="195">
        <v>2.5</v>
      </c>
      <c r="M172" s="195">
        <v>2.5</v>
      </c>
      <c r="N172" s="195">
        <v>2</v>
      </c>
      <c r="O172" s="195">
        <v>3</v>
      </c>
      <c r="P172" s="195" t="s">
        <v>6331</v>
      </c>
      <c r="Q172" s="77">
        <v>3</v>
      </c>
      <c r="R172" s="77">
        <v>2</v>
      </c>
      <c r="S172" s="77">
        <v>2.5</v>
      </c>
      <c r="T172" s="77">
        <v>2</v>
      </c>
      <c r="U172" s="77">
        <v>3</v>
      </c>
      <c r="V172" s="195" t="s">
        <v>5872</v>
      </c>
      <c r="W172" s="195">
        <v>3</v>
      </c>
      <c r="X172" s="195">
        <v>2.5</v>
      </c>
      <c r="Y172" s="195">
        <v>2.5</v>
      </c>
      <c r="Z172" s="195">
        <v>2.5</v>
      </c>
      <c r="AA172" s="195">
        <v>3</v>
      </c>
      <c r="AB172" s="195" t="s">
        <v>3246</v>
      </c>
      <c r="AC172" s="77">
        <v>3</v>
      </c>
      <c r="AD172" s="77">
        <v>2.5</v>
      </c>
      <c r="AE172" s="77">
        <v>2.5</v>
      </c>
      <c r="AF172" s="77">
        <v>2</v>
      </c>
      <c r="AG172" s="77">
        <v>3</v>
      </c>
      <c r="AH172" s="150" t="s">
        <v>502</v>
      </c>
    </row>
    <row r="173" spans="1:34">
      <c r="A173" s="146">
        <v>168</v>
      </c>
      <c r="B173" s="147" t="s">
        <v>6315</v>
      </c>
      <c r="C173" s="148">
        <v>3</v>
      </c>
      <c r="D173" s="148">
        <v>3</v>
      </c>
      <c r="E173" s="148">
        <v>3</v>
      </c>
      <c r="F173" s="148">
        <v>2</v>
      </c>
      <c r="G173" s="148">
        <v>2</v>
      </c>
      <c r="H173" s="153"/>
      <c r="I173" s="46"/>
      <c r="J173" s="46" t="s">
        <v>5878</v>
      </c>
      <c r="K173" s="195">
        <v>3</v>
      </c>
      <c r="L173" s="195">
        <v>2.5</v>
      </c>
      <c r="M173" s="195">
        <v>2</v>
      </c>
      <c r="N173" s="195">
        <v>1.5</v>
      </c>
      <c r="O173" s="195">
        <v>3</v>
      </c>
      <c r="P173" s="195" t="s">
        <v>3321</v>
      </c>
      <c r="Q173" s="77">
        <v>3</v>
      </c>
      <c r="R173" s="77">
        <v>2.5</v>
      </c>
      <c r="S173" s="77">
        <v>2</v>
      </c>
      <c r="T173" s="77">
        <v>2</v>
      </c>
      <c r="U173" s="77">
        <v>3</v>
      </c>
      <c r="V173" s="195" t="s">
        <v>5872</v>
      </c>
      <c r="W173" s="195">
        <v>3</v>
      </c>
      <c r="X173" s="195">
        <v>2.5</v>
      </c>
      <c r="Y173" s="195">
        <v>2</v>
      </c>
      <c r="Z173" s="195">
        <v>2</v>
      </c>
      <c r="AA173" s="195">
        <v>3</v>
      </c>
      <c r="AB173" s="195" t="s">
        <v>5872</v>
      </c>
      <c r="AC173" s="77">
        <v>3</v>
      </c>
      <c r="AD173" s="77">
        <v>2.5</v>
      </c>
      <c r="AE173" s="77">
        <v>2</v>
      </c>
      <c r="AF173" s="77">
        <v>1.5</v>
      </c>
      <c r="AG173" s="77">
        <v>3</v>
      </c>
      <c r="AH173" s="150" t="s">
        <v>5997</v>
      </c>
    </row>
    <row r="174" spans="1:34">
      <c r="A174" s="146">
        <v>168</v>
      </c>
      <c r="B174" s="147" t="s">
        <v>6316</v>
      </c>
      <c r="C174" s="148">
        <v>3</v>
      </c>
      <c r="D174" s="148">
        <v>3</v>
      </c>
      <c r="E174" s="148">
        <v>2</v>
      </c>
      <c r="F174" s="148">
        <v>2</v>
      </c>
      <c r="G174" s="148">
        <v>3</v>
      </c>
      <c r="H174" s="153"/>
      <c r="I174" s="46" t="s">
        <v>3125</v>
      </c>
      <c r="J174" s="46"/>
      <c r="K174" s="195">
        <v>3</v>
      </c>
      <c r="L174" s="195">
        <v>2</v>
      </c>
      <c r="M174" s="195">
        <v>2</v>
      </c>
      <c r="N174" s="195">
        <v>1.5</v>
      </c>
      <c r="O174" s="195">
        <v>3</v>
      </c>
      <c r="P174" s="195" t="s">
        <v>3321</v>
      </c>
      <c r="Q174" s="77">
        <v>3</v>
      </c>
      <c r="R174" s="77">
        <v>2</v>
      </c>
      <c r="S174" s="77">
        <v>2</v>
      </c>
      <c r="T174" s="77">
        <v>2</v>
      </c>
      <c r="U174" s="77">
        <v>3</v>
      </c>
      <c r="V174" s="195" t="s">
        <v>62</v>
      </c>
      <c r="W174" s="195">
        <v>3</v>
      </c>
      <c r="X174" s="195">
        <v>3</v>
      </c>
      <c r="Y174" s="195">
        <v>2</v>
      </c>
      <c r="Z174" s="195">
        <v>2.5</v>
      </c>
      <c r="AA174" s="195">
        <v>3</v>
      </c>
      <c r="AB174" s="195" t="s">
        <v>5961</v>
      </c>
      <c r="AC174" s="77">
        <v>3</v>
      </c>
      <c r="AD174" s="77">
        <v>2.5</v>
      </c>
      <c r="AE174" s="77">
        <v>2</v>
      </c>
      <c r="AF174" s="77">
        <v>2</v>
      </c>
      <c r="AG174" s="77">
        <v>3</v>
      </c>
      <c r="AH174" s="150" t="s">
        <v>4891</v>
      </c>
    </row>
    <row r="175" spans="1:34">
      <c r="A175" s="146">
        <v>168</v>
      </c>
      <c r="B175" s="147" t="s">
        <v>6317</v>
      </c>
      <c r="C175" s="148">
        <v>3</v>
      </c>
      <c r="D175" s="148">
        <v>3</v>
      </c>
      <c r="E175" s="148">
        <v>2</v>
      </c>
      <c r="F175" s="148">
        <v>2</v>
      </c>
      <c r="G175" s="148">
        <v>3</v>
      </c>
      <c r="H175" s="153"/>
      <c r="I175" s="46" t="s">
        <v>105</v>
      </c>
      <c r="J175" s="46" t="s">
        <v>5878</v>
      </c>
      <c r="K175" s="195">
        <v>3</v>
      </c>
      <c r="L175" s="195">
        <v>2.5</v>
      </c>
      <c r="M175" s="195">
        <v>2</v>
      </c>
      <c r="N175" s="195">
        <v>2</v>
      </c>
      <c r="O175" s="195">
        <v>3</v>
      </c>
      <c r="P175" s="195" t="s">
        <v>5872</v>
      </c>
      <c r="Q175" s="77">
        <v>3</v>
      </c>
      <c r="R175" s="77">
        <v>2</v>
      </c>
      <c r="S175" s="77">
        <v>2.5</v>
      </c>
      <c r="T175" s="77">
        <v>2</v>
      </c>
      <c r="U175" s="77">
        <v>3</v>
      </c>
      <c r="V175" s="195" t="s">
        <v>5873</v>
      </c>
      <c r="W175" s="195">
        <v>3</v>
      </c>
      <c r="X175" s="195">
        <v>3</v>
      </c>
      <c r="Y175" s="195">
        <v>2.5</v>
      </c>
      <c r="Z175" s="195">
        <v>2</v>
      </c>
      <c r="AA175" s="195">
        <v>3</v>
      </c>
      <c r="AB175" s="195" t="s">
        <v>5875</v>
      </c>
      <c r="AC175" s="77">
        <v>3</v>
      </c>
      <c r="AD175" s="77">
        <v>2.5</v>
      </c>
      <c r="AE175" s="77">
        <v>2.5</v>
      </c>
      <c r="AF175" s="77">
        <v>2</v>
      </c>
      <c r="AG175" s="77">
        <v>3</v>
      </c>
      <c r="AH175" s="150" t="s">
        <v>4212</v>
      </c>
    </row>
    <row r="176" spans="1:34">
      <c r="A176" s="146">
        <v>168</v>
      </c>
      <c r="B176" s="147" t="s">
        <v>6318</v>
      </c>
      <c r="C176" s="148">
        <v>3</v>
      </c>
      <c r="D176" s="148">
        <v>3</v>
      </c>
      <c r="E176" s="148">
        <v>2</v>
      </c>
      <c r="F176" s="148">
        <v>2</v>
      </c>
      <c r="G176" s="148">
        <v>3</v>
      </c>
      <c r="H176" s="153"/>
      <c r="I176" s="46" t="s">
        <v>3125</v>
      </c>
      <c r="J176" s="46"/>
      <c r="K176" s="195">
        <v>3</v>
      </c>
      <c r="L176" s="195">
        <v>2.5</v>
      </c>
      <c r="M176" s="195">
        <v>2</v>
      </c>
      <c r="N176" s="195">
        <v>2</v>
      </c>
      <c r="O176" s="195">
        <v>3</v>
      </c>
      <c r="P176" s="195" t="s">
        <v>5872</v>
      </c>
      <c r="Q176" s="77">
        <v>3</v>
      </c>
      <c r="R176" s="77">
        <v>2.5</v>
      </c>
      <c r="S176" s="77">
        <v>2</v>
      </c>
      <c r="T176" s="77">
        <v>2.5</v>
      </c>
      <c r="U176" s="77">
        <v>3</v>
      </c>
      <c r="V176" s="195" t="s">
        <v>171</v>
      </c>
      <c r="W176" s="195">
        <v>3</v>
      </c>
      <c r="X176" s="195">
        <v>2.5</v>
      </c>
      <c r="Y176" s="195">
        <v>2</v>
      </c>
      <c r="Z176" s="195">
        <v>2.5</v>
      </c>
      <c r="AA176" s="195">
        <v>3</v>
      </c>
      <c r="AB176" s="195" t="s">
        <v>5876</v>
      </c>
      <c r="AC176" s="77">
        <v>3</v>
      </c>
      <c r="AD176" s="77">
        <v>2.5</v>
      </c>
      <c r="AE176" s="77">
        <v>2</v>
      </c>
      <c r="AF176" s="77">
        <v>2.5</v>
      </c>
      <c r="AG176" s="77">
        <v>3</v>
      </c>
      <c r="AH176" s="150" t="s">
        <v>61</v>
      </c>
    </row>
    <row r="177" spans="1:34">
      <c r="A177" s="146">
        <v>168</v>
      </c>
      <c r="B177" s="147" t="s">
        <v>6326</v>
      </c>
      <c r="C177" s="148">
        <v>3</v>
      </c>
      <c r="D177" s="148">
        <v>2</v>
      </c>
      <c r="E177" s="148">
        <v>2.5</v>
      </c>
      <c r="F177" s="148">
        <v>2</v>
      </c>
      <c r="G177" s="148">
        <v>3</v>
      </c>
      <c r="H177" s="153"/>
      <c r="I177" s="46" t="s">
        <v>3125</v>
      </c>
      <c r="J177" s="46"/>
      <c r="K177" s="195">
        <v>3</v>
      </c>
      <c r="L177" s="195">
        <v>2.5</v>
      </c>
      <c r="M177" s="195">
        <v>2.5</v>
      </c>
      <c r="N177" s="195">
        <v>2</v>
      </c>
      <c r="O177" s="195">
        <v>3</v>
      </c>
      <c r="P177" s="195" t="s">
        <v>170</v>
      </c>
      <c r="Q177" s="77">
        <v>3</v>
      </c>
      <c r="R177" s="77">
        <v>2</v>
      </c>
      <c r="S177" s="77">
        <v>2.5</v>
      </c>
      <c r="T177" s="77">
        <v>2</v>
      </c>
      <c r="U177" s="77">
        <v>3</v>
      </c>
      <c r="V177" s="195" t="s">
        <v>5872</v>
      </c>
      <c r="W177" s="195">
        <v>3</v>
      </c>
      <c r="X177" s="195">
        <v>2.5</v>
      </c>
      <c r="Y177" s="195">
        <v>2.5</v>
      </c>
      <c r="Z177" s="195">
        <v>2</v>
      </c>
      <c r="AA177" s="195">
        <v>3</v>
      </c>
      <c r="AB177" s="195" t="s">
        <v>5875</v>
      </c>
      <c r="AC177" s="77">
        <v>3</v>
      </c>
      <c r="AD177" s="77">
        <v>2.5</v>
      </c>
      <c r="AE177" s="77">
        <v>2.5</v>
      </c>
      <c r="AF177" s="77">
        <v>2</v>
      </c>
      <c r="AG177" s="77">
        <v>3</v>
      </c>
      <c r="AH177" s="150" t="s">
        <v>502</v>
      </c>
    </row>
    <row r="178" spans="1:34">
      <c r="A178" s="151" t="s">
        <v>6349</v>
      </c>
      <c r="B178" s="152" t="s">
        <v>6332</v>
      </c>
      <c r="C178" s="153">
        <v>3</v>
      </c>
      <c r="D178" s="153">
        <v>2</v>
      </c>
      <c r="E178" s="153">
        <v>2</v>
      </c>
      <c r="F178" s="153">
        <v>1.5</v>
      </c>
      <c r="G178" s="153">
        <v>3</v>
      </c>
      <c r="H178" s="153"/>
      <c r="I178" s="153" t="s">
        <v>3125</v>
      </c>
      <c r="J178" s="46"/>
      <c r="K178" s="196">
        <v>3</v>
      </c>
      <c r="L178" s="196">
        <v>2</v>
      </c>
      <c r="M178" s="196">
        <v>2</v>
      </c>
      <c r="N178" s="196">
        <v>1.5</v>
      </c>
      <c r="O178" s="196">
        <v>3</v>
      </c>
      <c r="P178" s="196" t="s">
        <v>3818</v>
      </c>
      <c r="Q178" s="77">
        <v>3</v>
      </c>
      <c r="R178" s="77">
        <v>2</v>
      </c>
      <c r="S178" s="77">
        <v>2</v>
      </c>
      <c r="T178" s="77">
        <v>2</v>
      </c>
      <c r="U178" s="77">
        <v>3</v>
      </c>
      <c r="V178" s="196" t="s">
        <v>5917</v>
      </c>
      <c r="W178" s="196">
        <v>3</v>
      </c>
      <c r="X178" s="196">
        <v>2.5</v>
      </c>
      <c r="Y178" s="196">
        <v>2</v>
      </c>
      <c r="Z178" s="196">
        <v>2</v>
      </c>
      <c r="AA178" s="196">
        <v>3</v>
      </c>
      <c r="AB178" s="196" t="s">
        <v>62</v>
      </c>
      <c r="AC178" s="77">
        <v>3</v>
      </c>
      <c r="AD178" s="77">
        <v>2.5</v>
      </c>
      <c r="AE178" s="77">
        <v>2</v>
      </c>
      <c r="AF178" s="77">
        <v>1.5</v>
      </c>
      <c r="AG178" s="77">
        <v>3</v>
      </c>
      <c r="AH178" s="150" t="s">
        <v>3321</v>
      </c>
    </row>
    <row r="179" spans="1:34">
      <c r="A179" s="146" t="s">
        <v>6349</v>
      </c>
      <c r="B179" s="147" t="s">
        <v>6333</v>
      </c>
      <c r="C179" s="153">
        <v>3</v>
      </c>
      <c r="D179" s="153">
        <v>2.5</v>
      </c>
      <c r="E179" s="153">
        <v>2</v>
      </c>
      <c r="F179" s="153">
        <v>2</v>
      </c>
      <c r="G179" s="153">
        <v>3</v>
      </c>
      <c r="H179" s="153"/>
      <c r="I179" s="153" t="s">
        <v>3122</v>
      </c>
      <c r="J179" s="46"/>
      <c r="K179" s="196">
        <v>3</v>
      </c>
      <c r="L179" s="196">
        <v>2.5</v>
      </c>
      <c r="M179" s="196">
        <v>1.5</v>
      </c>
      <c r="N179" s="196">
        <v>1.5</v>
      </c>
      <c r="O179" s="196">
        <v>3</v>
      </c>
      <c r="P179" s="196" t="s">
        <v>3818</v>
      </c>
      <c r="Q179" s="77">
        <v>3</v>
      </c>
      <c r="R179" s="77">
        <v>2</v>
      </c>
      <c r="S179" s="77">
        <v>2</v>
      </c>
      <c r="T179" s="77">
        <v>2</v>
      </c>
      <c r="U179" s="77">
        <v>3</v>
      </c>
      <c r="V179" s="196" t="s">
        <v>5917</v>
      </c>
      <c r="W179" s="196">
        <v>3</v>
      </c>
      <c r="X179" s="196">
        <v>2.5</v>
      </c>
      <c r="Y179" s="196">
        <v>2</v>
      </c>
      <c r="Z179" s="196">
        <v>2</v>
      </c>
      <c r="AA179" s="196">
        <v>3</v>
      </c>
      <c r="AB179" s="196" t="s">
        <v>62</v>
      </c>
      <c r="AC179" s="77">
        <v>3</v>
      </c>
      <c r="AD179" s="77">
        <v>2.5</v>
      </c>
      <c r="AE179" s="77">
        <v>2</v>
      </c>
      <c r="AF179" s="77">
        <v>2.5</v>
      </c>
      <c r="AG179" s="77">
        <v>3</v>
      </c>
      <c r="AH179" s="150" t="s">
        <v>3244</v>
      </c>
    </row>
    <row r="180" spans="1:34">
      <c r="A180" s="146" t="s">
        <v>6349</v>
      </c>
      <c r="B180" s="147" t="s">
        <v>6334</v>
      </c>
      <c r="C180" s="153">
        <v>3</v>
      </c>
      <c r="D180" s="153">
        <v>2</v>
      </c>
      <c r="E180" s="153">
        <v>2</v>
      </c>
      <c r="F180" s="153">
        <v>2</v>
      </c>
      <c r="G180" s="153">
        <v>3</v>
      </c>
      <c r="H180" s="153"/>
      <c r="I180" s="153" t="s">
        <v>3125</v>
      </c>
      <c r="J180" s="46"/>
      <c r="K180" s="196">
        <v>3</v>
      </c>
      <c r="L180" s="196">
        <v>2.5</v>
      </c>
      <c r="M180" s="196">
        <v>1.5</v>
      </c>
      <c r="N180" s="196">
        <v>2</v>
      </c>
      <c r="O180" s="196">
        <v>3</v>
      </c>
      <c r="P180" s="196" t="s">
        <v>3818</v>
      </c>
      <c r="Q180" s="77">
        <v>3</v>
      </c>
      <c r="R180" s="77">
        <v>2</v>
      </c>
      <c r="S180" s="77">
        <v>1.5</v>
      </c>
      <c r="T180" s="77">
        <v>1.5</v>
      </c>
      <c r="U180" s="77">
        <v>3</v>
      </c>
      <c r="V180" s="196" t="s">
        <v>3818</v>
      </c>
      <c r="W180" s="196">
        <v>3</v>
      </c>
      <c r="X180" s="196">
        <v>2.5</v>
      </c>
      <c r="Y180" s="196">
        <v>2</v>
      </c>
      <c r="Z180" s="196">
        <v>2</v>
      </c>
      <c r="AA180" s="196">
        <v>3</v>
      </c>
      <c r="AB180" s="196" t="s">
        <v>62</v>
      </c>
      <c r="AC180" s="77">
        <v>3</v>
      </c>
      <c r="AD180" s="77">
        <v>2.5</v>
      </c>
      <c r="AE180" s="77">
        <v>2</v>
      </c>
      <c r="AF180" s="77">
        <v>1.5</v>
      </c>
      <c r="AG180" s="77">
        <v>3</v>
      </c>
      <c r="AH180" s="150" t="s">
        <v>3321</v>
      </c>
    </row>
    <row r="181" spans="1:34">
      <c r="A181" s="146" t="s">
        <v>6349</v>
      </c>
      <c r="B181" s="147" t="s">
        <v>6335</v>
      </c>
      <c r="C181" s="153">
        <v>3</v>
      </c>
      <c r="D181" s="153">
        <v>2</v>
      </c>
      <c r="E181" s="153">
        <v>2</v>
      </c>
      <c r="F181" s="153">
        <v>1.5</v>
      </c>
      <c r="G181" s="153">
        <v>3</v>
      </c>
      <c r="H181" s="153"/>
      <c r="I181" s="153" t="s">
        <v>3125</v>
      </c>
      <c r="J181" s="46"/>
      <c r="K181" s="196">
        <v>3</v>
      </c>
      <c r="L181" s="196">
        <v>2.5</v>
      </c>
      <c r="M181" s="196">
        <v>1.5</v>
      </c>
      <c r="N181" s="196">
        <v>2</v>
      </c>
      <c r="O181" s="196">
        <v>3</v>
      </c>
      <c r="P181" s="196" t="s">
        <v>3818</v>
      </c>
      <c r="Q181" s="77">
        <v>3</v>
      </c>
      <c r="R181" s="77">
        <v>2.5</v>
      </c>
      <c r="S181" s="77">
        <v>2</v>
      </c>
      <c r="T181" s="77">
        <v>2</v>
      </c>
      <c r="U181" s="77">
        <v>3</v>
      </c>
      <c r="V181" s="196" t="s">
        <v>62</v>
      </c>
      <c r="W181" s="196">
        <v>3</v>
      </c>
      <c r="X181" s="196">
        <v>2.5</v>
      </c>
      <c r="Y181" s="196">
        <v>2</v>
      </c>
      <c r="Z181" s="196">
        <v>2</v>
      </c>
      <c r="AA181" s="196">
        <v>3</v>
      </c>
      <c r="AB181" s="196" t="s">
        <v>62</v>
      </c>
      <c r="AC181" s="77">
        <v>3</v>
      </c>
      <c r="AD181" s="77">
        <v>2.5</v>
      </c>
      <c r="AE181" s="77">
        <v>2</v>
      </c>
      <c r="AF181" s="77">
        <v>2</v>
      </c>
      <c r="AG181" s="77">
        <v>3</v>
      </c>
      <c r="AH181" s="150" t="s">
        <v>4970</v>
      </c>
    </row>
    <row r="182" spans="1:34">
      <c r="A182" s="146" t="s">
        <v>6349</v>
      </c>
      <c r="B182" s="147" t="s">
        <v>6337</v>
      </c>
      <c r="C182" s="153">
        <v>3</v>
      </c>
      <c r="D182" s="153">
        <v>2</v>
      </c>
      <c r="E182" s="153">
        <v>2</v>
      </c>
      <c r="F182" s="153">
        <v>2</v>
      </c>
      <c r="G182" s="153">
        <v>3</v>
      </c>
      <c r="H182" s="153"/>
      <c r="I182" s="198" t="s">
        <v>105</v>
      </c>
      <c r="J182" s="46" t="s">
        <v>5878</v>
      </c>
      <c r="K182" s="196">
        <v>3</v>
      </c>
      <c r="L182" s="196">
        <v>2</v>
      </c>
      <c r="M182" s="196">
        <v>2</v>
      </c>
      <c r="N182" s="196">
        <v>2</v>
      </c>
      <c r="O182" s="196">
        <v>3</v>
      </c>
      <c r="P182" s="196" t="s">
        <v>5917</v>
      </c>
      <c r="Q182" s="77">
        <v>3</v>
      </c>
      <c r="R182" s="77">
        <v>2</v>
      </c>
      <c r="S182" s="77">
        <v>2</v>
      </c>
      <c r="T182" s="77">
        <v>1.5</v>
      </c>
      <c r="U182" s="77">
        <v>3</v>
      </c>
      <c r="V182" s="196" t="s">
        <v>3818</v>
      </c>
      <c r="W182" s="196">
        <v>3</v>
      </c>
      <c r="X182" s="196">
        <v>2.5</v>
      </c>
      <c r="Y182" s="196">
        <v>2</v>
      </c>
      <c r="Z182" s="196">
        <v>2</v>
      </c>
      <c r="AA182" s="196">
        <v>3</v>
      </c>
      <c r="AB182" s="196" t="s">
        <v>62</v>
      </c>
      <c r="AC182" s="77">
        <v>3</v>
      </c>
      <c r="AD182" s="77">
        <v>2.5</v>
      </c>
      <c r="AE182" s="77">
        <v>2</v>
      </c>
      <c r="AF182" s="77">
        <v>2.5</v>
      </c>
      <c r="AG182" s="77">
        <v>3</v>
      </c>
      <c r="AH182" s="150" t="s">
        <v>3244</v>
      </c>
    </row>
    <row r="183" spans="1:34">
      <c r="A183" s="146" t="s">
        <v>6349</v>
      </c>
      <c r="B183" s="147" t="s">
        <v>6338</v>
      </c>
      <c r="C183" s="153">
        <v>3</v>
      </c>
      <c r="D183" s="153">
        <v>2.5</v>
      </c>
      <c r="E183" s="153">
        <v>2</v>
      </c>
      <c r="F183" s="153">
        <v>2</v>
      </c>
      <c r="G183" s="153">
        <v>3</v>
      </c>
      <c r="H183" s="153"/>
      <c r="I183" s="153" t="s">
        <v>52</v>
      </c>
      <c r="J183" s="46" t="s">
        <v>5878</v>
      </c>
      <c r="K183" s="196">
        <v>3</v>
      </c>
      <c r="L183" s="196">
        <v>2</v>
      </c>
      <c r="M183" s="196">
        <v>2</v>
      </c>
      <c r="N183" s="196">
        <v>1.5</v>
      </c>
      <c r="O183" s="196">
        <v>3</v>
      </c>
      <c r="P183" s="196" t="s">
        <v>3818</v>
      </c>
      <c r="Q183" s="77">
        <v>3</v>
      </c>
      <c r="R183" s="77">
        <v>2.5</v>
      </c>
      <c r="S183" s="77">
        <v>2</v>
      </c>
      <c r="T183" s="77">
        <v>1.5</v>
      </c>
      <c r="U183" s="77">
        <v>3</v>
      </c>
      <c r="V183" s="196" t="s">
        <v>3818</v>
      </c>
      <c r="W183" s="196">
        <v>3</v>
      </c>
      <c r="X183" s="196">
        <v>2.5</v>
      </c>
      <c r="Y183" s="196">
        <v>2</v>
      </c>
      <c r="Z183" s="196">
        <v>1.5</v>
      </c>
      <c r="AA183" s="196">
        <v>3</v>
      </c>
      <c r="AB183" s="196" t="s">
        <v>6350</v>
      </c>
      <c r="AC183" s="77">
        <v>3</v>
      </c>
      <c r="AD183" s="77">
        <v>2.5</v>
      </c>
      <c r="AE183" s="77">
        <v>2</v>
      </c>
      <c r="AF183" s="77">
        <v>1.5</v>
      </c>
      <c r="AG183" s="77">
        <v>3</v>
      </c>
      <c r="AH183" s="150" t="s">
        <v>3818</v>
      </c>
    </row>
    <row r="184" spans="1:34">
      <c r="A184" s="146" t="s">
        <v>6349</v>
      </c>
      <c r="B184" s="147" t="s">
        <v>6340</v>
      </c>
      <c r="C184" s="153">
        <v>3</v>
      </c>
      <c r="D184" s="153">
        <v>3</v>
      </c>
      <c r="E184" s="153">
        <v>2</v>
      </c>
      <c r="F184" s="153">
        <v>1.5</v>
      </c>
      <c r="G184" s="153">
        <v>3</v>
      </c>
      <c r="H184" s="153"/>
      <c r="I184" s="153" t="s">
        <v>105</v>
      </c>
      <c r="J184" s="46" t="s">
        <v>5878</v>
      </c>
      <c r="K184" s="196">
        <v>3</v>
      </c>
      <c r="L184" s="196">
        <v>2</v>
      </c>
      <c r="M184" s="196">
        <v>2</v>
      </c>
      <c r="N184" s="196">
        <v>2</v>
      </c>
      <c r="O184" s="196">
        <v>3</v>
      </c>
      <c r="P184" s="196" t="s">
        <v>5917</v>
      </c>
      <c r="Q184" s="77">
        <v>3</v>
      </c>
      <c r="R184" s="77">
        <v>2</v>
      </c>
      <c r="S184" s="77">
        <v>2</v>
      </c>
      <c r="T184" s="77">
        <v>2</v>
      </c>
      <c r="U184" s="77">
        <v>3</v>
      </c>
      <c r="V184" s="196" t="s">
        <v>5917</v>
      </c>
      <c r="W184" s="196">
        <v>3</v>
      </c>
      <c r="X184" s="196">
        <v>2.5</v>
      </c>
      <c r="Y184" s="196">
        <v>2</v>
      </c>
      <c r="Z184" s="196">
        <v>2</v>
      </c>
      <c r="AA184" s="196">
        <v>3</v>
      </c>
      <c r="AB184" s="196" t="s">
        <v>5877</v>
      </c>
      <c r="AC184" s="77">
        <v>3</v>
      </c>
      <c r="AD184" s="77">
        <v>2.5</v>
      </c>
      <c r="AE184" s="77">
        <v>2</v>
      </c>
      <c r="AF184" s="77">
        <v>1.5</v>
      </c>
      <c r="AG184" s="77">
        <v>3</v>
      </c>
      <c r="AH184" s="150" t="s">
        <v>3321</v>
      </c>
    </row>
    <row r="185" spans="1:34">
      <c r="A185" s="151">
        <v>163</v>
      </c>
      <c r="B185" s="152" t="s">
        <v>6139</v>
      </c>
      <c r="C185" s="77">
        <v>3</v>
      </c>
      <c r="D185" s="77">
        <v>2.5</v>
      </c>
      <c r="E185" s="77">
        <v>2.5</v>
      </c>
      <c r="F185" s="77">
        <v>1.5</v>
      </c>
      <c r="G185" s="77">
        <v>3</v>
      </c>
      <c r="H185" s="103" t="s">
        <v>5714</v>
      </c>
      <c r="I185" s="153" t="s">
        <v>3122</v>
      </c>
      <c r="J185" s="46"/>
      <c r="K185" s="197">
        <v>3</v>
      </c>
      <c r="L185" s="197">
        <v>2.5</v>
      </c>
      <c r="M185" s="197">
        <v>2.5</v>
      </c>
      <c r="N185" s="197">
        <v>1.5</v>
      </c>
      <c r="O185" s="197">
        <v>3</v>
      </c>
      <c r="P185" s="197" t="s">
        <v>62</v>
      </c>
      <c r="Q185" s="197"/>
      <c r="R185" s="197"/>
      <c r="S185" s="197"/>
      <c r="T185" s="197"/>
      <c r="U185" s="197"/>
      <c r="V185" s="197"/>
      <c r="W185" s="197">
        <v>3</v>
      </c>
      <c r="X185" s="197">
        <v>2.5</v>
      </c>
      <c r="Y185" s="197">
        <v>2.5</v>
      </c>
      <c r="Z185" s="197">
        <v>2</v>
      </c>
      <c r="AA185" s="197">
        <v>3</v>
      </c>
      <c r="AB185" s="197" t="s">
        <v>5918</v>
      </c>
      <c r="AC185" s="77">
        <v>3</v>
      </c>
      <c r="AD185" s="77">
        <v>3</v>
      </c>
      <c r="AE185" s="77">
        <v>2.5</v>
      </c>
      <c r="AF185" s="77">
        <v>2</v>
      </c>
      <c r="AG185" s="77">
        <v>3</v>
      </c>
      <c r="AH185" s="150" t="s">
        <v>502</v>
      </c>
    </row>
    <row r="186" spans="1:34">
      <c r="A186" s="146">
        <v>163</v>
      </c>
      <c r="B186" s="147" t="s">
        <v>6141</v>
      </c>
      <c r="C186" s="77">
        <v>3</v>
      </c>
      <c r="D186" s="77">
        <v>2.5</v>
      </c>
      <c r="E186" s="77">
        <v>2</v>
      </c>
      <c r="F186" s="77">
        <v>2</v>
      </c>
      <c r="G186" s="77">
        <v>3</v>
      </c>
      <c r="H186" s="103" t="s">
        <v>5714</v>
      </c>
      <c r="I186" s="153" t="s">
        <v>3122</v>
      </c>
      <c r="J186" s="46"/>
      <c r="K186" s="197">
        <v>3</v>
      </c>
      <c r="L186" s="197">
        <v>2</v>
      </c>
      <c r="M186" s="197">
        <v>2</v>
      </c>
      <c r="N186" s="197">
        <v>1.5</v>
      </c>
      <c r="O186" s="197">
        <v>3</v>
      </c>
      <c r="P186" s="197" t="s">
        <v>3321</v>
      </c>
      <c r="Q186" s="197"/>
      <c r="R186" s="197"/>
      <c r="S186" s="197"/>
      <c r="T186" s="197"/>
      <c r="U186" s="197"/>
      <c r="V186" s="197"/>
      <c r="W186" s="197">
        <v>3</v>
      </c>
      <c r="X186" s="197">
        <v>2.5</v>
      </c>
      <c r="Y186" s="197">
        <v>2</v>
      </c>
      <c r="Z186" s="197">
        <v>1.5</v>
      </c>
      <c r="AA186" s="197">
        <v>3</v>
      </c>
      <c r="AB186" s="197" t="s">
        <v>6355</v>
      </c>
      <c r="AC186" s="77">
        <v>3</v>
      </c>
      <c r="AD186" s="77">
        <v>2.5</v>
      </c>
      <c r="AE186" s="77">
        <v>2</v>
      </c>
      <c r="AF186" s="77">
        <v>2</v>
      </c>
      <c r="AG186" s="77">
        <v>3</v>
      </c>
      <c r="AH186" s="150" t="s">
        <v>4312</v>
      </c>
    </row>
    <row r="187" spans="1:34">
      <c r="A187" s="146">
        <v>163</v>
      </c>
      <c r="B187" s="147" t="s">
        <v>6148</v>
      </c>
      <c r="C187" s="77">
        <v>3</v>
      </c>
      <c r="D187" s="77">
        <v>2.5</v>
      </c>
      <c r="E187" s="77">
        <v>2</v>
      </c>
      <c r="F187" s="77">
        <v>2</v>
      </c>
      <c r="G187" s="77">
        <v>3</v>
      </c>
      <c r="H187" s="103" t="s">
        <v>5714</v>
      </c>
      <c r="I187" s="153" t="s">
        <v>3122</v>
      </c>
      <c r="J187" s="46"/>
      <c r="K187" s="197">
        <v>3</v>
      </c>
      <c r="L187" s="197">
        <v>2.5</v>
      </c>
      <c r="M187" s="197">
        <v>2</v>
      </c>
      <c r="N187" s="197">
        <v>1.5</v>
      </c>
      <c r="O187" s="197">
        <v>3</v>
      </c>
      <c r="P187" s="197" t="s">
        <v>3321</v>
      </c>
      <c r="Q187" s="197"/>
      <c r="R187" s="197"/>
      <c r="S187" s="197"/>
      <c r="T187" s="197"/>
      <c r="U187" s="197"/>
      <c r="V187" s="197"/>
      <c r="W187" s="197">
        <v>3</v>
      </c>
      <c r="X187" s="197">
        <v>2.5</v>
      </c>
      <c r="Y187" s="197">
        <v>2.5</v>
      </c>
      <c r="Z187" s="197">
        <v>2</v>
      </c>
      <c r="AA187" s="197">
        <v>3</v>
      </c>
      <c r="AB187" s="197" t="s">
        <v>5919</v>
      </c>
      <c r="AC187" s="77">
        <v>3</v>
      </c>
      <c r="AD187" s="77">
        <v>3</v>
      </c>
      <c r="AE187" s="77">
        <v>2</v>
      </c>
      <c r="AF187" s="77">
        <v>2</v>
      </c>
      <c r="AG187" s="77">
        <v>3</v>
      </c>
      <c r="AH187" s="150" t="s">
        <v>171</v>
      </c>
    </row>
    <row r="188" spans="1:34">
      <c r="A188" s="146">
        <v>163</v>
      </c>
      <c r="B188" s="147" t="s">
        <v>6150</v>
      </c>
      <c r="C188" s="77">
        <v>3</v>
      </c>
      <c r="D188" s="77">
        <v>2.5</v>
      </c>
      <c r="E188" s="77">
        <v>2.5</v>
      </c>
      <c r="F188" s="77">
        <v>2</v>
      </c>
      <c r="G188" s="77">
        <v>3</v>
      </c>
      <c r="H188" s="103" t="s">
        <v>59</v>
      </c>
      <c r="I188" s="153" t="s">
        <v>3122</v>
      </c>
      <c r="J188" s="46"/>
      <c r="K188" s="197">
        <v>3</v>
      </c>
      <c r="L188" s="197">
        <v>2.5</v>
      </c>
      <c r="M188" s="197">
        <v>2</v>
      </c>
      <c r="N188" s="197">
        <v>1.5</v>
      </c>
      <c r="O188" s="197">
        <v>3</v>
      </c>
      <c r="P188" s="197" t="s">
        <v>62</v>
      </c>
      <c r="Q188" s="197"/>
      <c r="R188" s="197"/>
      <c r="S188" s="197"/>
      <c r="T188" s="197"/>
      <c r="U188" s="197"/>
      <c r="V188" s="197"/>
      <c r="W188" s="197">
        <v>3</v>
      </c>
      <c r="X188" s="197">
        <v>2</v>
      </c>
      <c r="Y188" s="197">
        <v>2.5</v>
      </c>
      <c r="Z188" s="197">
        <v>2</v>
      </c>
      <c r="AA188" s="197">
        <v>3</v>
      </c>
      <c r="AB188" s="197" t="s">
        <v>5917</v>
      </c>
      <c r="AC188" s="77">
        <v>3</v>
      </c>
      <c r="AD188" s="77">
        <v>2.5</v>
      </c>
      <c r="AE188" s="77">
        <v>2.5</v>
      </c>
      <c r="AF188" s="77">
        <v>2</v>
      </c>
      <c r="AG188" s="77">
        <v>3</v>
      </c>
      <c r="AH188" s="150" t="s">
        <v>4212</v>
      </c>
    </row>
    <row r="189" spans="1:34">
      <c r="A189" s="146">
        <v>165</v>
      </c>
      <c r="B189" s="147" t="s">
        <v>5889</v>
      </c>
      <c r="C189" s="77">
        <v>3</v>
      </c>
      <c r="D189" s="77">
        <v>2.5</v>
      </c>
      <c r="E189" s="77">
        <v>2</v>
      </c>
      <c r="F189" s="77">
        <v>2</v>
      </c>
      <c r="G189" s="77">
        <v>3</v>
      </c>
      <c r="H189" s="103" t="s">
        <v>5714</v>
      </c>
      <c r="I189" s="153" t="s">
        <v>3122</v>
      </c>
      <c r="J189" s="46"/>
      <c r="K189" s="197">
        <v>3</v>
      </c>
      <c r="L189" s="197">
        <v>2.5</v>
      </c>
      <c r="M189" s="197">
        <v>2</v>
      </c>
      <c r="N189" s="197">
        <v>2</v>
      </c>
      <c r="O189" s="197">
        <v>3</v>
      </c>
      <c r="P189" s="197" t="s">
        <v>62</v>
      </c>
      <c r="Q189" s="197"/>
      <c r="R189" s="197"/>
      <c r="S189" s="197"/>
      <c r="T189" s="197"/>
      <c r="U189" s="197"/>
      <c r="V189" s="197"/>
      <c r="W189" s="197">
        <v>3</v>
      </c>
      <c r="X189" s="197">
        <v>2.5</v>
      </c>
      <c r="Y189" s="197">
        <v>2</v>
      </c>
      <c r="Z189" s="197">
        <v>2.5</v>
      </c>
      <c r="AA189" s="197">
        <v>3</v>
      </c>
      <c r="AB189" s="197" t="s">
        <v>5916</v>
      </c>
      <c r="AC189" s="77">
        <v>3</v>
      </c>
      <c r="AD189" s="77">
        <v>2.5</v>
      </c>
      <c r="AE189" s="77">
        <v>2.5</v>
      </c>
      <c r="AF189" s="77">
        <v>2.5</v>
      </c>
      <c r="AG189" s="77">
        <v>3</v>
      </c>
      <c r="AH189" s="150" t="s">
        <v>502</v>
      </c>
    </row>
    <row r="190" spans="1:34">
      <c r="A190" s="146">
        <v>165</v>
      </c>
      <c r="B190" s="147" t="s">
        <v>5898</v>
      </c>
      <c r="C190" s="77">
        <v>3</v>
      </c>
      <c r="D190" s="77">
        <v>2.5</v>
      </c>
      <c r="E190" s="77">
        <v>2</v>
      </c>
      <c r="F190" s="77">
        <v>2.5</v>
      </c>
      <c r="G190" s="77">
        <v>3</v>
      </c>
      <c r="H190" s="103" t="s">
        <v>59</v>
      </c>
      <c r="I190" s="153" t="s">
        <v>3122</v>
      </c>
      <c r="J190" s="46"/>
      <c r="K190" s="197">
        <v>3</v>
      </c>
      <c r="L190" s="197">
        <v>2</v>
      </c>
      <c r="M190" s="197">
        <v>2.5</v>
      </c>
      <c r="N190" s="197">
        <v>3</v>
      </c>
      <c r="O190" s="197">
        <v>3</v>
      </c>
      <c r="P190" s="197" t="s">
        <v>62</v>
      </c>
      <c r="Q190" s="197"/>
      <c r="R190" s="197"/>
      <c r="S190" s="197"/>
      <c r="T190" s="197"/>
      <c r="U190" s="197"/>
      <c r="V190" s="197"/>
      <c r="W190" s="197">
        <v>3</v>
      </c>
      <c r="X190" s="197">
        <v>2.5</v>
      </c>
      <c r="Y190" s="197">
        <v>2</v>
      </c>
      <c r="Z190" s="197">
        <v>2.5</v>
      </c>
      <c r="AA190" s="197">
        <v>3</v>
      </c>
      <c r="AB190" s="197" t="s">
        <v>5916</v>
      </c>
      <c r="AC190" s="77">
        <v>3</v>
      </c>
      <c r="AD190" s="77">
        <v>2.5</v>
      </c>
      <c r="AE190" s="77">
        <v>2.5</v>
      </c>
      <c r="AF190" s="77">
        <v>2.5</v>
      </c>
      <c r="AG190" s="77">
        <v>3</v>
      </c>
      <c r="AH190" s="150" t="s">
        <v>171</v>
      </c>
    </row>
    <row r="191" spans="1:34">
      <c r="A191" s="146">
        <v>165</v>
      </c>
      <c r="B191" s="147" t="s">
        <v>5908</v>
      </c>
      <c r="C191" s="77">
        <v>3</v>
      </c>
      <c r="D191" s="77">
        <v>2.5</v>
      </c>
      <c r="E191" s="77">
        <v>2.5</v>
      </c>
      <c r="F191" s="77">
        <v>2</v>
      </c>
      <c r="G191" s="77">
        <v>3</v>
      </c>
      <c r="H191" s="103" t="s">
        <v>59</v>
      </c>
      <c r="I191" s="153" t="s">
        <v>3122</v>
      </c>
      <c r="J191" s="46"/>
      <c r="K191" s="197">
        <v>3</v>
      </c>
      <c r="L191" s="197">
        <v>2</v>
      </c>
      <c r="M191" s="197">
        <v>2.5</v>
      </c>
      <c r="N191" s="197">
        <v>2</v>
      </c>
      <c r="O191" s="197">
        <v>3</v>
      </c>
      <c r="P191" s="197" t="s">
        <v>62</v>
      </c>
      <c r="Q191" s="197"/>
      <c r="R191" s="197"/>
      <c r="S191" s="197"/>
      <c r="T191" s="197"/>
      <c r="U191" s="197"/>
      <c r="V191" s="197"/>
      <c r="W191" s="197">
        <v>3</v>
      </c>
      <c r="X191" s="197">
        <v>2.5</v>
      </c>
      <c r="Y191" s="197">
        <v>2.5</v>
      </c>
      <c r="Z191" s="197">
        <v>2</v>
      </c>
      <c r="AA191" s="197">
        <v>3</v>
      </c>
      <c r="AB191" s="197" t="s">
        <v>5918</v>
      </c>
      <c r="AC191" s="77">
        <v>3</v>
      </c>
      <c r="AD191" s="77">
        <v>2.5</v>
      </c>
      <c r="AE191" s="77">
        <v>2.5</v>
      </c>
      <c r="AF191" s="77">
        <v>2</v>
      </c>
      <c r="AG191" s="77">
        <v>3</v>
      </c>
      <c r="AH191" s="150" t="s">
        <v>4409</v>
      </c>
    </row>
    <row r="192" spans="1:34">
      <c r="A192" s="146">
        <v>166</v>
      </c>
      <c r="B192" s="147" t="s">
        <v>6239</v>
      </c>
      <c r="C192" s="77">
        <v>3</v>
      </c>
      <c r="D192" s="77">
        <v>3</v>
      </c>
      <c r="E192" s="77">
        <v>2</v>
      </c>
      <c r="F192" s="77">
        <v>2</v>
      </c>
      <c r="G192" s="77">
        <v>3</v>
      </c>
      <c r="H192" s="103" t="s">
        <v>5714</v>
      </c>
      <c r="I192" s="153" t="s">
        <v>3122</v>
      </c>
      <c r="J192" s="46"/>
      <c r="K192" s="197">
        <v>3</v>
      </c>
      <c r="L192" s="197">
        <v>2.5</v>
      </c>
      <c r="M192" s="197">
        <v>2</v>
      </c>
      <c r="N192" s="197">
        <v>2</v>
      </c>
      <c r="O192" s="197">
        <v>3</v>
      </c>
      <c r="P192" s="197" t="s">
        <v>62</v>
      </c>
      <c r="Q192" s="197"/>
      <c r="R192" s="197"/>
      <c r="S192" s="197"/>
      <c r="T192" s="197"/>
      <c r="U192" s="197"/>
      <c r="V192" s="197"/>
      <c r="W192" s="197">
        <v>3</v>
      </c>
      <c r="X192" s="197">
        <v>2.5</v>
      </c>
      <c r="Y192" s="197">
        <v>2</v>
      </c>
      <c r="Z192" s="197">
        <v>2</v>
      </c>
      <c r="AA192" s="197">
        <v>3</v>
      </c>
      <c r="AB192" s="197" t="s">
        <v>5917</v>
      </c>
      <c r="AC192" s="77">
        <v>3</v>
      </c>
      <c r="AD192" s="77">
        <v>2.5</v>
      </c>
      <c r="AE192" s="77">
        <v>2</v>
      </c>
      <c r="AF192" s="77">
        <v>2</v>
      </c>
      <c r="AG192" s="77">
        <v>3</v>
      </c>
      <c r="AH192" s="150" t="s">
        <v>62</v>
      </c>
    </row>
    <row r="193" spans="1:34">
      <c r="A193" s="146">
        <v>166</v>
      </c>
      <c r="B193" s="147" t="s">
        <v>6244</v>
      </c>
      <c r="C193" s="77">
        <v>3</v>
      </c>
      <c r="D193" s="77">
        <v>3</v>
      </c>
      <c r="E193" s="77">
        <v>2</v>
      </c>
      <c r="F193" s="77">
        <v>2</v>
      </c>
      <c r="G193" s="77">
        <v>3</v>
      </c>
      <c r="H193" s="103" t="s">
        <v>59</v>
      </c>
      <c r="I193" s="153" t="s">
        <v>3122</v>
      </c>
      <c r="J193" s="46"/>
      <c r="K193" s="197">
        <v>3</v>
      </c>
      <c r="L193" s="197">
        <v>2</v>
      </c>
      <c r="M193" s="197">
        <v>2</v>
      </c>
      <c r="N193" s="197">
        <v>2</v>
      </c>
      <c r="O193" s="197">
        <v>3</v>
      </c>
      <c r="P193" s="197" t="s">
        <v>62</v>
      </c>
      <c r="Q193" s="197"/>
      <c r="R193" s="197"/>
      <c r="S193" s="197"/>
      <c r="T193" s="197"/>
      <c r="U193" s="197"/>
      <c r="V193" s="197"/>
      <c r="W193" s="197">
        <v>3</v>
      </c>
      <c r="X193" s="197">
        <v>2.5</v>
      </c>
      <c r="Y193" s="197">
        <v>2</v>
      </c>
      <c r="Z193" s="197">
        <v>2.5</v>
      </c>
      <c r="AA193" s="197">
        <v>3</v>
      </c>
      <c r="AB193" s="197" t="s">
        <v>5918</v>
      </c>
      <c r="AC193" s="77">
        <v>3</v>
      </c>
      <c r="AD193" s="77">
        <v>2</v>
      </c>
      <c r="AE193" s="77">
        <v>2</v>
      </c>
      <c r="AF193" s="77">
        <v>2</v>
      </c>
      <c r="AG193" s="77">
        <v>3</v>
      </c>
      <c r="AH193" s="150" t="s">
        <v>6356</v>
      </c>
    </row>
    <row r="194" spans="1:34">
      <c r="A194" s="146">
        <v>169</v>
      </c>
      <c r="B194" s="147" t="s">
        <v>6357</v>
      </c>
      <c r="C194" s="77">
        <v>3</v>
      </c>
      <c r="D194" s="77">
        <v>2.5</v>
      </c>
      <c r="E194" s="77">
        <v>2</v>
      </c>
      <c r="F194" s="77">
        <v>2</v>
      </c>
      <c r="G194" s="77">
        <v>3</v>
      </c>
      <c r="H194" s="153" t="s">
        <v>5870</v>
      </c>
      <c r="I194" s="153" t="s">
        <v>3125</v>
      </c>
      <c r="J194" s="46"/>
      <c r="K194" s="199">
        <v>3</v>
      </c>
      <c r="L194" s="199">
        <v>2.5</v>
      </c>
      <c r="M194" s="199">
        <v>2</v>
      </c>
      <c r="N194" s="199">
        <v>1.5</v>
      </c>
      <c r="O194" s="199">
        <v>3</v>
      </c>
      <c r="P194" s="199" t="s">
        <v>62</v>
      </c>
      <c r="Q194" s="77">
        <v>3</v>
      </c>
      <c r="R194" s="77">
        <v>2.5</v>
      </c>
      <c r="S194" s="77">
        <v>2</v>
      </c>
      <c r="T194" s="77">
        <v>2</v>
      </c>
      <c r="U194" s="77">
        <v>3</v>
      </c>
      <c r="V194" s="199" t="s">
        <v>5874</v>
      </c>
      <c r="W194" s="199">
        <v>3</v>
      </c>
      <c r="X194" s="199">
        <v>2.5</v>
      </c>
      <c r="Y194" s="199">
        <v>2</v>
      </c>
      <c r="Z194" s="199">
        <v>2.5</v>
      </c>
      <c r="AA194" s="199">
        <v>3</v>
      </c>
      <c r="AB194" s="199" t="s">
        <v>5961</v>
      </c>
      <c r="AC194" s="77">
        <v>3</v>
      </c>
      <c r="AD194" s="77">
        <v>2.5</v>
      </c>
      <c r="AE194" s="77">
        <v>2</v>
      </c>
      <c r="AF194" s="77">
        <v>2</v>
      </c>
      <c r="AG194" s="77">
        <v>3</v>
      </c>
      <c r="AH194" s="150" t="s">
        <v>4891</v>
      </c>
    </row>
    <row r="195" spans="1:34">
      <c r="A195" s="146">
        <v>169</v>
      </c>
      <c r="B195" s="147" t="s">
        <v>6360</v>
      </c>
      <c r="C195" s="77">
        <v>3</v>
      </c>
      <c r="D195" s="77">
        <v>3</v>
      </c>
      <c r="E195" s="77">
        <v>2</v>
      </c>
      <c r="F195" s="77">
        <v>2</v>
      </c>
      <c r="G195" s="77">
        <v>3</v>
      </c>
      <c r="H195" s="153"/>
      <c r="I195" s="153" t="s">
        <v>3173</v>
      </c>
      <c r="J195" s="46" t="s">
        <v>5878</v>
      </c>
      <c r="K195" s="199">
        <v>3</v>
      </c>
      <c r="L195" s="199">
        <v>2.5</v>
      </c>
      <c r="M195" s="199">
        <v>2</v>
      </c>
      <c r="N195" s="199">
        <v>2</v>
      </c>
      <c r="O195" s="199">
        <v>3</v>
      </c>
      <c r="P195" s="199" t="s">
        <v>5999</v>
      </c>
      <c r="Q195" s="77">
        <v>3</v>
      </c>
      <c r="R195" s="77">
        <v>2.5</v>
      </c>
      <c r="S195" s="77">
        <v>2</v>
      </c>
      <c r="T195" s="77">
        <v>2</v>
      </c>
      <c r="U195" s="77">
        <v>3</v>
      </c>
      <c r="V195" s="199" t="s">
        <v>5874</v>
      </c>
      <c r="W195" s="199">
        <v>3</v>
      </c>
      <c r="X195" s="199">
        <v>2.5</v>
      </c>
      <c r="Y195" s="199">
        <v>2</v>
      </c>
      <c r="Z195" s="199">
        <v>2.5</v>
      </c>
      <c r="AA195" s="199">
        <v>3</v>
      </c>
      <c r="AB195" s="199" t="s">
        <v>5874</v>
      </c>
      <c r="AC195" s="77">
        <v>3</v>
      </c>
      <c r="AD195" s="77">
        <v>2.5</v>
      </c>
      <c r="AE195" s="77">
        <v>2</v>
      </c>
      <c r="AF195" s="77">
        <v>2.5</v>
      </c>
      <c r="AG195" s="77">
        <v>3</v>
      </c>
      <c r="AH195" s="150" t="s">
        <v>171</v>
      </c>
    </row>
    <row r="196" spans="1:34">
      <c r="A196" s="146">
        <v>169</v>
      </c>
      <c r="B196" s="147" t="s">
        <v>6362</v>
      </c>
      <c r="C196" s="77">
        <v>3</v>
      </c>
      <c r="D196" s="77">
        <v>3</v>
      </c>
      <c r="E196" s="77">
        <v>2</v>
      </c>
      <c r="F196" s="77">
        <v>2</v>
      </c>
      <c r="G196" s="77">
        <v>3</v>
      </c>
      <c r="H196" s="153"/>
      <c r="I196" s="153" t="s">
        <v>3173</v>
      </c>
      <c r="J196" s="46" t="s">
        <v>5878</v>
      </c>
      <c r="K196" s="199">
        <v>3</v>
      </c>
      <c r="L196" s="199">
        <v>2.5</v>
      </c>
      <c r="M196" s="199">
        <v>2</v>
      </c>
      <c r="N196" s="199">
        <v>1.5</v>
      </c>
      <c r="O196" s="199">
        <v>3</v>
      </c>
      <c r="P196" s="199" t="s">
        <v>3321</v>
      </c>
      <c r="Q196" s="77">
        <v>3</v>
      </c>
      <c r="R196" s="77">
        <v>2.5</v>
      </c>
      <c r="S196" s="77">
        <v>2</v>
      </c>
      <c r="T196" s="77">
        <v>2</v>
      </c>
      <c r="U196" s="77">
        <v>3</v>
      </c>
      <c r="V196" s="199" t="s">
        <v>5874</v>
      </c>
      <c r="W196" s="199">
        <v>3</v>
      </c>
      <c r="X196" s="199">
        <v>2.5</v>
      </c>
      <c r="Y196" s="199">
        <v>2</v>
      </c>
      <c r="Z196" s="199">
        <v>2.5</v>
      </c>
      <c r="AA196" s="199">
        <v>3</v>
      </c>
      <c r="AB196" s="199" t="s">
        <v>5961</v>
      </c>
      <c r="AC196" s="77">
        <v>3</v>
      </c>
      <c r="AD196" s="77">
        <v>2.5</v>
      </c>
      <c r="AE196" s="77">
        <v>2</v>
      </c>
      <c r="AF196" s="77">
        <v>2</v>
      </c>
      <c r="AG196" s="77">
        <v>3</v>
      </c>
      <c r="AH196" s="150" t="s">
        <v>62</v>
      </c>
    </row>
    <row r="197" spans="1:34">
      <c r="A197" s="146">
        <v>169</v>
      </c>
      <c r="B197" s="147" t="s">
        <v>6364</v>
      </c>
      <c r="C197" s="77">
        <v>3</v>
      </c>
      <c r="D197" s="77">
        <v>3</v>
      </c>
      <c r="E197" s="77">
        <v>2</v>
      </c>
      <c r="F197" s="77">
        <v>2</v>
      </c>
      <c r="G197" s="77">
        <v>3</v>
      </c>
      <c r="H197" s="153"/>
      <c r="I197" s="153" t="s">
        <v>105</v>
      </c>
      <c r="J197" s="46" t="s">
        <v>5878</v>
      </c>
      <c r="K197" s="199">
        <v>3</v>
      </c>
      <c r="L197" s="199">
        <v>2.5</v>
      </c>
      <c r="M197" s="199">
        <v>2</v>
      </c>
      <c r="N197" s="199">
        <v>2.5</v>
      </c>
      <c r="O197" s="199">
        <v>3</v>
      </c>
      <c r="P197" s="199" t="s">
        <v>6264</v>
      </c>
      <c r="Q197" s="77">
        <v>3</v>
      </c>
      <c r="R197" s="77">
        <v>2</v>
      </c>
      <c r="S197" s="77">
        <v>2.5</v>
      </c>
      <c r="T197" s="77">
        <v>2.5</v>
      </c>
      <c r="U197" s="77">
        <v>3</v>
      </c>
      <c r="V197" s="199" t="s">
        <v>5961</v>
      </c>
      <c r="W197" s="199">
        <v>3</v>
      </c>
      <c r="X197" s="199">
        <v>2</v>
      </c>
      <c r="Y197" s="199">
        <v>2.5</v>
      </c>
      <c r="Z197" s="199">
        <v>2.5</v>
      </c>
      <c r="AA197" s="199">
        <v>3</v>
      </c>
      <c r="AB197" s="199" t="s">
        <v>5873</v>
      </c>
      <c r="AC197" s="77">
        <v>3</v>
      </c>
      <c r="AD197" s="77">
        <v>2.5</v>
      </c>
      <c r="AE197" s="77">
        <v>2</v>
      </c>
      <c r="AF197" s="77">
        <v>2.5</v>
      </c>
      <c r="AG197" s="77">
        <v>3</v>
      </c>
      <c r="AH197" s="150" t="s">
        <v>171</v>
      </c>
    </row>
    <row r="198" spans="1:34">
      <c r="A198" s="146">
        <v>169</v>
      </c>
      <c r="B198" s="147" t="s">
        <v>6366</v>
      </c>
      <c r="C198" s="77">
        <v>3</v>
      </c>
      <c r="D198" s="77">
        <v>2</v>
      </c>
      <c r="E198" s="77">
        <v>2</v>
      </c>
      <c r="F198" s="77">
        <v>2</v>
      </c>
      <c r="G198" s="77">
        <v>3</v>
      </c>
      <c r="H198" s="153" t="s">
        <v>5870</v>
      </c>
      <c r="I198" s="153" t="s">
        <v>3125</v>
      </c>
      <c r="J198" s="46"/>
      <c r="K198" s="199">
        <v>3</v>
      </c>
      <c r="L198" s="199">
        <v>2.5</v>
      </c>
      <c r="M198" s="199">
        <v>2</v>
      </c>
      <c r="N198" s="199">
        <v>2</v>
      </c>
      <c r="O198" s="199">
        <v>3</v>
      </c>
      <c r="P198" s="199" t="s">
        <v>5999</v>
      </c>
      <c r="Q198" s="77">
        <v>3</v>
      </c>
      <c r="R198" s="77">
        <v>2</v>
      </c>
      <c r="S198" s="77">
        <v>2</v>
      </c>
      <c r="T198" s="77">
        <v>2</v>
      </c>
      <c r="U198" s="77">
        <v>3</v>
      </c>
      <c r="V198" s="199" t="s">
        <v>62</v>
      </c>
      <c r="W198" s="199">
        <v>3</v>
      </c>
      <c r="X198" s="199">
        <v>2.5</v>
      </c>
      <c r="Y198" s="199">
        <v>2</v>
      </c>
      <c r="Z198" s="199">
        <v>2.5</v>
      </c>
      <c r="AA198" s="199">
        <v>3</v>
      </c>
      <c r="AB198" s="199" t="s">
        <v>5961</v>
      </c>
      <c r="AC198" s="77">
        <v>3</v>
      </c>
      <c r="AD198" s="77">
        <v>2.5</v>
      </c>
      <c r="AE198" s="77">
        <v>2</v>
      </c>
      <c r="AF198" s="77">
        <v>2</v>
      </c>
      <c r="AG198" s="77">
        <v>3</v>
      </c>
      <c r="AH198" s="150" t="s">
        <v>62</v>
      </c>
    </row>
    <row r="199" spans="1:34">
      <c r="A199" s="146">
        <v>169</v>
      </c>
      <c r="B199" s="147" t="s">
        <v>6368</v>
      </c>
      <c r="C199" s="77"/>
      <c r="D199" s="77"/>
      <c r="E199" s="77"/>
      <c r="F199" s="77"/>
      <c r="G199" s="77"/>
      <c r="H199" s="153"/>
      <c r="I199" s="202"/>
      <c r="J199" s="46"/>
      <c r="K199" s="199">
        <v>3</v>
      </c>
      <c r="L199" s="199">
        <v>1.5</v>
      </c>
      <c r="M199" s="199">
        <v>2</v>
      </c>
      <c r="N199" s="199">
        <v>1.5</v>
      </c>
      <c r="O199" s="199">
        <v>2.5</v>
      </c>
      <c r="P199" s="199" t="s">
        <v>3321</v>
      </c>
      <c r="Q199" s="77">
        <v>3</v>
      </c>
      <c r="R199" s="77">
        <v>2</v>
      </c>
      <c r="S199" s="77">
        <v>2.5</v>
      </c>
      <c r="T199" s="77">
        <v>2</v>
      </c>
      <c r="U199" s="77">
        <v>3</v>
      </c>
      <c r="V199" s="199" t="s">
        <v>5872</v>
      </c>
      <c r="W199" s="199">
        <v>3</v>
      </c>
      <c r="X199" s="199">
        <v>2</v>
      </c>
      <c r="Y199" s="199">
        <v>2.5</v>
      </c>
      <c r="Z199" s="199">
        <v>2</v>
      </c>
      <c r="AA199" s="199">
        <v>3</v>
      </c>
      <c r="AB199" s="199" t="s">
        <v>5872</v>
      </c>
      <c r="AC199" s="77">
        <v>3</v>
      </c>
      <c r="AD199" s="77">
        <v>2.5</v>
      </c>
      <c r="AE199" s="77">
        <v>2</v>
      </c>
      <c r="AF199" s="77">
        <v>2</v>
      </c>
      <c r="AG199" s="77">
        <v>3</v>
      </c>
      <c r="AH199" s="150" t="s">
        <v>4891</v>
      </c>
    </row>
    <row r="200" spans="1:34">
      <c r="A200" s="146">
        <v>169</v>
      </c>
      <c r="B200" s="147" t="s">
        <v>6370</v>
      </c>
      <c r="C200" s="77">
        <v>3</v>
      </c>
      <c r="D200" s="77">
        <v>2</v>
      </c>
      <c r="E200" s="77">
        <v>2</v>
      </c>
      <c r="F200" s="77">
        <v>2</v>
      </c>
      <c r="G200" s="77">
        <v>3</v>
      </c>
      <c r="H200" s="153"/>
      <c r="I200" s="153" t="s">
        <v>3125</v>
      </c>
      <c r="J200" s="46"/>
      <c r="K200" s="199">
        <v>3</v>
      </c>
      <c r="L200" s="199">
        <v>2.5</v>
      </c>
      <c r="M200" s="199">
        <v>2</v>
      </c>
      <c r="N200" s="199">
        <v>2</v>
      </c>
      <c r="O200" s="199">
        <v>3</v>
      </c>
      <c r="P200" s="199" t="s">
        <v>6384</v>
      </c>
      <c r="Q200" s="77">
        <v>3</v>
      </c>
      <c r="R200" s="77">
        <v>2.5</v>
      </c>
      <c r="S200" s="77">
        <v>2.5</v>
      </c>
      <c r="T200" s="77">
        <v>2.5</v>
      </c>
      <c r="U200" s="77">
        <v>3</v>
      </c>
      <c r="V200" s="199" t="s">
        <v>5873</v>
      </c>
      <c r="W200" s="199">
        <v>3</v>
      </c>
      <c r="X200" s="199">
        <v>2.5</v>
      </c>
      <c r="Y200" s="199">
        <v>2.5</v>
      </c>
      <c r="Z200" s="199">
        <v>2.5</v>
      </c>
      <c r="AA200" s="199">
        <v>3</v>
      </c>
      <c r="AB200" s="199" t="s">
        <v>5875</v>
      </c>
      <c r="AC200" s="77">
        <v>3</v>
      </c>
      <c r="AD200" s="77">
        <v>2.5</v>
      </c>
      <c r="AE200" s="77">
        <v>2.5</v>
      </c>
      <c r="AF200" s="77">
        <v>2.5</v>
      </c>
      <c r="AG200" s="77">
        <v>3</v>
      </c>
      <c r="AH200" s="150" t="s">
        <v>61</v>
      </c>
    </row>
    <row r="201" spans="1:34">
      <c r="A201" s="146">
        <v>169</v>
      </c>
      <c r="B201" s="147" t="s">
        <v>6372</v>
      </c>
      <c r="C201" s="77">
        <v>3</v>
      </c>
      <c r="D201" s="77">
        <v>2.5</v>
      </c>
      <c r="E201" s="77">
        <v>2</v>
      </c>
      <c r="F201" s="77">
        <v>2</v>
      </c>
      <c r="G201" s="77">
        <v>3</v>
      </c>
      <c r="H201" s="153" t="s">
        <v>5870</v>
      </c>
      <c r="I201" s="153" t="s">
        <v>3125</v>
      </c>
      <c r="J201" s="46"/>
      <c r="K201" s="199">
        <v>3</v>
      </c>
      <c r="L201" s="199">
        <v>2.5</v>
      </c>
      <c r="M201" s="199">
        <v>2</v>
      </c>
      <c r="N201" s="199">
        <v>2</v>
      </c>
      <c r="O201" s="199">
        <v>3</v>
      </c>
      <c r="P201" s="199" t="s">
        <v>5999</v>
      </c>
      <c r="Q201" s="77">
        <v>3</v>
      </c>
      <c r="R201" s="77">
        <v>2.5</v>
      </c>
      <c r="S201" s="77">
        <v>2</v>
      </c>
      <c r="T201" s="77">
        <v>2.5</v>
      </c>
      <c r="U201" s="77">
        <v>3</v>
      </c>
      <c r="V201" s="199" t="s">
        <v>5961</v>
      </c>
      <c r="W201" s="199">
        <v>3</v>
      </c>
      <c r="X201" s="199">
        <v>2.5</v>
      </c>
      <c r="Y201" s="199">
        <v>2</v>
      </c>
      <c r="Z201" s="199">
        <v>2.5</v>
      </c>
      <c r="AA201" s="199">
        <v>3</v>
      </c>
      <c r="AB201" s="199" t="s">
        <v>5961</v>
      </c>
      <c r="AC201" s="77">
        <v>3</v>
      </c>
      <c r="AD201" s="77">
        <v>2.5</v>
      </c>
      <c r="AE201" s="77">
        <v>2</v>
      </c>
      <c r="AF201" s="77">
        <v>2</v>
      </c>
      <c r="AG201" s="77">
        <v>3</v>
      </c>
      <c r="AH201" s="150" t="s">
        <v>4891</v>
      </c>
    </row>
    <row r="202" spans="1:34">
      <c r="A202" s="146">
        <v>169</v>
      </c>
      <c r="B202" s="147" t="s">
        <v>6374</v>
      </c>
      <c r="C202" s="77">
        <v>3</v>
      </c>
      <c r="D202" s="77">
        <v>2</v>
      </c>
      <c r="E202" s="77">
        <v>2.5</v>
      </c>
      <c r="F202" s="77">
        <v>2</v>
      </c>
      <c r="G202" s="77">
        <v>3</v>
      </c>
      <c r="H202" s="153" t="s">
        <v>5870</v>
      </c>
      <c r="I202" s="153" t="s">
        <v>6383</v>
      </c>
      <c r="J202" s="46"/>
      <c r="K202" s="199">
        <v>3</v>
      </c>
      <c r="L202" s="199">
        <v>2</v>
      </c>
      <c r="M202" s="199">
        <v>2</v>
      </c>
      <c r="N202" s="199">
        <v>1.5</v>
      </c>
      <c r="O202" s="199">
        <v>3</v>
      </c>
      <c r="P202" s="199" t="s">
        <v>3321</v>
      </c>
      <c r="Q202" s="77">
        <v>3</v>
      </c>
      <c r="R202" s="77">
        <v>2</v>
      </c>
      <c r="S202" s="77">
        <v>2.5</v>
      </c>
      <c r="T202" s="77">
        <v>2</v>
      </c>
      <c r="U202" s="77">
        <v>3</v>
      </c>
      <c r="V202" s="199" t="s">
        <v>5874</v>
      </c>
      <c r="W202" s="199">
        <v>3</v>
      </c>
      <c r="X202" s="199">
        <v>2.5</v>
      </c>
      <c r="Y202" s="199">
        <v>2.5</v>
      </c>
      <c r="Z202" s="199">
        <v>2</v>
      </c>
      <c r="AA202" s="199">
        <v>3</v>
      </c>
      <c r="AB202" s="199" t="s">
        <v>5872</v>
      </c>
      <c r="AC202" s="77">
        <v>3</v>
      </c>
      <c r="AD202" s="77">
        <v>2</v>
      </c>
      <c r="AE202" s="77">
        <v>2.5</v>
      </c>
      <c r="AF202" s="77">
        <v>1.5</v>
      </c>
      <c r="AG202" s="77">
        <v>3</v>
      </c>
      <c r="AH202" s="150" t="s">
        <v>3321</v>
      </c>
    </row>
    <row r="203" spans="1:34">
      <c r="A203" s="146">
        <v>169</v>
      </c>
      <c r="B203" s="147" t="s">
        <v>6376</v>
      </c>
      <c r="C203" s="77">
        <v>3</v>
      </c>
      <c r="D203" s="77">
        <v>2.5</v>
      </c>
      <c r="E203" s="77">
        <v>2</v>
      </c>
      <c r="F203" s="77">
        <v>1.5</v>
      </c>
      <c r="G203" s="77">
        <v>3</v>
      </c>
      <c r="H203" s="153" t="s">
        <v>5870</v>
      </c>
      <c r="I203" s="153" t="s">
        <v>3125</v>
      </c>
      <c r="J203" s="46"/>
      <c r="K203" s="199">
        <v>3</v>
      </c>
      <c r="L203" s="199">
        <v>2</v>
      </c>
      <c r="M203" s="199">
        <v>1.5</v>
      </c>
      <c r="N203" s="199">
        <v>1.5</v>
      </c>
      <c r="O203" s="199">
        <v>3</v>
      </c>
      <c r="P203" s="199" t="s">
        <v>3818</v>
      </c>
      <c r="Q203" s="77">
        <v>3</v>
      </c>
      <c r="R203" s="77">
        <v>2</v>
      </c>
      <c r="S203" s="77">
        <v>2</v>
      </c>
      <c r="T203" s="77">
        <v>1.5</v>
      </c>
      <c r="U203" s="77">
        <v>3</v>
      </c>
      <c r="V203" s="199" t="s">
        <v>5877</v>
      </c>
      <c r="W203" s="199">
        <v>3</v>
      </c>
      <c r="X203" s="199">
        <v>2.5</v>
      </c>
      <c r="Y203" s="199">
        <v>2</v>
      </c>
      <c r="Z203" s="199">
        <v>1.5</v>
      </c>
      <c r="AA203" s="199">
        <v>2.5</v>
      </c>
      <c r="AB203" s="199" t="s">
        <v>3818</v>
      </c>
      <c r="AC203" s="77">
        <v>3</v>
      </c>
      <c r="AD203" s="77">
        <v>2.5</v>
      </c>
      <c r="AE203" s="77">
        <v>2</v>
      </c>
      <c r="AF203" s="77">
        <v>1.5</v>
      </c>
      <c r="AG203" s="77">
        <v>2.5</v>
      </c>
      <c r="AH203" s="150" t="s">
        <v>3818</v>
      </c>
    </row>
    <row r="204" spans="1:34">
      <c r="A204" s="146">
        <v>169</v>
      </c>
      <c r="B204" s="147" t="s">
        <v>6378</v>
      </c>
      <c r="C204" s="77">
        <v>3</v>
      </c>
      <c r="D204" s="77">
        <v>3</v>
      </c>
      <c r="E204" s="77">
        <v>2</v>
      </c>
      <c r="F204" s="77">
        <v>2</v>
      </c>
      <c r="G204" s="77">
        <v>3</v>
      </c>
      <c r="H204" s="153"/>
      <c r="I204" s="153" t="s">
        <v>3173</v>
      </c>
      <c r="J204" s="46" t="s">
        <v>5878</v>
      </c>
      <c r="K204" s="199">
        <v>3</v>
      </c>
      <c r="L204" s="199">
        <v>2.5</v>
      </c>
      <c r="M204" s="199">
        <v>2</v>
      </c>
      <c r="N204" s="199">
        <v>1.5</v>
      </c>
      <c r="O204" s="199">
        <v>3</v>
      </c>
      <c r="P204" s="199" t="s">
        <v>3321</v>
      </c>
      <c r="Q204" s="77">
        <v>3</v>
      </c>
      <c r="R204" s="77">
        <v>3</v>
      </c>
      <c r="S204" s="77">
        <v>2</v>
      </c>
      <c r="T204" s="77">
        <v>2</v>
      </c>
      <c r="U204" s="77">
        <v>3</v>
      </c>
      <c r="V204" s="199" t="s">
        <v>5872</v>
      </c>
      <c r="W204" s="199">
        <v>3</v>
      </c>
      <c r="X204" s="199">
        <v>2.5</v>
      </c>
      <c r="Y204" s="199">
        <v>2</v>
      </c>
      <c r="Z204" s="199">
        <v>2.5</v>
      </c>
      <c r="AA204" s="199">
        <v>3</v>
      </c>
      <c r="AB204" s="199" t="s">
        <v>5961</v>
      </c>
      <c r="AC204" s="77">
        <v>3</v>
      </c>
      <c r="AD204" s="77">
        <v>2.5</v>
      </c>
      <c r="AE204" s="77">
        <v>2</v>
      </c>
      <c r="AF204" s="77">
        <v>2</v>
      </c>
      <c r="AG204" s="77">
        <v>3</v>
      </c>
      <c r="AH204" s="150" t="s">
        <v>4891</v>
      </c>
    </row>
    <row r="205" spans="1:34">
      <c r="A205" s="146">
        <v>169</v>
      </c>
      <c r="B205" s="147" t="s">
        <v>6380</v>
      </c>
      <c r="C205" s="77">
        <v>3</v>
      </c>
      <c r="D205" s="77">
        <v>3</v>
      </c>
      <c r="E205" s="77">
        <v>2</v>
      </c>
      <c r="F205" s="77">
        <v>2</v>
      </c>
      <c r="G205" s="77">
        <v>3</v>
      </c>
      <c r="H205" s="153"/>
      <c r="I205" s="153" t="s">
        <v>105</v>
      </c>
      <c r="J205" s="46" t="s">
        <v>5878</v>
      </c>
      <c r="K205" s="199">
        <v>3</v>
      </c>
      <c r="L205" s="199">
        <v>2</v>
      </c>
      <c r="M205" s="199">
        <v>2</v>
      </c>
      <c r="N205" s="199">
        <v>1</v>
      </c>
      <c r="O205" s="199">
        <v>3</v>
      </c>
      <c r="P205" s="199" t="s">
        <v>3818</v>
      </c>
      <c r="Q205" s="77">
        <v>3</v>
      </c>
      <c r="R205" s="77">
        <v>3</v>
      </c>
      <c r="S205" s="77">
        <v>1.5</v>
      </c>
      <c r="T205" s="77">
        <v>1.5</v>
      </c>
      <c r="U205" s="77">
        <v>3</v>
      </c>
      <c r="V205" s="199" t="s">
        <v>5877</v>
      </c>
      <c r="W205" s="199">
        <v>3</v>
      </c>
      <c r="X205" s="199">
        <v>2.5</v>
      </c>
      <c r="Y205" s="199">
        <v>2</v>
      </c>
      <c r="Z205" s="199">
        <v>1.5</v>
      </c>
      <c r="AA205" s="199">
        <v>3</v>
      </c>
      <c r="AB205" s="199" t="s">
        <v>5877</v>
      </c>
      <c r="AC205" s="77">
        <v>3</v>
      </c>
      <c r="AD205" s="77">
        <v>3</v>
      </c>
      <c r="AE205" s="77">
        <v>2</v>
      </c>
      <c r="AF205" s="77">
        <v>1.5</v>
      </c>
      <c r="AG205" s="77">
        <v>3</v>
      </c>
      <c r="AH205" s="150" t="s">
        <v>3321</v>
      </c>
    </row>
    <row r="206" spans="1:34">
      <c r="A206" s="146">
        <v>169</v>
      </c>
      <c r="B206" s="147" t="s">
        <v>6111</v>
      </c>
      <c r="C206" s="77">
        <v>3</v>
      </c>
      <c r="D206" s="77">
        <v>3</v>
      </c>
      <c r="E206" s="77">
        <v>1.5</v>
      </c>
      <c r="F206" s="77">
        <v>2</v>
      </c>
      <c r="G206" s="77">
        <v>3</v>
      </c>
      <c r="H206" s="153" t="s">
        <v>5870</v>
      </c>
      <c r="I206" s="153" t="s">
        <v>3122</v>
      </c>
      <c r="J206" s="46"/>
      <c r="K206" s="199">
        <v>3</v>
      </c>
      <c r="L206" s="199">
        <v>2</v>
      </c>
      <c r="M206" s="199">
        <v>1.5</v>
      </c>
      <c r="N206" s="199">
        <v>1.5</v>
      </c>
      <c r="O206" s="199">
        <v>3</v>
      </c>
      <c r="P206" s="199" t="s">
        <v>3818</v>
      </c>
      <c r="Q206" s="77">
        <v>3</v>
      </c>
      <c r="R206" s="77">
        <v>2.5</v>
      </c>
      <c r="S206" s="77">
        <v>2</v>
      </c>
      <c r="T206" s="77">
        <v>2</v>
      </c>
      <c r="U206" s="77">
        <v>3</v>
      </c>
      <c r="V206" s="199" t="s">
        <v>5874</v>
      </c>
      <c r="W206" s="199">
        <v>3</v>
      </c>
      <c r="X206" s="199">
        <v>2.5</v>
      </c>
      <c r="Y206" s="199">
        <v>2</v>
      </c>
      <c r="Z206" s="199">
        <v>2.5</v>
      </c>
      <c r="AA206" s="199">
        <v>3</v>
      </c>
      <c r="AB206" s="199" t="s">
        <v>5961</v>
      </c>
      <c r="AC206" s="77">
        <v>3</v>
      </c>
      <c r="AD206" s="77">
        <v>2.5</v>
      </c>
      <c r="AE206" s="77">
        <v>2</v>
      </c>
      <c r="AF206" s="77">
        <v>2.5</v>
      </c>
      <c r="AG206" s="77">
        <v>3</v>
      </c>
      <c r="AH206" s="150" t="s">
        <v>61</v>
      </c>
    </row>
    <row r="207" spans="1:34">
      <c r="A207" s="146">
        <v>169</v>
      </c>
      <c r="B207" s="147" t="s">
        <v>6113</v>
      </c>
      <c r="C207" s="77">
        <v>3</v>
      </c>
      <c r="D207" s="77">
        <v>2.5</v>
      </c>
      <c r="E207" s="77">
        <v>2</v>
      </c>
      <c r="F207" s="77">
        <v>2</v>
      </c>
      <c r="G207" s="77">
        <v>3</v>
      </c>
      <c r="H207" s="153"/>
      <c r="I207" s="153" t="s">
        <v>3122</v>
      </c>
      <c r="J207" s="46"/>
      <c r="K207" s="199">
        <v>3</v>
      </c>
      <c r="L207" s="199">
        <v>2.5</v>
      </c>
      <c r="M207" s="199">
        <v>2</v>
      </c>
      <c r="N207" s="199">
        <v>2</v>
      </c>
      <c r="O207" s="199">
        <v>3</v>
      </c>
      <c r="P207" s="199" t="s">
        <v>6384</v>
      </c>
      <c r="Q207" s="77">
        <v>3</v>
      </c>
      <c r="R207" s="77">
        <v>3</v>
      </c>
      <c r="S207" s="77">
        <v>2</v>
      </c>
      <c r="T207" s="77">
        <v>2.5</v>
      </c>
      <c r="U207" s="77">
        <v>3</v>
      </c>
      <c r="V207" s="199" t="s">
        <v>5876</v>
      </c>
      <c r="W207" s="199">
        <v>3</v>
      </c>
      <c r="X207" s="199">
        <v>3</v>
      </c>
      <c r="Y207" s="199">
        <v>2</v>
      </c>
      <c r="Z207" s="199">
        <v>2.5</v>
      </c>
      <c r="AA207" s="199">
        <v>3</v>
      </c>
      <c r="AB207" s="199" t="s">
        <v>5876</v>
      </c>
      <c r="AC207" s="77">
        <v>3</v>
      </c>
      <c r="AD207" s="77">
        <v>2.5</v>
      </c>
      <c r="AE207" s="77">
        <v>2</v>
      </c>
      <c r="AF207" s="77">
        <v>2.5</v>
      </c>
      <c r="AG207" s="77">
        <v>3</v>
      </c>
      <c r="AH207" s="150" t="s">
        <v>61</v>
      </c>
    </row>
    <row r="208" spans="1:34">
      <c r="A208" s="146">
        <v>169</v>
      </c>
      <c r="B208" s="147" t="s">
        <v>6117</v>
      </c>
      <c r="C208" s="77">
        <v>3</v>
      </c>
      <c r="D208" s="77">
        <v>3</v>
      </c>
      <c r="E208" s="77">
        <v>2</v>
      </c>
      <c r="F208" s="77">
        <v>2</v>
      </c>
      <c r="G208" s="77">
        <v>3</v>
      </c>
      <c r="H208" s="153"/>
      <c r="I208" s="153" t="s">
        <v>3122</v>
      </c>
      <c r="J208" s="46"/>
      <c r="K208" s="199">
        <v>3</v>
      </c>
      <c r="L208" s="199">
        <v>2.5</v>
      </c>
      <c r="M208" s="199">
        <v>2</v>
      </c>
      <c r="N208" s="199">
        <v>1.5</v>
      </c>
      <c r="O208" s="199">
        <v>3</v>
      </c>
      <c r="P208" s="199" t="s">
        <v>3321</v>
      </c>
      <c r="Q208" s="77">
        <v>3</v>
      </c>
      <c r="R208" s="77">
        <v>2.5</v>
      </c>
      <c r="S208" s="77">
        <v>2</v>
      </c>
      <c r="T208" s="77">
        <v>2</v>
      </c>
      <c r="U208" s="77">
        <v>3</v>
      </c>
      <c r="V208" s="199" t="s">
        <v>5874</v>
      </c>
      <c r="W208" s="199">
        <v>3</v>
      </c>
      <c r="X208" s="199">
        <v>2.5</v>
      </c>
      <c r="Y208" s="199">
        <v>2.5</v>
      </c>
      <c r="Z208" s="199">
        <v>2</v>
      </c>
      <c r="AA208" s="199">
        <v>3</v>
      </c>
      <c r="AB208" s="199" t="s">
        <v>5873</v>
      </c>
      <c r="AC208" s="77">
        <v>3</v>
      </c>
      <c r="AD208" s="77">
        <v>3</v>
      </c>
      <c r="AE208" s="77">
        <v>2</v>
      </c>
      <c r="AF208" s="77">
        <v>2.5</v>
      </c>
      <c r="AG208" s="77">
        <v>3</v>
      </c>
      <c r="AH208" s="150" t="s">
        <v>61</v>
      </c>
    </row>
    <row r="209" spans="1:34">
      <c r="A209" s="146">
        <v>169</v>
      </c>
      <c r="B209" s="147" t="s">
        <v>6127</v>
      </c>
      <c r="C209" s="77">
        <v>3</v>
      </c>
      <c r="D209" s="77">
        <v>2</v>
      </c>
      <c r="E209" s="77">
        <v>2</v>
      </c>
      <c r="F209" s="77">
        <v>2</v>
      </c>
      <c r="G209" s="77">
        <v>3</v>
      </c>
      <c r="H209" s="153" t="s">
        <v>5870</v>
      </c>
      <c r="I209" s="153" t="s">
        <v>3122</v>
      </c>
      <c r="J209" s="46"/>
      <c r="K209" s="199">
        <v>3</v>
      </c>
      <c r="L209" s="199">
        <v>1.5</v>
      </c>
      <c r="M209" s="199">
        <v>2</v>
      </c>
      <c r="N209" s="199">
        <v>1</v>
      </c>
      <c r="O209" s="199">
        <v>3</v>
      </c>
      <c r="P209" s="199" t="s">
        <v>3818</v>
      </c>
      <c r="Q209" s="77">
        <v>3</v>
      </c>
      <c r="R209" s="77">
        <v>2</v>
      </c>
      <c r="S209" s="77">
        <v>2.5</v>
      </c>
      <c r="T209" s="77">
        <v>2</v>
      </c>
      <c r="U209" s="77">
        <v>3</v>
      </c>
      <c r="V209" s="199" t="s">
        <v>5872</v>
      </c>
      <c r="W209" s="199">
        <v>3</v>
      </c>
      <c r="X209" s="199">
        <v>2</v>
      </c>
      <c r="Y209" s="199">
        <v>2.5</v>
      </c>
      <c r="Z209" s="199">
        <v>2.5</v>
      </c>
      <c r="AA209" s="199">
        <v>3</v>
      </c>
      <c r="AB209" s="199" t="s">
        <v>5961</v>
      </c>
      <c r="AC209" s="77">
        <v>3</v>
      </c>
      <c r="AD209" s="77">
        <v>2.5</v>
      </c>
      <c r="AE209" s="77">
        <v>2</v>
      </c>
      <c r="AF209" s="77">
        <v>2.5</v>
      </c>
      <c r="AG209" s="77">
        <v>3</v>
      </c>
      <c r="AH209" s="150" t="s">
        <v>171</v>
      </c>
    </row>
    <row r="210" spans="1:34">
      <c r="A210" s="146">
        <v>164</v>
      </c>
      <c r="B210" s="147" t="s">
        <v>6161</v>
      </c>
      <c r="C210" s="77">
        <v>3</v>
      </c>
      <c r="D210" s="77">
        <v>2</v>
      </c>
      <c r="E210" s="77">
        <v>2.5</v>
      </c>
      <c r="F210" s="77">
        <v>2</v>
      </c>
      <c r="G210" s="77">
        <v>3</v>
      </c>
      <c r="H210" s="150" t="s">
        <v>4891</v>
      </c>
      <c r="I210" s="153" t="s">
        <v>3122</v>
      </c>
      <c r="J210" s="46"/>
      <c r="K210" s="203">
        <v>3</v>
      </c>
      <c r="L210" s="203">
        <v>2.5</v>
      </c>
      <c r="M210" s="203">
        <v>2</v>
      </c>
      <c r="N210" s="203">
        <v>1.5</v>
      </c>
      <c r="O210" s="203">
        <v>3</v>
      </c>
      <c r="P210" s="203" t="s">
        <v>62</v>
      </c>
      <c r="Q210" s="77"/>
      <c r="R210" s="77"/>
      <c r="S210" s="77"/>
      <c r="T210" s="77"/>
      <c r="U210" s="77"/>
      <c r="V210" s="203"/>
      <c r="W210" s="77">
        <v>3</v>
      </c>
      <c r="X210" s="77">
        <v>2.5</v>
      </c>
      <c r="Y210" s="77">
        <v>2.5</v>
      </c>
      <c r="Z210" s="77">
        <v>2</v>
      </c>
      <c r="AA210" s="77">
        <v>3</v>
      </c>
      <c r="AB210" s="203" t="s">
        <v>5919</v>
      </c>
      <c r="AC210" s="77">
        <v>3</v>
      </c>
      <c r="AD210" s="77">
        <v>2.5</v>
      </c>
      <c r="AE210" s="77">
        <v>2</v>
      </c>
      <c r="AF210" s="77">
        <v>2</v>
      </c>
      <c r="AG210" s="77">
        <v>3</v>
      </c>
      <c r="AH210" s="150" t="s">
        <v>62</v>
      </c>
    </row>
    <row r="211" spans="1:34">
      <c r="A211" s="146">
        <v>164</v>
      </c>
      <c r="B211" s="147" t="s">
        <v>6174</v>
      </c>
      <c r="C211" s="77">
        <v>3</v>
      </c>
      <c r="D211" s="77">
        <v>2</v>
      </c>
      <c r="E211" s="77">
        <v>2.5</v>
      </c>
      <c r="F211" s="77">
        <v>2</v>
      </c>
      <c r="G211" s="77">
        <v>3</v>
      </c>
      <c r="H211" s="150" t="s">
        <v>5997</v>
      </c>
      <c r="I211" s="153" t="s">
        <v>3122</v>
      </c>
      <c r="J211" s="46"/>
      <c r="K211" s="203">
        <v>3</v>
      </c>
      <c r="L211" s="203">
        <v>2</v>
      </c>
      <c r="M211" s="203">
        <v>2.5</v>
      </c>
      <c r="N211" s="203">
        <v>1.5</v>
      </c>
      <c r="O211" s="203">
        <v>3</v>
      </c>
      <c r="P211" s="203" t="s">
        <v>62</v>
      </c>
      <c r="Q211" s="77"/>
      <c r="R211" s="77"/>
      <c r="S211" s="77"/>
      <c r="T211" s="77"/>
      <c r="U211" s="77"/>
      <c r="V211" s="203"/>
      <c r="W211" s="77">
        <v>3</v>
      </c>
      <c r="X211" s="77">
        <v>2.5</v>
      </c>
      <c r="Y211" s="77">
        <v>2.5</v>
      </c>
      <c r="Z211" s="77">
        <v>2</v>
      </c>
      <c r="AA211" s="77">
        <v>3</v>
      </c>
      <c r="AB211" s="203" t="s">
        <v>5919</v>
      </c>
      <c r="AC211" s="77">
        <v>3</v>
      </c>
      <c r="AD211" s="77">
        <v>2</v>
      </c>
      <c r="AE211" s="77">
        <v>2.5</v>
      </c>
      <c r="AF211" s="77">
        <v>2</v>
      </c>
      <c r="AG211" s="77">
        <v>3</v>
      </c>
      <c r="AH211" s="150" t="s">
        <v>62</v>
      </c>
    </row>
    <row r="212" spans="1:34">
      <c r="A212" s="146">
        <v>164</v>
      </c>
      <c r="B212" s="147" t="s">
        <v>6180</v>
      </c>
      <c r="C212" s="77">
        <v>3</v>
      </c>
      <c r="D212" s="77">
        <v>2</v>
      </c>
      <c r="E212" s="77">
        <v>2.5</v>
      </c>
      <c r="F212" s="77">
        <v>2</v>
      </c>
      <c r="G212" s="77">
        <v>3</v>
      </c>
      <c r="H212" s="150" t="s">
        <v>4891</v>
      </c>
      <c r="I212" s="153" t="s">
        <v>3122</v>
      </c>
      <c r="J212" s="46"/>
      <c r="K212" s="203">
        <v>3</v>
      </c>
      <c r="L212" s="203">
        <v>2</v>
      </c>
      <c r="M212" s="203">
        <v>2</v>
      </c>
      <c r="N212" s="203">
        <v>1.5</v>
      </c>
      <c r="O212" s="203">
        <v>3</v>
      </c>
      <c r="P212" s="203" t="s">
        <v>3321</v>
      </c>
      <c r="Q212" s="77"/>
      <c r="R212" s="77"/>
      <c r="S212" s="77"/>
      <c r="T212" s="77"/>
      <c r="U212" s="77"/>
      <c r="V212" s="203"/>
      <c r="W212" s="77">
        <v>3</v>
      </c>
      <c r="X212" s="77">
        <v>2.5</v>
      </c>
      <c r="Y212" s="77">
        <v>2.5</v>
      </c>
      <c r="Z212" s="77">
        <v>2</v>
      </c>
      <c r="AA212" s="77">
        <v>3</v>
      </c>
      <c r="AB212" s="203" t="s">
        <v>5919</v>
      </c>
      <c r="AC212" s="77">
        <v>3</v>
      </c>
      <c r="AD212" s="77">
        <v>2.5</v>
      </c>
      <c r="AE212" s="77">
        <v>2.5</v>
      </c>
      <c r="AF212" s="77">
        <v>2</v>
      </c>
      <c r="AG212" s="77">
        <v>3</v>
      </c>
      <c r="AH212" s="150" t="s">
        <v>4212</v>
      </c>
    </row>
    <row r="213" spans="1:34">
      <c r="A213" s="146">
        <v>164</v>
      </c>
      <c r="B213" s="147" t="s">
        <v>6182</v>
      </c>
      <c r="C213" s="77">
        <v>3</v>
      </c>
      <c r="D213" s="77">
        <v>2.5</v>
      </c>
      <c r="E213" s="77">
        <v>2.5</v>
      </c>
      <c r="F213" s="77">
        <v>2</v>
      </c>
      <c r="G213" s="77">
        <v>3</v>
      </c>
      <c r="H213" s="150" t="s">
        <v>4891</v>
      </c>
      <c r="I213" s="153" t="s">
        <v>3122</v>
      </c>
      <c r="J213" s="46"/>
      <c r="K213" s="203">
        <v>3</v>
      </c>
      <c r="L213" s="203">
        <v>2</v>
      </c>
      <c r="M213" s="203">
        <v>2</v>
      </c>
      <c r="N213" s="203">
        <v>2</v>
      </c>
      <c r="O213" s="203">
        <v>3</v>
      </c>
      <c r="P213" s="203" t="s">
        <v>62</v>
      </c>
      <c r="Q213" s="77"/>
      <c r="R213" s="77"/>
      <c r="S213" s="77"/>
      <c r="T213" s="77"/>
      <c r="U213" s="77"/>
      <c r="V213" s="203"/>
      <c r="W213" s="77">
        <v>3</v>
      </c>
      <c r="X213" s="77">
        <v>2.5</v>
      </c>
      <c r="Y213" s="77">
        <v>2.5</v>
      </c>
      <c r="Z213" s="77">
        <v>2</v>
      </c>
      <c r="AA213" s="77">
        <v>3</v>
      </c>
      <c r="AB213" s="203" t="s">
        <v>5919</v>
      </c>
      <c r="AC213" s="77">
        <v>3</v>
      </c>
      <c r="AD213" s="77">
        <v>2.5</v>
      </c>
      <c r="AE213" s="77">
        <v>2.5</v>
      </c>
      <c r="AF213" s="77">
        <v>2</v>
      </c>
      <c r="AG213" s="77">
        <v>3</v>
      </c>
      <c r="AH213" s="150" t="s">
        <v>170</v>
      </c>
    </row>
    <row r="214" spans="1:34">
      <c r="A214" s="146">
        <v>167</v>
      </c>
      <c r="B214" s="147" t="s">
        <v>6293</v>
      </c>
      <c r="C214" s="77">
        <v>3</v>
      </c>
      <c r="D214" s="77">
        <v>2.5</v>
      </c>
      <c r="E214" s="77">
        <v>2</v>
      </c>
      <c r="F214" s="77">
        <v>2</v>
      </c>
      <c r="G214" s="77">
        <v>3</v>
      </c>
      <c r="H214" s="150" t="s">
        <v>4891</v>
      </c>
      <c r="I214" s="153" t="s">
        <v>3122</v>
      </c>
      <c r="J214" s="46"/>
      <c r="K214" s="203">
        <v>3</v>
      </c>
      <c r="L214" s="203">
        <v>2.5</v>
      </c>
      <c r="M214" s="203">
        <v>2</v>
      </c>
      <c r="N214" s="203">
        <v>1.5</v>
      </c>
      <c r="O214" s="203">
        <v>3</v>
      </c>
      <c r="P214" s="203" t="s">
        <v>3321</v>
      </c>
      <c r="Q214" s="77"/>
      <c r="R214" s="77"/>
      <c r="S214" s="77"/>
      <c r="T214" s="77"/>
      <c r="U214" s="77"/>
      <c r="V214" s="203"/>
      <c r="W214" s="77">
        <v>3</v>
      </c>
      <c r="X214" s="77">
        <v>2.5</v>
      </c>
      <c r="Y214" s="77">
        <v>2</v>
      </c>
      <c r="Z214" s="77">
        <v>2.5</v>
      </c>
      <c r="AA214" s="77">
        <v>3</v>
      </c>
      <c r="AB214" s="203" t="s">
        <v>5916</v>
      </c>
      <c r="AC214" s="77">
        <v>3</v>
      </c>
      <c r="AD214" s="77">
        <v>2.5</v>
      </c>
      <c r="AE214" s="77">
        <v>2</v>
      </c>
      <c r="AF214" s="77">
        <v>2</v>
      </c>
      <c r="AG214" s="77">
        <v>3</v>
      </c>
      <c r="AH214" s="150" t="s">
        <v>62</v>
      </c>
    </row>
    <row r="215" spans="1:34">
      <c r="A215" s="146">
        <v>167</v>
      </c>
      <c r="B215" s="147" t="s">
        <v>6295</v>
      </c>
      <c r="C215" s="77">
        <v>3</v>
      </c>
      <c r="D215" s="77">
        <v>2</v>
      </c>
      <c r="E215" s="77">
        <v>2.5</v>
      </c>
      <c r="F215" s="77">
        <v>2</v>
      </c>
      <c r="G215" s="77">
        <v>3</v>
      </c>
      <c r="H215" s="150" t="s">
        <v>4891</v>
      </c>
      <c r="I215" s="153" t="s">
        <v>3122</v>
      </c>
      <c r="J215" s="46"/>
      <c r="K215" s="203">
        <v>3</v>
      </c>
      <c r="L215" s="203">
        <v>2.5</v>
      </c>
      <c r="M215" s="203">
        <v>2</v>
      </c>
      <c r="N215" s="203">
        <v>1.5</v>
      </c>
      <c r="O215" s="203">
        <v>3</v>
      </c>
      <c r="P215" s="203" t="s">
        <v>3321</v>
      </c>
      <c r="Q215" s="77"/>
      <c r="R215" s="77"/>
      <c r="S215" s="77"/>
      <c r="T215" s="77"/>
      <c r="U215" s="77"/>
      <c r="V215" s="203"/>
      <c r="W215" s="77">
        <v>3</v>
      </c>
      <c r="X215" s="77">
        <v>2.5</v>
      </c>
      <c r="Y215" s="77">
        <v>2.5</v>
      </c>
      <c r="Z215" s="77">
        <v>2</v>
      </c>
      <c r="AA215" s="77">
        <v>3</v>
      </c>
      <c r="AB215" s="203" t="s">
        <v>5918</v>
      </c>
      <c r="AC215" s="77">
        <v>3</v>
      </c>
      <c r="AD215" s="77">
        <v>2</v>
      </c>
      <c r="AE215" s="77">
        <v>2.5</v>
      </c>
      <c r="AF215" s="77">
        <v>2</v>
      </c>
      <c r="AG215" s="77">
        <v>3</v>
      </c>
      <c r="AH215" s="150" t="s">
        <v>62</v>
      </c>
    </row>
    <row r="216" spans="1:34">
      <c r="A216" s="146">
        <v>167</v>
      </c>
      <c r="B216" s="147" t="s">
        <v>6301</v>
      </c>
      <c r="C216" s="77">
        <v>3</v>
      </c>
      <c r="D216" s="77">
        <v>2</v>
      </c>
      <c r="E216" s="77">
        <v>2.5</v>
      </c>
      <c r="F216" s="77">
        <v>2</v>
      </c>
      <c r="G216" s="77">
        <v>3</v>
      </c>
      <c r="H216" s="150" t="s">
        <v>4891</v>
      </c>
      <c r="I216" s="153" t="s">
        <v>3122</v>
      </c>
      <c r="J216" s="46"/>
      <c r="K216" s="203">
        <v>3</v>
      </c>
      <c r="L216" s="203">
        <v>2</v>
      </c>
      <c r="M216" s="203">
        <v>2</v>
      </c>
      <c r="N216" s="203">
        <v>2</v>
      </c>
      <c r="O216" s="203">
        <v>3</v>
      </c>
      <c r="P216" s="203" t="s">
        <v>62</v>
      </c>
      <c r="Q216" s="77"/>
      <c r="R216" s="77"/>
      <c r="S216" s="77"/>
      <c r="T216" s="77"/>
      <c r="U216" s="77"/>
      <c r="V216" s="203"/>
      <c r="W216" s="77">
        <v>3</v>
      </c>
      <c r="X216" s="77">
        <v>2.5</v>
      </c>
      <c r="Y216" s="77">
        <v>2.5</v>
      </c>
      <c r="Z216" s="77">
        <v>2</v>
      </c>
      <c r="AA216" s="77">
        <v>3</v>
      </c>
      <c r="AB216" s="203" t="s">
        <v>5918</v>
      </c>
      <c r="AC216" s="77">
        <v>3</v>
      </c>
      <c r="AD216" s="77">
        <v>2.5</v>
      </c>
      <c r="AE216" s="77">
        <v>2.5</v>
      </c>
      <c r="AF216" s="77">
        <v>2</v>
      </c>
      <c r="AG216" s="77">
        <v>3</v>
      </c>
      <c r="AH216" s="150" t="s">
        <v>502</v>
      </c>
    </row>
    <row r="217" spans="1:34">
      <c r="A217" s="146">
        <v>167</v>
      </c>
      <c r="B217" s="147" t="s">
        <v>6079</v>
      </c>
      <c r="C217" s="77">
        <v>3</v>
      </c>
      <c r="D217" s="77">
        <v>2.5</v>
      </c>
      <c r="E217" s="77">
        <v>2</v>
      </c>
      <c r="F217" s="77">
        <v>2</v>
      </c>
      <c r="G217" s="77">
        <v>3</v>
      </c>
      <c r="H217" s="150" t="s">
        <v>4891</v>
      </c>
      <c r="I217" s="153" t="s">
        <v>3122</v>
      </c>
      <c r="J217" s="46"/>
      <c r="K217" s="203">
        <v>3</v>
      </c>
      <c r="L217" s="203">
        <v>2.5</v>
      </c>
      <c r="M217" s="203">
        <v>2</v>
      </c>
      <c r="N217" s="203">
        <v>1.5</v>
      </c>
      <c r="O217" s="203">
        <v>3</v>
      </c>
      <c r="P217" s="203" t="s">
        <v>3321</v>
      </c>
      <c r="Q217" s="77"/>
      <c r="R217" s="77"/>
      <c r="S217" s="77"/>
      <c r="T217" s="77"/>
      <c r="U217" s="77"/>
      <c r="V217" s="203"/>
      <c r="W217" s="77">
        <v>3</v>
      </c>
      <c r="X217" s="77">
        <v>2.5</v>
      </c>
      <c r="Y217" s="77">
        <v>2</v>
      </c>
      <c r="Z217" s="77">
        <v>2.5</v>
      </c>
      <c r="AA217" s="77">
        <v>3</v>
      </c>
      <c r="AB217" s="203" t="s">
        <v>5916</v>
      </c>
      <c r="AC217" s="77">
        <v>3</v>
      </c>
      <c r="AD217" s="77">
        <v>2.5</v>
      </c>
      <c r="AE217" s="77">
        <v>2</v>
      </c>
      <c r="AF217" s="77">
        <v>2.5</v>
      </c>
      <c r="AG217" s="77">
        <v>3</v>
      </c>
      <c r="AH217" s="150" t="s">
        <v>171</v>
      </c>
    </row>
    <row r="218" spans="1:34">
      <c r="A218" s="146">
        <v>168</v>
      </c>
      <c r="B218" s="147" t="s">
        <v>6316</v>
      </c>
      <c r="C218" s="77">
        <v>3</v>
      </c>
      <c r="D218" s="77">
        <v>2.5</v>
      </c>
      <c r="E218" s="77">
        <v>2</v>
      </c>
      <c r="F218" s="77">
        <v>2</v>
      </c>
      <c r="G218" s="77">
        <v>3</v>
      </c>
      <c r="H218" s="150" t="s">
        <v>4891</v>
      </c>
      <c r="I218" s="153" t="s">
        <v>3122</v>
      </c>
      <c r="J218" s="46"/>
      <c r="K218" s="203">
        <v>3</v>
      </c>
      <c r="L218" s="203">
        <v>2</v>
      </c>
      <c r="M218" s="203">
        <v>2.5</v>
      </c>
      <c r="N218" s="203">
        <v>1.5</v>
      </c>
      <c r="O218" s="203">
        <v>3</v>
      </c>
      <c r="P218" s="203" t="s">
        <v>62</v>
      </c>
      <c r="Q218" s="77"/>
      <c r="R218" s="77"/>
      <c r="S218" s="77"/>
      <c r="T218" s="77"/>
      <c r="U218" s="77"/>
      <c r="V218" s="203"/>
      <c r="W218" s="77">
        <v>3</v>
      </c>
      <c r="X218" s="77">
        <v>2.5</v>
      </c>
      <c r="Y218" s="77">
        <v>2.5</v>
      </c>
      <c r="Z218" s="77">
        <v>2</v>
      </c>
      <c r="AA218" s="77">
        <v>3</v>
      </c>
      <c r="AB218" s="203" t="s">
        <v>5919</v>
      </c>
      <c r="AC218" s="77">
        <v>3</v>
      </c>
      <c r="AD218" s="77">
        <v>3</v>
      </c>
      <c r="AE218" s="77">
        <v>2.5</v>
      </c>
      <c r="AF218" s="77">
        <v>1.5</v>
      </c>
      <c r="AG218" s="77">
        <v>3</v>
      </c>
      <c r="AH218" s="150" t="s">
        <v>62</v>
      </c>
    </row>
    <row r="219" spans="1:34">
      <c r="A219" s="146">
        <v>170</v>
      </c>
      <c r="B219" s="147" t="s">
        <v>6388</v>
      </c>
      <c r="C219" s="153">
        <v>3</v>
      </c>
      <c r="D219" s="153">
        <v>2.5</v>
      </c>
      <c r="E219" s="153">
        <v>2</v>
      </c>
      <c r="F219" s="153">
        <v>2</v>
      </c>
      <c r="G219" s="153">
        <v>3</v>
      </c>
      <c r="H219" s="153" t="s">
        <v>5869</v>
      </c>
      <c r="I219" s="153" t="s">
        <v>3125</v>
      </c>
      <c r="J219" s="46"/>
      <c r="K219" s="203">
        <v>3</v>
      </c>
      <c r="L219" s="203">
        <v>2</v>
      </c>
      <c r="M219" s="203">
        <v>2</v>
      </c>
      <c r="N219" s="203">
        <v>1.5</v>
      </c>
      <c r="O219" s="203">
        <v>3</v>
      </c>
      <c r="P219" s="203" t="s">
        <v>3321</v>
      </c>
      <c r="Q219" s="77">
        <v>3</v>
      </c>
      <c r="R219" s="77">
        <v>2.5</v>
      </c>
      <c r="S219" s="77">
        <v>2</v>
      </c>
      <c r="T219" s="77">
        <v>2</v>
      </c>
      <c r="U219" s="77">
        <v>3</v>
      </c>
      <c r="V219" s="203" t="s">
        <v>5874</v>
      </c>
      <c r="W219" s="203">
        <v>3</v>
      </c>
      <c r="X219" s="203">
        <v>2.5</v>
      </c>
      <c r="Y219" s="203">
        <v>2</v>
      </c>
      <c r="Z219" s="203">
        <v>2</v>
      </c>
      <c r="AA219" s="203">
        <v>3</v>
      </c>
      <c r="AB219" s="203" t="s">
        <v>5874</v>
      </c>
      <c r="AC219" s="77">
        <v>3</v>
      </c>
      <c r="AD219" s="77">
        <v>2</v>
      </c>
      <c r="AE219" s="77">
        <v>2</v>
      </c>
      <c r="AF219" s="77">
        <v>2</v>
      </c>
      <c r="AG219" s="77">
        <v>3</v>
      </c>
      <c r="AH219" s="150" t="s">
        <v>3321</v>
      </c>
    </row>
    <row r="220" spans="1:34">
      <c r="A220" s="146">
        <v>170</v>
      </c>
      <c r="B220" s="147" t="s">
        <v>6390</v>
      </c>
      <c r="C220" s="153">
        <v>3</v>
      </c>
      <c r="D220" s="153">
        <v>2.5</v>
      </c>
      <c r="E220" s="153">
        <v>2</v>
      </c>
      <c r="F220" s="153">
        <v>2</v>
      </c>
      <c r="G220" s="153">
        <v>3</v>
      </c>
      <c r="H220" s="153" t="s">
        <v>5869</v>
      </c>
      <c r="I220" s="153" t="s">
        <v>3125</v>
      </c>
      <c r="J220" s="46"/>
      <c r="K220" s="203">
        <v>3</v>
      </c>
      <c r="L220" s="203">
        <v>2</v>
      </c>
      <c r="M220" s="203">
        <v>2</v>
      </c>
      <c r="N220" s="203">
        <v>1.5</v>
      </c>
      <c r="O220" s="203">
        <v>3</v>
      </c>
      <c r="P220" s="203" t="s">
        <v>3321</v>
      </c>
      <c r="Q220" s="77">
        <v>3</v>
      </c>
      <c r="R220" s="77">
        <v>2.5</v>
      </c>
      <c r="S220" s="77">
        <v>2</v>
      </c>
      <c r="T220" s="77">
        <v>2</v>
      </c>
      <c r="U220" s="77">
        <v>3</v>
      </c>
      <c r="V220" s="203" t="s">
        <v>5874</v>
      </c>
      <c r="W220" s="203">
        <v>3</v>
      </c>
      <c r="X220" s="203">
        <v>2.5</v>
      </c>
      <c r="Y220" s="203">
        <v>2</v>
      </c>
      <c r="Z220" s="203">
        <v>2</v>
      </c>
      <c r="AA220" s="203">
        <v>3</v>
      </c>
      <c r="AB220" s="203" t="s">
        <v>62</v>
      </c>
      <c r="AC220" s="77">
        <v>3</v>
      </c>
      <c r="AD220" s="77">
        <v>2.5</v>
      </c>
      <c r="AE220" s="77">
        <v>2</v>
      </c>
      <c r="AF220" s="77">
        <v>1.5</v>
      </c>
      <c r="AG220" s="77">
        <v>3</v>
      </c>
      <c r="AH220" s="150" t="s">
        <v>3321</v>
      </c>
    </row>
    <row r="221" spans="1:34">
      <c r="A221" s="146">
        <v>170</v>
      </c>
      <c r="B221" s="147" t="s">
        <v>6392</v>
      </c>
      <c r="C221" s="153">
        <v>3</v>
      </c>
      <c r="D221" s="153">
        <v>3</v>
      </c>
      <c r="E221" s="153">
        <v>2</v>
      </c>
      <c r="F221" s="153">
        <v>2</v>
      </c>
      <c r="G221" s="153">
        <v>3</v>
      </c>
      <c r="H221" s="153"/>
      <c r="I221" s="153" t="s">
        <v>3125</v>
      </c>
      <c r="J221" s="46"/>
      <c r="K221" s="203">
        <v>3</v>
      </c>
      <c r="L221" s="203">
        <v>2</v>
      </c>
      <c r="M221" s="203">
        <v>2</v>
      </c>
      <c r="N221" s="203">
        <v>2</v>
      </c>
      <c r="O221" s="203">
        <v>3</v>
      </c>
      <c r="P221" s="203" t="s">
        <v>62</v>
      </c>
      <c r="Q221" s="77">
        <v>3</v>
      </c>
      <c r="R221" s="77">
        <v>2.5</v>
      </c>
      <c r="S221" s="77">
        <v>2</v>
      </c>
      <c r="T221" s="77">
        <v>2.5</v>
      </c>
      <c r="U221" s="77">
        <v>3</v>
      </c>
      <c r="V221" s="203" t="s">
        <v>5876</v>
      </c>
      <c r="W221" s="203">
        <v>3</v>
      </c>
      <c r="X221" s="203">
        <v>2.5</v>
      </c>
      <c r="Y221" s="203">
        <v>2</v>
      </c>
      <c r="Z221" s="203">
        <v>2.5</v>
      </c>
      <c r="AA221" s="203">
        <v>3</v>
      </c>
      <c r="AB221" s="203" t="s">
        <v>5876</v>
      </c>
      <c r="AC221" s="77">
        <v>3</v>
      </c>
      <c r="AD221" s="77">
        <v>2.5</v>
      </c>
      <c r="AE221" s="77">
        <v>2</v>
      </c>
      <c r="AF221" s="77">
        <v>2.5</v>
      </c>
      <c r="AG221" s="77">
        <v>3</v>
      </c>
      <c r="AH221" s="150" t="s">
        <v>171</v>
      </c>
    </row>
    <row r="222" spans="1:34">
      <c r="A222" s="146">
        <v>170</v>
      </c>
      <c r="B222" s="147" t="s">
        <v>6394</v>
      </c>
      <c r="C222" s="153">
        <v>3</v>
      </c>
      <c r="D222" s="153">
        <v>2.5</v>
      </c>
      <c r="E222" s="153">
        <v>2</v>
      </c>
      <c r="F222" s="153">
        <v>2</v>
      </c>
      <c r="G222" s="153">
        <v>3</v>
      </c>
      <c r="H222" s="153" t="s">
        <v>5869</v>
      </c>
      <c r="I222" s="153" t="s">
        <v>3125</v>
      </c>
      <c r="J222" s="46"/>
      <c r="K222" s="203">
        <v>3</v>
      </c>
      <c r="L222" s="203">
        <v>2</v>
      </c>
      <c r="M222" s="203">
        <v>2</v>
      </c>
      <c r="N222" s="203">
        <v>1</v>
      </c>
      <c r="O222" s="203">
        <v>3</v>
      </c>
      <c r="P222" s="203" t="s">
        <v>3818</v>
      </c>
      <c r="Q222" s="77">
        <v>3</v>
      </c>
      <c r="R222" s="77">
        <v>2.5</v>
      </c>
      <c r="S222" s="77">
        <v>2</v>
      </c>
      <c r="T222" s="77">
        <v>1.5</v>
      </c>
      <c r="U222" s="77">
        <v>3</v>
      </c>
      <c r="V222" s="203" t="s">
        <v>5877</v>
      </c>
      <c r="W222" s="203">
        <v>3</v>
      </c>
      <c r="X222" s="203">
        <v>2.5</v>
      </c>
      <c r="Y222" s="203">
        <v>2</v>
      </c>
      <c r="Z222" s="203">
        <v>1.5</v>
      </c>
      <c r="AA222" s="203">
        <v>3</v>
      </c>
      <c r="AB222" s="203" t="s">
        <v>5877</v>
      </c>
      <c r="AC222" s="77">
        <v>3</v>
      </c>
      <c r="AD222" s="77">
        <v>2.5</v>
      </c>
      <c r="AE222" s="77">
        <v>2</v>
      </c>
      <c r="AF222" s="77">
        <v>1.5</v>
      </c>
      <c r="AG222" s="77">
        <v>3</v>
      </c>
      <c r="AH222" s="150" t="s">
        <v>3321</v>
      </c>
    </row>
    <row r="223" spans="1:34">
      <c r="A223" s="146">
        <v>170</v>
      </c>
      <c r="B223" s="147" t="s">
        <v>6396</v>
      </c>
      <c r="C223" s="153">
        <v>3</v>
      </c>
      <c r="D223" s="153">
        <v>2</v>
      </c>
      <c r="E223" s="153">
        <v>2.5</v>
      </c>
      <c r="F223" s="153">
        <v>2</v>
      </c>
      <c r="G223" s="153">
        <v>3</v>
      </c>
      <c r="H223" s="153" t="s">
        <v>5869</v>
      </c>
      <c r="I223" s="153" t="s">
        <v>3125</v>
      </c>
      <c r="J223" s="46"/>
      <c r="K223" s="203">
        <v>3</v>
      </c>
      <c r="L223" s="203">
        <v>2</v>
      </c>
      <c r="M223" s="203">
        <v>2</v>
      </c>
      <c r="N223" s="203">
        <v>2</v>
      </c>
      <c r="O223" s="203">
        <v>3</v>
      </c>
      <c r="P223" s="203" t="s">
        <v>62</v>
      </c>
      <c r="Q223" s="77">
        <v>3</v>
      </c>
      <c r="R223" s="77">
        <v>2</v>
      </c>
      <c r="S223" s="77">
        <v>2.5</v>
      </c>
      <c r="T223" s="77">
        <v>2.5</v>
      </c>
      <c r="U223" s="77">
        <v>3</v>
      </c>
      <c r="V223" s="203" t="s">
        <v>5872</v>
      </c>
      <c r="W223" s="203">
        <v>3</v>
      </c>
      <c r="X223" s="203">
        <v>2</v>
      </c>
      <c r="Y223" s="203">
        <v>2.5</v>
      </c>
      <c r="Z223" s="203">
        <v>2</v>
      </c>
      <c r="AA223" s="203">
        <v>3</v>
      </c>
      <c r="AB223" s="203" t="s">
        <v>5872</v>
      </c>
      <c r="AC223" s="77">
        <v>3</v>
      </c>
      <c r="AD223" s="77">
        <v>2</v>
      </c>
      <c r="AE223" s="77">
        <v>2.5</v>
      </c>
      <c r="AF223" s="77">
        <v>2</v>
      </c>
      <c r="AG223" s="77">
        <v>3</v>
      </c>
      <c r="AH223" s="150" t="s">
        <v>5997</v>
      </c>
    </row>
    <row r="224" spans="1:34">
      <c r="A224" s="146">
        <v>170</v>
      </c>
      <c r="B224" s="147" t="s">
        <v>6398</v>
      </c>
      <c r="C224" s="153">
        <v>3</v>
      </c>
      <c r="D224" s="153">
        <v>3</v>
      </c>
      <c r="E224" s="153">
        <v>2</v>
      </c>
      <c r="F224" s="153">
        <v>2</v>
      </c>
      <c r="G224" s="153">
        <v>3</v>
      </c>
      <c r="H224" s="153"/>
      <c r="I224" s="153" t="s">
        <v>3125</v>
      </c>
      <c r="J224" s="46"/>
      <c r="K224" s="203">
        <v>3</v>
      </c>
      <c r="L224" s="203">
        <v>2.5</v>
      </c>
      <c r="M224" s="203">
        <v>2</v>
      </c>
      <c r="N224" s="203">
        <v>2.5</v>
      </c>
      <c r="O224" s="203">
        <v>3</v>
      </c>
      <c r="P224" s="203" t="s">
        <v>6264</v>
      </c>
      <c r="Q224" s="77">
        <v>3</v>
      </c>
      <c r="R224" s="77">
        <v>2.5</v>
      </c>
      <c r="S224" s="77">
        <v>2</v>
      </c>
      <c r="T224" s="77">
        <v>2.5</v>
      </c>
      <c r="U224" s="77">
        <v>3</v>
      </c>
      <c r="V224" s="203" t="s">
        <v>5876</v>
      </c>
      <c r="W224" s="203">
        <v>3</v>
      </c>
      <c r="X224" s="203">
        <v>3</v>
      </c>
      <c r="Y224" s="203">
        <v>2</v>
      </c>
      <c r="Z224" s="203">
        <v>2.5</v>
      </c>
      <c r="AA224" s="203">
        <v>3</v>
      </c>
      <c r="AB224" s="203" t="s">
        <v>5876</v>
      </c>
      <c r="AC224" s="77">
        <v>3</v>
      </c>
      <c r="AD224" s="77">
        <v>2.5</v>
      </c>
      <c r="AE224" s="77">
        <v>2</v>
      </c>
      <c r="AF224" s="77">
        <v>2.5</v>
      </c>
      <c r="AG224" s="77">
        <v>3</v>
      </c>
      <c r="AH224" s="150" t="s">
        <v>171</v>
      </c>
    </row>
    <row r="225" spans="1:34">
      <c r="A225" s="146">
        <v>170</v>
      </c>
      <c r="B225" s="147" t="s">
        <v>6204</v>
      </c>
      <c r="C225" s="153">
        <v>3</v>
      </c>
      <c r="D225" s="153">
        <v>2.5</v>
      </c>
      <c r="E225" s="153">
        <v>2</v>
      </c>
      <c r="F225" s="153">
        <v>2</v>
      </c>
      <c r="G225" s="153">
        <v>3</v>
      </c>
      <c r="H225" s="153"/>
      <c r="I225" s="153" t="s">
        <v>3122</v>
      </c>
      <c r="J225" s="46"/>
      <c r="K225" s="203">
        <v>3</v>
      </c>
      <c r="L225" s="203">
        <v>2.5</v>
      </c>
      <c r="M225" s="203">
        <v>2</v>
      </c>
      <c r="N225" s="203">
        <v>1.5</v>
      </c>
      <c r="O225" s="203">
        <v>3</v>
      </c>
      <c r="P225" s="203" t="s">
        <v>3321</v>
      </c>
      <c r="Q225" s="77">
        <v>3</v>
      </c>
      <c r="R225" s="77">
        <v>2.5</v>
      </c>
      <c r="S225" s="77">
        <v>2</v>
      </c>
      <c r="T225" s="77">
        <v>2</v>
      </c>
      <c r="U225" s="77">
        <v>3</v>
      </c>
      <c r="V225" s="203" t="s">
        <v>5874</v>
      </c>
      <c r="W225" s="203">
        <v>3</v>
      </c>
      <c r="X225" s="203">
        <v>2.5</v>
      </c>
      <c r="Y225" s="203">
        <v>2</v>
      </c>
      <c r="Z225" s="203">
        <v>2</v>
      </c>
      <c r="AA225" s="203">
        <v>3</v>
      </c>
      <c r="AB225" s="203" t="s">
        <v>5872</v>
      </c>
      <c r="AC225" s="77">
        <v>3</v>
      </c>
      <c r="AD225" s="77">
        <v>2.5</v>
      </c>
      <c r="AE225" s="77">
        <v>2</v>
      </c>
      <c r="AF225" s="77">
        <v>2</v>
      </c>
      <c r="AG225" s="77">
        <v>3</v>
      </c>
      <c r="AH225" s="150" t="s">
        <v>5997</v>
      </c>
    </row>
    <row r="226" spans="1:34">
      <c r="A226" s="146">
        <v>170</v>
      </c>
      <c r="B226" s="147" t="s">
        <v>6210</v>
      </c>
      <c r="C226" s="153">
        <v>3</v>
      </c>
      <c r="D226" s="153">
        <v>2.5</v>
      </c>
      <c r="E226" s="153">
        <v>2</v>
      </c>
      <c r="F226" s="153">
        <v>2</v>
      </c>
      <c r="G226" s="153">
        <v>3</v>
      </c>
      <c r="H226" s="153" t="s">
        <v>5869</v>
      </c>
      <c r="I226" s="153" t="s">
        <v>3122</v>
      </c>
      <c r="J226" s="46"/>
      <c r="K226" s="203">
        <v>3</v>
      </c>
      <c r="L226" s="203">
        <v>2.5</v>
      </c>
      <c r="M226" s="203">
        <v>2</v>
      </c>
      <c r="N226" s="203">
        <v>1.5</v>
      </c>
      <c r="O226" s="203">
        <v>3</v>
      </c>
      <c r="P226" s="203" t="s">
        <v>3321</v>
      </c>
      <c r="Q226" s="77">
        <v>3</v>
      </c>
      <c r="R226" s="77">
        <v>2.5</v>
      </c>
      <c r="S226" s="77">
        <v>2</v>
      </c>
      <c r="T226" s="77">
        <v>2</v>
      </c>
      <c r="U226" s="77">
        <v>3</v>
      </c>
      <c r="V226" s="203" t="s">
        <v>5872</v>
      </c>
      <c r="W226" s="203">
        <v>3</v>
      </c>
      <c r="X226" s="203">
        <v>2.5</v>
      </c>
      <c r="Y226" s="203">
        <v>2.5</v>
      </c>
      <c r="Z226" s="203">
        <v>2</v>
      </c>
      <c r="AA226" s="203">
        <v>3</v>
      </c>
      <c r="AB226" s="203" t="s">
        <v>5873</v>
      </c>
      <c r="AC226" s="77">
        <v>3</v>
      </c>
      <c r="AD226" s="77">
        <v>2.5</v>
      </c>
      <c r="AE226" s="77">
        <v>2</v>
      </c>
      <c r="AF226" s="77">
        <v>2.5</v>
      </c>
      <c r="AG226" s="77">
        <v>3</v>
      </c>
      <c r="AH226" s="150" t="s">
        <v>171</v>
      </c>
    </row>
    <row r="227" spans="1:34">
      <c r="A227" s="146">
        <v>170</v>
      </c>
      <c r="B227" s="147" t="s">
        <v>6214</v>
      </c>
      <c r="C227" s="153">
        <v>3</v>
      </c>
      <c r="D227" s="153">
        <v>3</v>
      </c>
      <c r="E227" s="153">
        <v>2</v>
      </c>
      <c r="F227" s="153">
        <v>2</v>
      </c>
      <c r="G227" s="153">
        <v>3</v>
      </c>
      <c r="H227" s="153"/>
      <c r="I227" s="153" t="s">
        <v>3122</v>
      </c>
      <c r="J227" s="46"/>
      <c r="K227" s="203">
        <v>3</v>
      </c>
      <c r="L227" s="203">
        <v>3</v>
      </c>
      <c r="M227" s="203">
        <v>2</v>
      </c>
      <c r="N227" s="203">
        <v>2</v>
      </c>
      <c r="O227" s="203">
        <v>3</v>
      </c>
      <c r="P227" s="203" t="s">
        <v>5999</v>
      </c>
      <c r="Q227" s="77">
        <v>3</v>
      </c>
      <c r="R227" s="77">
        <v>2.5</v>
      </c>
      <c r="S227" s="77">
        <v>2.5</v>
      </c>
      <c r="T227" s="77">
        <v>2.5</v>
      </c>
      <c r="U227" s="77">
        <v>3</v>
      </c>
      <c r="V227" s="203" t="s">
        <v>5873</v>
      </c>
      <c r="W227" s="203">
        <v>3</v>
      </c>
      <c r="X227" s="203">
        <v>2.5</v>
      </c>
      <c r="Y227" s="203">
        <v>2.5</v>
      </c>
      <c r="Z227" s="203">
        <v>2.5</v>
      </c>
      <c r="AA227" s="203">
        <v>3</v>
      </c>
      <c r="AB227" s="203" t="s">
        <v>5873</v>
      </c>
      <c r="AC227" s="77">
        <v>3</v>
      </c>
      <c r="AD227" s="77">
        <v>3</v>
      </c>
      <c r="AE227" s="77">
        <v>2.5</v>
      </c>
      <c r="AF227" s="77">
        <v>2</v>
      </c>
      <c r="AG227" s="77">
        <v>3</v>
      </c>
      <c r="AH227" s="150" t="s">
        <v>170</v>
      </c>
    </row>
    <row r="228" spans="1:34">
      <c r="A228" s="146">
        <v>170</v>
      </c>
      <c r="B228" s="147" t="s">
        <v>6228</v>
      </c>
      <c r="C228" s="153">
        <v>3</v>
      </c>
      <c r="D228" s="153">
        <v>2.5</v>
      </c>
      <c r="E228" s="153">
        <v>2</v>
      </c>
      <c r="F228" s="153">
        <v>2</v>
      </c>
      <c r="G228" s="153">
        <v>3</v>
      </c>
      <c r="H228" s="153" t="s">
        <v>5869</v>
      </c>
      <c r="I228" s="153" t="s">
        <v>3122</v>
      </c>
      <c r="J228" s="46"/>
      <c r="K228" s="203">
        <v>3</v>
      </c>
      <c r="L228" s="203">
        <v>2</v>
      </c>
      <c r="M228" s="203">
        <v>2</v>
      </c>
      <c r="N228" s="203">
        <v>2</v>
      </c>
      <c r="O228" s="203">
        <v>3</v>
      </c>
      <c r="P228" s="203" t="s">
        <v>62</v>
      </c>
      <c r="Q228" s="77">
        <v>3</v>
      </c>
      <c r="R228" s="77">
        <v>2</v>
      </c>
      <c r="S228" s="77">
        <v>2.5</v>
      </c>
      <c r="T228" s="77">
        <v>2</v>
      </c>
      <c r="U228" s="77">
        <v>3</v>
      </c>
      <c r="V228" s="203" t="s">
        <v>5872</v>
      </c>
      <c r="W228" s="203">
        <v>3</v>
      </c>
      <c r="X228" s="203">
        <v>2.5</v>
      </c>
      <c r="Y228" s="203">
        <v>2.5</v>
      </c>
      <c r="Z228" s="203">
        <v>2.5</v>
      </c>
      <c r="AA228" s="203">
        <v>3</v>
      </c>
      <c r="AB228" s="203" t="s">
        <v>5873</v>
      </c>
      <c r="AC228" s="77">
        <v>3</v>
      </c>
      <c r="AD228" s="77">
        <v>2</v>
      </c>
      <c r="AE228" s="77">
        <v>2.5</v>
      </c>
      <c r="AF228" s="77">
        <v>2</v>
      </c>
      <c r="AG228" s="77">
        <v>3</v>
      </c>
      <c r="AH228" s="150" t="s">
        <v>5997</v>
      </c>
    </row>
    <row r="229" spans="1:34">
      <c r="A229" s="146">
        <v>171</v>
      </c>
      <c r="B229" s="147" t="s">
        <v>6408</v>
      </c>
      <c r="C229" s="77">
        <v>3</v>
      </c>
      <c r="D229" s="77">
        <v>3</v>
      </c>
      <c r="E229" s="77">
        <v>2</v>
      </c>
      <c r="F229" s="77">
        <v>2</v>
      </c>
      <c r="G229" s="77">
        <v>3</v>
      </c>
      <c r="H229" s="203"/>
      <c r="I229" s="153" t="s">
        <v>3125</v>
      </c>
      <c r="J229" s="46"/>
      <c r="K229" s="203">
        <v>3</v>
      </c>
      <c r="L229" s="203">
        <v>2.5</v>
      </c>
      <c r="M229" s="203">
        <v>2</v>
      </c>
      <c r="N229" s="203">
        <v>2</v>
      </c>
      <c r="O229" s="203">
        <v>3</v>
      </c>
      <c r="P229" s="203" t="s">
        <v>62</v>
      </c>
      <c r="Q229" s="77">
        <v>3</v>
      </c>
      <c r="R229" s="77">
        <v>2.5</v>
      </c>
      <c r="S229" s="77">
        <v>2</v>
      </c>
      <c r="T229" s="77">
        <v>2</v>
      </c>
      <c r="U229" s="77">
        <v>3</v>
      </c>
      <c r="V229" s="203" t="s">
        <v>5872</v>
      </c>
      <c r="W229" s="203">
        <v>3</v>
      </c>
      <c r="X229" s="203">
        <v>2.5</v>
      </c>
      <c r="Y229" s="203">
        <v>2</v>
      </c>
      <c r="Z229" s="203">
        <v>2.5</v>
      </c>
      <c r="AA229" s="203">
        <v>3</v>
      </c>
      <c r="AB229" s="203" t="s">
        <v>5961</v>
      </c>
      <c r="AC229" s="77">
        <v>3</v>
      </c>
      <c r="AD229" s="77">
        <v>2.5</v>
      </c>
      <c r="AE229" s="77">
        <v>2</v>
      </c>
      <c r="AF229" s="77">
        <v>2</v>
      </c>
      <c r="AG229" s="77">
        <v>3</v>
      </c>
      <c r="AH229" s="150" t="s">
        <v>4891</v>
      </c>
    </row>
    <row r="230" spans="1:34">
      <c r="A230" s="146">
        <v>171</v>
      </c>
      <c r="B230" s="147" t="s">
        <v>6409</v>
      </c>
      <c r="C230" s="77">
        <v>3</v>
      </c>
      <c r="D230" s="77">
        <v>2.5</v>
      </c>
      <c r="E230" s="77">
        <v>2</v>
      </c>
      <c r="F230" s="77">
        <v>2</v>
      </c>
      <c r="G230" s="77">
        <v>3</v>
      </c>
      <c r="H230" s="203" t="s">
        <v>5869</v>
      </c>
      <c r="I230" s="153" t="s">
        <v>3125</v>
      </c>
      <c r="J230" s="46"/>
      <c r="K230" s="203">
        <v>3</v>
      </c>
      <c r="L230" s="203">
        <v>2.5</v>
      </c>
      <c r="M230" s="203">
        <v>2</v>
      </c>
      <c r="N230" s="203">
        <v>2</v>
      </c>
      <c r="O230" s="203">
        <v>3</v>
      </c>
      <c r="P230" s="203" t="s">
        <v>62</v>
      </c>
      <c r="Q230" s="77">
        <v>3</v>
      </c>
      <c r="R230" s="77">
        <v>2</v>
      </c>
      <c r="S230" s="77">
        <v>2</v>
      </c>
      <c r="T230" s="77">
        <v>2</v>
      </c>
      <c r="U230" s="77">
        <v>3</v>
      </c>
      <c r="V230" s="203" t="s">
        <v>62</v>
      </c>
      <c r="W230" s="203">
        <v>3</v>
      </c>
      <c r="X230" s="203">
        <v>2</v>
      </c>
      <c r="Y230" s="203">
        <v>2.5</v>
      </c>
      <c r="Z230" s="203">
        <v>2</v>
      </c>
      <c r="AA230" s="203">
        <v>3</v>
      </c>
      <c r="AB230" s="203" t="s">
        <v>5872</v>
      </c>
      <c r="AC230" s="77">
        <v>3</v>
      </c>
      <c r="AD230" s="77">
        <v>2.5</v>
      </c>
      <c r="AE230" s="77">
        <v>2</v>
      </c>
      <c r="AF230" s="77">
        <v>2</v>
      </c>
      <c r="AG230" s="77">
        <v>3</v>
      </c>
      <c r="AH230" s="150" t="s">
        <v>62</v>
      </c>
    </row>
    <row r="231" spans="1:34">
      <c r="A231" s="146">
        <v>171</v>
      </c>
      <c r="B231" s="147" t="s">
        <v>6410</v>
      </c>
      <c r="C231" s="77">
        <v>3</v>
      </c>
      <c r="D231" s="77">
        <v>2.5</v>
      </c>
      <c r="E231" s="77">
        <v>2</v>
      </c>
      <c r="F231" s="77">
        <v>2</v>
      </c>
      <c r="G231" s="77">
        <v>3</v>
      </c>
      <c r="H231" s="203" t="s">
        <v>5869</v>
      </c>
      <c r="I231" s="153" t="s">
        <v>3125</v>
      </c>
      <c r="J231" s="46"/>
      <c r="K231" s="203">
        <v>3</v>
      </c>
      <c r="L231" s="203">
        <v>2.5</v>
      </c>
      <c r="M231" s="203">
        <v>2</v>
      </c>
      <c r="N231" s="203">
        <v>2</v>
      </c>
      <c r="O231" s="203">
        <v>3</v>
      </c>
      <c r="P231" s="203" t="s">
        <v>4891</v>
      </c>
      <c r="Q231" s="77">
        <v>3</v>
      </c>
      <c r="R231" s="77">
        <v>2.5</v>
      </c>
      <c r="S231" s="77">
        <v>2</v>
      </c>
      <c r="T231" s="77">
        <v>2</v>
      </c>
      <c r="U231" s="77">
        <v>3</v>
      </c>
      <c r="V231" s="203" t="s">
        <v>5874</v>
      </c>
      <c r="W231" s="203">
        <v>3</v>
      </c>
      <c r="X231" s="203">
        <v>2</v>
      </c>
      <c r="Y231" s="203">
        <v>2</v>
      </c>
      <c r="Z231" s="203">
        <v>2</v>
      </c>
      <c r="AA231" s="203">
        <v>3</v>
      </c>
      <c r="AB231" s="203" t="s">
        <v>62</v>
      </c>
      <c r="AC231" s="77">
        <v>3</v>
      </c>
      <c r="AD231" s="77">
        <v>2.5</v>
      </c>
      <c r="AE231" s="77">
        <v>2</v>
      </c>
      <c r="AF231" s="77">
        <v>2</v>
      </c>
      <c r="AG231" s="77">
        <v>3</v>
      </c>
      <c r="AH231" s="150" t="s">
        <v>62</v>
      </c>
    </row>
    <row r="232" spans="1:34">
      <c r="A232" s="146">
        <v>171</v>
      </c>
      <c r="B232" s="147" t="s">
        <v>6413</v>
      </c>
      <c r="C232" s="77">
        <v>3</v>
      </c>
      <c r="D232" s="77">
        <v>2.5</v>
      </c>
      <c r="E232" s="77">
        <v>2</v>
      </c>
      <c r="F232" s="77">
        <v>2</v>
      </c>
      <c r="G232" s="77">
        <v>3</v>
      </c>
      <c r="H232" s="203" t="s">
        <v>5869</v>
      </c>
      <c r="I232" s="153" t="s">
        <v>3125</v>
      </c>
      <c r="J232" s="46"/>
      <c r="K232" s="203">
        <v>3</v>
      </c>
      <c r="L232" s="203">
        <v>2.5</v>
      </c>
      <c r="M232" s="203">
        <v>2</v>
      </c>
      <c r="N232" s="203">
        <v>2.5</v>
      </c>
      <c r="O232" s="203">
        <v>3</v>
      </c>
      <c r="P232" s="203" t="s">
        <v>4891</v>
      </c>
      <c r="Q232" s="77">
        <v>3</v>
      </c>
      <c r="R232" s="77">
        <v>2</v>
      </c>
      <c r="S232" s="77">
        <v>2</v>
      </c>
      <c r="T232" s="77">
        <v>2.5</v>
      </c>
      <c r="U232" s="77">
        <v>3</v>
      </c>
      <c r="V232" s="203" t="s">
        <v>5872</v>
      </c>
      <c r="W232" s="203">
        <v>3</v>
      </c>
      <c r="X232" s="203">
        <v>2.5</v>
      </c>
      <c r="Y232" s="203">
        <v>2.5</v>
      </c>
      <c r="Z232" s="203">
        <v>2.5</v>
      </c>
      <c r="AA232" s="203">
        <v>3</v>
      </c>
      <c r="AB232" s="203" t="s">
        <v>5876</v>
      </c>
      <c r="AC232" s="77">
        <v>3</v>
      </c>
      <c r="AD232" s="77">
        <v>2.5</v>
      </c>
      <c r="AE232" s="77">
        <v>2</v>
      </c>
      <c r="AF232" s="77">
        <v>2</v>
      </c>
      <c r="AG232" s="77">
        <v>3</v>
      </c>
      <c r="AH232" s="150" t="s">
        <v>5997</v>
      </c>
    </row>
    <row r="233" spans="1:34">
      <c r="A233" s="146">
        <v>171</v>
      </c>
      <c r="B233" s="147" t="s">
        <v>6208</v>
      </c>
      <c r="C233" s="77">
        <v>3</v>
      </c>
      <c r="D233" s="77">
        <v>2.5</v>
      </c>
      <c r="E233" s="77">
        <v>2</v>
      </c>
      <c r="F233" s="77">
        <v>2</v>
      </c>
      <c r="G233" s="77">
        <v>3</v>
      </c>
      <c r="H233" s="203"/>
      <c r="I233" s="153" t="s">
        <v>3122</v>
      </c>
      <c r="J233" s="46"/>
      <c r="K233" s="203">
        <v>3</v>
      </c>
      <c r="L233" s="203">
        <v>2.5</v>
      </c>
      <c r="M233" s="203">
        <v>2</v>
      </c>
      <c r="N233" s="203">
        <v>1.5</v>
      </c>
      <c r="O233" s="203">
        <v>3</v>
      </c>
      <c r="P233" s="203" t="s">
        <v>62</v>
      </c>
      <c r="Q233" s="77">
        <v>3</v>
      </c>
      <c r="R233" s="77">
        <v>2</v>
      </c>
      <c r="S233" s="77">
        <v>2.5</v>
      </c>
      <c r="T233" s="77">
        <v>2.5</v>
      </c>
      <c r="U233" s="77">
        <v>3</v>
      </c>
      <c r="V233" s="203" t="s">
        <v>5872</v>
      </c>
      <c r="W233" s="203">
        <v>3</v>
      </c>
      <c r="X233" s="203">
        <v>2</v>
      </c>
      <c r="Y233" s="203">
        <v>2.5</v>
      </c>
      <c r="Z233" s="203">
        <v>2.5</v>
      </c>
      <c r="AA233" s="203">
        <v>3</v>
      </c>
      <c r="AB233" s="203" t="s">
        <v>5875</v>
      </c>
      <c r="AC233" s="77">
        <v>3</v>
      </c>
      <c r="AD233" s="77">
        <v>2.5</v>
      </c>
      <c r="AE233" s="77">
        <v>2</v>
      </c>
      <c r="AF233" s="77">
        <v>2</v>
      </c>
      <c r="AG233" s="77">
        <v>3</v>
      </c>
      <c r="AH233" s="150" t="s">
        <v>4891</v>
      </c>
    </row>
    <row r="234" spans="1:34">
      <c r="A234" s="146">
        <v>171</v>
      </c>
      <c r="B234" s="147" t="s">
        <v>6224</v>
      </c>
      <c r="C234" s="77">
        <v>3</v>
      </c>
      <c r="D234" s="77">
        <v>3</v>
      </c>
      <c r="E234" s="77">
        <v>2</v>
      </c>
      <c r="F234" s="77">
        <v>2</v>
      </c>
      <c r="G234" s="77">
        <v>3</v>
      </c>
      <c r="H234" s="203"/>
      <c r="I234" s="153" t="s">
        <v>3122</v>
      </c>
      <c r="J234" s="46"/>
      <c r="K234" s="203">
        <v>3</v>
      </c>
      <c r="L234" s="203">
        <v>2.5</v>
      </c>
      <c r="M234" s="203">
        <v>2.5</v>
      </c>
      <c r="N234" s="203">
        <v>2</v>
      </c>
      <c r="O234" s="203">
        <v>3</v>
      </c>
      <c r="P234" s="203" t="s">
        <v>4891</v>
      </c>
      <c r="Q234" s="77">
        <v>3</v>
      </c>
      <c r="R234" s="77">
        <v>2</v>
      </c>
      <c r="S234" s="77">
        <v>2.5</v>
      </c>
      <c r="T234" s="77">
        <v>2</v>
      </c>
      <c r="U234" s="77">
        <v>3</v>
      </c>
      <c r="V234" s="203" t="s">
        <v>5872</v>
      </c>
      <c r="W234" s="203">
        <v>3</v>
      </c>
      <c r="X234" s="203">
        <v>2</v>
      </c>
      <c r="Y234" s="203">
        <v>2.5</v>
      </c>
      <c r="Z234" s="203">
        <v>2.5</v>
      </c>
      <c r="AA234" s="203">
        <v>3</v>
      </c>
      <c r="AB234" s="203" t="s">
        <v>5961</v>
      </c>
      <c r="AC234" s="77">
        <v>3</v>
      </c>
      <c r="AD234" s="77">
        <v>2</v>
      </c>
      <c r="AE234" s="77">
        <v>2.5</v>
      </c>
      <c r="AF234" s="77">
        <v>2</v>
      </c>
      <c r="AG234" s="77">
        <v>3</v>
      </c>
      <c r="AH234" s="150" t="s">
        <v>4891</v>
      </c>
    </row>
    <row r="235" spans="1:34">
      <c r="A235" s="146">
        <v>171</v>
      </c>
      <c r="B235" s="147" t="s">
        <v>6230</v>
      </c>
      <c r="C235" s="77">
        <v>3</v>
      </c>
      <c r="D235" s="77">
        <v>3</v>
      </c>
      <c r="E235" s="77">
        <v>2</v>
      </c>
      <c r="F235" s="77">
        <v>2</v>
      </c>
      <c r="G235" s="77">
        <v>3</v>
      </c>
      <c r="H235" s="203"/>
      <c r="I235" s="153" t="s">
        <v>3122</v>
      </c>
      <c r="J235" s="46"/>
      <c r="K235" s="203">
        <v>3</v>
      </c>
      <c r="L235" s="203">
        <v>2.5</v>
      </c>
      <c r="M235" s="203">
        <v>2</v>
      </c>
      <c r="N235" s="203">
        <v>2</v>
      </c>
      <c r="O235" s="203">
        <v>3</v>
      </c>
      <c r="P235" s="203" t="s">
        <v>4891</v>
      </c>
      <c r="Q235" s="77">
        <v>3</v>
      </c>
      <c r="R235" s="77">
        <v>2.5</v>
      </c>
      <c r="S235" s="77">
        <v>2.5</v>
      </c>
      <c r="T235" s="77">
        <v>2.5</v>
      </c>
      <c r="U235" s="77">
        <v>3</v>
      </c>
      <c r="V235" s="203" t="s">
        <v>5960</v>
      </c>
      <c r="W235" s="203">
        <v>3</v>
      </c>
      <c r="X235" s="203">
        <v>2.5</v>
      </c>
      <c r="Y235" s="203">
        <v>2.5</v>
      </c>
      <c r="Z235" s="203">
        <v>2.5</v>
      </c>
      <c r="AA235" s="203">
        <v>3</v>
      </c>
      <c r="AB235" s="203" t="s">
        <v>5875</v>
      </c>
      <c r="AC235" s="77">
        <v>3</v>
      </c>
      <c r="AD235" s="77">
        <v>2.5</v>
      </c>
      <c r="AE235" s="77">
        <v>2</v>
      </c>
      <c r="AF235" s="77">
        <v>2.5</v>
      </c>
      <c r="AG235" s="77">
        <v>3</v>
      </c>
      <c r="AH235" s="150" t="s">
        <v>171</v>
      </c>
    </row>
  </sheetData>
  <protectedRanges>
    <protectedRange sqref="C77" name="Range1_2"/>
    <protectedRange sqref="C210" name="Range1_2_1"/>
  </protectedRanges>
  <mergeCells count="17">
    <mergeCell ref="K158:P158"/>
    <mergeCell ref="Q1:U1"/>
    <mergeCell ref="AH1:AH2"/>
    <mergeCell ref="AC1:AG1"/>
    <mergeCell ref="H1:H2"/>
    <mergeCell ref="I1:I2"/>
    <mergeCell ref="J1:J2"/>
    <mergeCell ref="P1:P2"/>
    <mergeCell ref="V1:V2"/>
    <mergeCell ref="AB1:AB2"/>
    <mergeCell ref="W1:AA1"/>
    <mergeCell ref="A1:A2"/>
    <mergeCell ref="B1:B2"/>
    <mergeCell ref="C1:G1"/>
    <mergeCell ref="K1:O1"/>
    <mergeCell ref="K119:P119"/>
    <mergeCell ref="K93:P93"/>
  </mergeCells>
  <conditionalFormatting sqref="H1">
    <cfRule type="containsText" dxfId="2768" priority="150" operator="containsText" text="B1">
      <formula>NOT(ISERROR(SEARCH("B1",H1)))</formula>
    </cfRule>
    <cfRule type="containsText" dxfId="2767" priority="151" operator="containsText" text="A2">
      <formula>NOT(ISERROR(SEARCH("A2",H1)))</formula>
    </cfRule>
    <cfRule type="containsText" dxfId="2766" priority="152" operator="containsText" text="Domestic">
      <formula>NOT(ISERROR(SEARCH("Domestic",H1)))</formula>
    </cfRule>
    <cfRule type="containsText" dxfId="2765" priority="153" operator="containsText" text="Re-join">
      <formula>NOT(ISERROR(SEARCH("Re-join",H1)))</formula>
    </cfRule>
    <cfRule type="containsText" dxfId="2764" priority="154" operator="containsText" text="Resigned">
      <formula>NOT(ISERROR(SEARCH("Resigned",H1)))</formula>
    </cfRule>
    <cfRule type="containsText" dxfId="2763" priority="155" operator="containsText" text="Dismissed">
      <formula>NOT(ISERROR(SEARCH("Dismissed",H1)))</formula>
    </cfRule>
    <cfRule type="containsText" dxfId="2762" priority="156" operator="containsText" text="Nearshore">
      <formula>NOT(ISERROR(SEARCH("Nearshore",H1)))</formula>
    </cfRule>
    <cfRule type="containsText" dxfId="2761" priority="157" operator="containsText" text="Freedom">
      <formula>NOT(ISERROR(SEARCH("Freedom",H1)))</formula>
    </cfRule>
    <cfRule type="containsText" dxfId="2760" priority="158" operator="containsText" text="WU">
      <formula>NOT(ISERROR(SEARCH("WU",H1)))</formula>
    </cfRule>
    <cfRule type="containsText" dxfId="2759" priority="159" operator="containsText" text="Expedia">
      <formula>NOT(ISERROR(SEARCH("Expedia",H1)))</formula>
    </cfRule>
  </conditionalFormatting>
  <conditionalFormatting sqref="I1">
    <cfRule type="containsText" dxfId="2758" priority="149" operator="containsText" text="No">
      <formula>NOT(ISERROR(SEARCH("No",I1)))</formula>
    </cfRule>
  </conditionalFormatting>
  <conditionalFormatting sqref="H1">
    <cfRule type="containsText" dxfId="2757" priority="148" operator="containsText" text="Du Enterprise">
      <formula>NOT(ISERROR(SEARCH("Du Enterprise",H1)))</formula>
    </cfRule>
  </conditionalFormatting>
  <conditionalFormatting sqref="C1">
    <cfRule type="containsText" dxfId="2756" priority="138" operator="containsText" text="B1">
      <formula>NOT(ISERROR(SEARCH("B1",C1)))</formula>
    </cfRule>
    <cfRule type="containsText" dxfId="2755" priority="139" operator="containsText" text="A2">
      <formula>NOT(ISERROR(SEARCH("A2",C1)))</formula>
    </cfRule>
    <cfRule type="containsText" dxfId="2754" priority="140" operator="containsText" text="Domestic">
      <formula>NOT(ISERROR(SEARCH("Domestic",C1)))</formula>
    </cfRule>
    <cfRule type="containsText" dxfId="2753" priority="141" operator="containsText" text="Re-join">
      <formula>NOT(ISERROR(SEARCH("Re-join",C1)))</formula>
    </cfRule>
    <cfRule type="containsText" dxfId="2752" priority="142" operator="containsText" text="Resigned">
      <formula>NOT(ISERROR(SEARCH("Resigned",C1)))</formula>
    </cfRule>
    <cfRule type="containsText" dxfId="2751" priority="143" operator="containsText" text="Dismissed">
      <formula>NOT(ISERROR(SEARCH("Dismissed",C1)))</formula>
    </cfRule>
    <cfRule type="containsText" dxfId="2750" priority="144" operator="containsText" text="Nearshore">
      <formula>NOT(ISERROR(SEARCH("Nearshore",C1)))</formula>
    </cfRule>
    <cfRule type="containsText" dxfId="2749" priority="145" operator="containsText" text="Freedom">
      <formula>NOT(ISERROR(SEARCH("Freedom",C1)))</formula>
    </cfRule>
    <cfRule type="containsText" dxfId="2748" priority="146" operator="containsText" text="WU">
      <formula>NOT(ISERROR(SEARCH("WU",C1)))</formula>
    </cfRule>
    <cfRule type="containsText" dxfId="2747" priority="147" operator="containsText" text="Expedia">
      <formula>NOT(ISERROR(SEARCH("Expedia",C1)))</formula>
    </cfRule>
  </conditionalFormatting>
  <conditionalFormatting sqref="C1">
    <cfRule type="containsText" dxfId="2746" priority="137" operator="containsText" text="Du Enterprise">
      <formula>NOT(ISERROR(SEARCH("Du Enterprise",C1)))</formula>
    </cfRule>
  </conditionalFormatting>
  <conditionalFormatting sqref="K1">
    <cfRule type="containsText" dxfId="2745" priority="127" operator="containsText" text="B1">
      <formula>NOT(ISERROR(SEARCH("B1",K1)))</formula>
    </cfRule>
    <cfRule type="containsText" dxfId="2744" priority="128" operator="containsText" text="A2">
      <formula>NOT(ISERROR(SEARCH("A2",K1)))</formula>
    </cfRule>
    <cfRule type="containsText" dxfId="2743" priority="129" operator="containsText" text="Domestic">
      <formula>NOT(ISERROR(SEARCH("Domestic",K1)))</formula>
    </cfRule>
    <cfRule type="containsText" dxfId="2742" priority="130" operator="containsText" text="Re-join">
      <formula>NOT(ISERROR(SEARCH("Re-join",K1)))</formula>
    </cfRule>
    <cfRule type="containsText" dxfId="2741" priority="131" operator="containsText" text="Resigned">
      <formula>NOT(ISERROR(SEARCH("Resigned",K1)))</formula>
    </cfRule>
    <cfRule type="containsText" dxfId="2740" priority="132" operator="containsText" text="Dismissed">
      <formula>NOT(ISERROR(SEARCH("Dismissed",K1)))</formula>
    </cfRule>
    <cfRule type="containsText" dxfId="2739" priority="133" operator="containsText" text="Nearshore">
      <formula>NOT(ISERROR(SEARCH("Nearshore",K1)))</formula>
    </cfRule>
    <cfRule type="containsText" dxfId="2738" priority="134" operator="containsText" text="Freedom">
      <formula>NOT(ISERROR(SEARCH("Freedom",K1)))</formula>
    </cfRule>
    <cfRule type="containsText" dxfId="2737" priority="135" operator="containsText" text="WU">
      <formula>NOT(ISERROR(SEARCH("WU",K1)))</formula>
    </cfRule>
    <cfRule type="containsText" dxfId="2736" priority="136" operator="containsText" text="Expedia">
      <formula>NOT(ISERROR(SEARCH("Expedia",K1)))</formula>
    </cfRule>
  </conditionalFormatting>
  <conditionalFormatting sqref="K1">
    <cfRule type="containsText" dxfId="2735" priority="126" operator="containsText" text="Du Enterprise">
      <formula>NOT(ISERROR(SEARCH("Du Enterprise",K1)))</formula>
    </cfRule>
  </conditionalFormatting>
  <conditionalFormatting sqref="Q1">
    <cfRule type="containsText" dxfId="2734" priority="116" operator="containsText" text="B1">
      <formula>NOT(ISERROR(SEARCH("B1",Q1)))</formula>
    </cfRule>
    <cfRule type="containsText" dxfId="2733" priority="117" operator="containsText" text="A2">
      <formula>NOT(ISERROR(SEARCH("A2",Q1)))</formula>
    </cfRule>
    <cfRule type="containsText" dxfId="2732" priority="118" operator="containsText" text="Domestic">
      <formula>NOT(ISERROR(SEARCH("Domestic",Q1)))</formula>
    </cfRule>
    <cfRule type="containsText" dxfId="2731" priority="119" operator="containsText" text="Re-join">
      <formula>NOT(ISERROR(SEARCH("Re-join",Q1)))</formula>
    </cfRule>
    <cfRule type="containsText" dxfId="2730" priority="120" operator="containsText" text="Resigned">
      <formula>NOT(ISERROR(SEARCH("Resigned",Q1)))</formula>
    </cfRule>
    <cfRule type="containsText" dxfId="2729" priority="121" operator="containsText" text="Dismissed">
      <formula>NOT(ISERROR(SEARCH("Dismissed",Q1)))</formula>
    </cfRule>
    <cfRule type="containsText" dxfId="2728" priority="122" operator="containsText" text="Nearshore">
      <formula>NOT(ISERROR(SEARCH("Nearshore",Q1)))</formula>
    </cfRule>
    <cfRule type="containsText" dxfId="2727" priority="123" operator="containsText" text="Freedom">
      <formula>NOT(ISERROR(SEARCH("Freedom",Q1)))</formula>
    </cfRule>
    <cfRule type="containsText" dxfId="2726" priority="124" operator="containsText" text="WU">
      <formula>NOT(ISERROR(SEARCH("WU",Q1)))</formula>
    </cfRule>
    <cfRule type="containsText" dxfId="2725" priority="125" operator="containsText" text="Expedia">
      <formula>NOT(ISERROR(SEARCH("Expedia",Q1)))</formula>
    </cfRule>
  </conditionalFormatting>
  <conditionalFormatting sqref="Q1">
    <cfRule type="containsText" dxfId="2724" priority="115" operator="containsText" text="Du Enterprise">
      <formula>NOT(ISERROR(SEARCH("Du Enterprise",Q1)))</formula>
    </cfRule>
  </conditionalFormatting>
  <conditionalFormatting sqref="W1">
    <cfRule type="containsText" dxfId="2723" priority="105" operator="containsText" text="B1">
      <formula>NOT(ISERROR(SEARCH("B1",W1)))</formula>
    </cfRule>
    <cfRule type="containsText" dxfId="2722" priority="106" operator="containsText" text="A2">
      <formula>NOT(ISERROR(SEARCH("A2",W1)))</formula>
    </cfRule>
    <cfRule type="containsText" dxfId="2721" priority="107" operator="containsText" text="Domestic">
      <formula>NOT(ISERROR(SEARCH("Domestic",W1)))</formula>
    </cfRule>
    <cfRule type="containsText" dxfId="2720" priority="108" operator="containsText" text="Re-join">
      <formula>NOT(ISERROR(SEARCH("Re-join",W1)))</formula>
    </cfRule>
    <cfRule type="containsText" dxfId="2719" priority="109" operator="containsText" text="Resigned">
      <formula>NOT(ISERROR(SEARCH("Resigned",W1)))</formula>
    </cfRule>
    <cfRule type="containsText" dxfId="2718" priority="110" operator="containsText" text="Dismissed">
      <formula>NOT(ISERROR(SEARCH("Dismissed",W1)))</formula>
    </cfRule>
    <cfRule type="containsText" dxfId="2717" priority="111" operator="containsText" text="Nearshore">
      <formula>NOT(ISERROR(SEARCH("Nearshore",W1)))</formula>
    </cfRule>
    <cfRule type="containsText" dxfId="2716" priority="112" operator="containsText" text="Freedom">
      <formula>NOT(ISERROR(SEARCH("Freedom",W1)))</formula>
    </cfRule>
    <cfRule type="containsText" dxfId="2715" priority="113" operator="containsText" text="WU">
      <formula>NOT(ISERROR(SEARCH("WU",W1)))</formula>
    </cfRule>
    <cfRule type="containsText" dxfId="2714" priority="114" operator="containsText" text="Expedia">
      <formula>NOT(ISERROR(SEARCH("Expedia",W1)))</formula>
    </cfRule>
  </conditionalFormatting>
  <conditionalFormatting sqref="W1">
    <cfRule type="containsText" dxfId="2713" priority="104" operator="containsText" text="Du Enterprise">
      <formula>NOT(ISERROR(SEARCH("Du Enterprise",W1)))</formula>
    </cfRule>
  </conditionalFormatting>
  <conditionalFormatting sqref="AC1">
    <cfRule type="containsText" dxfId="2712" priority="94" operator="containsText" text="B1">
      <formula>NOT(ISERROR(SEARCH("B1",AC1)))</formula>
    </cfRule>
    <cfRule type="containsText" dxfId="2711" priority="95" operator="containsText" text="A2">
      <formula>NOT(ISERROR(SEARCH("A2",AC1)))</formula>
    </cfRule>
    <cfRule type="containsText" dxfId="2710" priority="96" operator="containsText" text="Domestic">
      <formula>NOT(ISERROR(SEARCH("Domestic",AC1)))</formula>
    </cfRule>
    <cfRule type="containsText" dxfId="2709" priority="97" operator="containsText" text="Re-join">
      <formula>NOT(ISERROR(SEARCH("Re-join",AC1)))</formula>
    </cfRule>
    <cfRule type="containsText" dxfId="2708" priority="98" operator="containsText" text="Resigned">
      <formula>NOT(ISERROR(SEARCH("Resigned",AC1)))</formula>
    </cfRule>
    <cfRule type="containsText" dxfId="2707" priority="99" operator="containsText" text="Dismissed">
      <formula>NOT(ISERROR(SEARCH("Dismissed",AC1)))</formula>
    </cfRule>
    <cfRule type="containsText" dxfId="2706" priority="100" operator="containsText" text="Nearshore">
      <formula>NOT(ISERROR(SEARCH("Nearshore",AC1)))</formula>
    </cfRule>
    <cfRule type="containsText" dxfId="2705" priority="101" operator="containsText" text="Freedom">
      <formula>NOT(ISERROR(SEARCH("Freedom",AC1)))</formula>
    </cfRule>
    <cfRule type="containsText" dxfId="2704" priority="102" operator="containsText" text="WU">
      <formula>NOT(ISERROR(SEARCH("WU",AC1)))</formula>
    </cfRule>
    <cfRule type="containsText" dxfId="2703" priority="103" operator="containsText" text="Expedia">
      <formula>NOT(ISERROR(SEARCH("Expedia",AC1)))</formula>
    </cfRule>
  </conditionalFormatting>
  <conditionalFormatting sqref="AC1">
    <cfRule type="containsText" dxfId="2702" priority="93" operator="containsText" text="Du Enterprise">
      <formula>NOT(ISERROR(SEARCH("Du Enterprise",AC1)))</formula>
    </cfRule>
  </conditionalFormatting>
  <conditionalFormatting sqref="P1">
    <cfRule type="containsText" dxfId="2701" priority="83" operator="containsText" text="B1">
      <formula>NOT(ISERROR(SEARCH("B1",P1)))</formula>
    </cfRule>
    <cfRule type="containsText" dxfId="2700" priority="84" operator="containsText" text="A2">
      <formula>NOT(ISERROR(SEARCH("A2",P1)))</formula>
    </cfRule>
    <cfRule type="containsText" dxfId="2699" priority="85" operator="containsText" text="Domestic">
      <formula>NOT(ISERROR(SEARCH("Domestic",P1)))</formula>
    </cfRule>
    <cfRule type="containsText" dxfId="2698" priority="86" operator="containsText" text="Re-join">
      <formula>NOT(ISERROR(SEARCH("Re-join",P1)))</formula>
    </cfRule>
    <cfRule type="containsText" dxfId="2697" priority="87" operator="containsText" text="Resigned">
      <formula>NOT(ISERROR(SEARCH("Resigned",P1)))</formula>
    </cfRule>
    <cfRule type="containsText" dxfId="2696" priority="88" operator="containsText" text="Dismissed">
      <formula>NOT(ISERROR(SEARCH("Dismissed",P1)))</formula>
    </cfRule>
    <cfRule type="containsText" dxfId="2695" priority="89" operator="containsText" text="Nearshore">
      <formula>NOT(ISERROR(SEARCH("Nearshore",P1)))</formula>
    </cfRule>
    <cfRule type="containsText" dxfId="2694" priority="90" operator="containsText" text="Freedom">
      <formula>NOT(ISERROR(SEARCH("Freedom",P1)))</formula>
    </cfRule>
    <cfRule type="containsText" dxfId="2693" priority="91" operator="containsText" text="WU">
      <formula>NOT(ISERROR(SEARCH("WU",P1)))</formula>
    </cfRule>
    <cfRule type="containsText" dxfId="2692" priority="92" operator="containsText" text="Expedia">
      <formula>NOT(ISERROR(SEARCH("Expedia",P1)))</formula>
    </cfRule>
  </conditionalFormatting>
  <conditionalFormatting sqref="P1">
    <cfRule type="containsText" dxfId="2691" priority="82" operator="containsText" text="Du Enterprise">
      <formula>NOT(ISERROR(SEARCH("Du Enterprise",P1)))</formula>
    </cfRule>
  </conditionalFormatting>
  <conditionalFormatting sqref="V1">
    <cfRule type="containsText" dxfId="2690" priority="72" operator="containsText" text="B1">
      <formula>NOT(ISERROR(SEARCH("B1",V1)))</formula>
    </cfRule>
    <cfRule type="containsText" dxfId="2689" priority="73" operator="containsText" text="A2">
      <formula>NOT(ISERROR(SEARCH("A2",V1)))</formula>
    </cfRule>
    <cfRule type="containsText" dxfId="2688" priority="74" operator="containsText" text="Domestic">
      <formula>NOT(ISERROR(SEARCH("Domestic",V1)))</formula>
    </cfRule>
    <cfRule type="containsText" dxfId="2687" priority="75" operator="containsText" text="Re-join">
      <formula>NOT(ISERROR(SEARCH("Re-join",V1)))</formula>
    </cfRule>
    <cfRule type="containsText" dxfId="2686" priority="76" operator="containsText" text="Resigned">
      <formula>NOT(ISERROR(SEARCH("Resigned",V1)))</formula>
    </cfRule>
    <cfRule type="containsText" dxfId="2685" priority="77" operator="containsText" text="Dismissed">
      <formula>NOT(ISERROR(SEARCH("Dismissed",V1)))</formula>
    </cfRule>
    <cfRule type="containsText" dxfId="2684" priority="78" operator="containsText" text="Nearshore">
      <formula>NOT(ISERROR(SEARCH("Nearshore",V1)))</formula>
    </cfRule>
    <cfRule type="containsText" dxfId="2683" priority="79" operator="containsText" text="Freedom">
      <formula>NOT(ISERROR(SEARCH("Freedom",V1)))</formula>
    </cfRule>
    <cfRule type="containsText" dxfId="2682" priority="80" operator="containsText" text="WU">
      <formula>NOT(ISERROR(SEARCH("WU",V1)))</formula>
    </cfRule>
    <cfRule type="containsText" dxfId="2681" priority="81" operator="containsText" text="Expedia">
      <formula>NOT(ISERROR(SEARCH("Expedia",V1)))</formula>
    </cfRule>
  </conditionalFormatting>
  <conditionalFormatting sqref="V1">
    <cfRule type="containsText" dxfId="2680" priority="71" operator="containsText" text="Du Enterprise">
      <formula>NOT(ISERROR(SEARCH("Du Enterprise",V1)))</formula>
    </cfRule>
  </conditionalFormatting>
  <conditionalFormatting sqref="AB1">
    <cfRule type="containsText" dxfId="2679" priority="61" operator="containsText" text="B1">
      <formula>NOT(ISERROR(SEARCH("B1",AB1)))</formula>
    </cfRule>
    <cfRule type="containsText" dxfId="2678" priority="62" operator="containsText" text="A2">
      <formula>NOT(ISERROR(SEARCH("A2",AB1)))</formula>
    </cfRule>
    <cfRule type="containsText" dxfId="2677" priority="63" operator="containsText" text="Domestic">
      <formula>NOT(ISERROR(SEARCH("Domestic",AB1)))</formula>
    </cfRule>
    <cfRule type="containsText" dxfId="2676" priority="64" operator="containsText" text="Re-join">
      <formula>NOT(ISERROR(SEARCH("Re-join",AB1)))</formula>
    </cfRule>
    <cfRule type="containsText" dxfId="2675" priority="65" operator="containsText" text="Resigned">
      <formula>NOT(ISERROR(SEARCH("Resigned",AB1)))</formula>
    </cfRule>
    <cfRule type="containsText" dxfId="2674" priority="66" operator="containsText" text="Dismissed">
      <formula>NOT(ISERROR(SEARCH("Dismissed",AB1)))</formula>
    </cfRule>
    <cfRule type="containsText" dxfId="2673" priority="67" operator="containsText" text="Nearshore">
      <formula>NOT(ISERROR(SEARCH("Nearshore",AB1)))</formula>
    </cfRule>
    <cfRule type="containsText" dxfId="2672" priority="68" operator="containsText" text="Freedom">
      <formula>NOT(ISERROR(SEARCH("Freedom",AB1)))</formula>
    </cfRule>
    <cfRule type="containsText" dxfId="2671" priority="69" operator="containsText" text="WU">
      <formula>NOT(ISERROR(SEARCH("WU",AB1)))</formula>
    </cfRule>
    <cfRule type="containsText" dxfId="2670" priority="70" operator="containsText" text="Expedia">
      <formula>NOT(ISERROR(SEARCH("Expedia",AB1)))</formula>
    </cfRule>
  </conditionalFormatting>
  <conditionalFormatting sqref="AB1">
    <cfRule type="containsText" dxfId="2669" priority="60" operator="containsText" text="Du Enterprise">
      <formula>NOT(ISERROR(SEARCH("Du Enterprise",AB1)))</formula>
    </cfRule>
  </conditionalFormatting>
  <conditionalFormatting sqref="AH1">
    <cfRule type="containsText" dxfId="2668" priority="50" operator="containsText" text="B1">
      <formula>NOT(ISERROR(SEARCH("B1",AH1)))</formula>
    </cfRule>
    <cfRule type="containsText" dxfId="2667" priority="51" operator="containsText" text="A2">
      <formula>NOT(ISERROR(SEARCH("A2",AH1)))</formula>
    </cfRule>
    <cfRule type="containsText" dxfId="2666" priority="52" operator="containsText" text="Domestic">
      <formula>NOT(ISERROR(SEARCH("Domestic",AH1)))</formula>
    </cfRule>
    <cfRule type="containsText" dxfId="2665" priority="53" operator="containsText" text="Re-join">
      <formula>NOT(ISERROR(SEARCH("Re-join",AH1)))</formula>
    </cfRule>
    <cfRule type="containsText" dxfId="2664" priority="54" operator="containsText" text="Resigned">
      <formula>NOT(ISERROR(SEARCH("Resigned",AH1)))</formula>
    </cfRule>
    <cfRule type="containsText" dxfId="2663" priority="55" operator="containsText" text="Dismissed">
      <formula>NOT(ISERROR(SEARCH("Dismissed",AH1)))</formula>
    </cfRule>
    <cfRule type="containsText" dxfId="2662" priority="56" operator="containsText" text="Nearshore">
      <formula>NOT(ISERROR(SEARCH("Nearshore",AH1)))</formula>
    </cfRule>
    <cfRule type="containsText" dxfId="2661" priority="57" operator="containsText" text="Freedom">
      <formula>NOT(ISERROR(SEARCH("Freedom",AH1)))</formula>
    </cfRule>
    <cfRule type="containsText" dxfId="2660" priority="58" operator="containsText" text="WU">
      <formula>NOT(ISERROR(SEARCH("WU",AH1)))</formula>
    </cfRule>
    <cfRule type="containsText" dxfId="2659" priority="59" operator="containsText" text="Expedia">
      <formula>NOT(ISERROR(SEARCH("Expedia",AH1)))</formula>
    </cfRule>
  </conditionalFormatting>
  <conditionalFormatting sqref="AH1">
    <cfRule type="containsText" dxfId="2658" priority="49" operator="containsText" text="Du Enterprise">
      <formula>NOT(ISERROR(SEARCH("Du Enterprise",AH1)))</formula>
    </cfRule>
  </conditionalFormatting>
  <conditionalFormatting sqref="H40:I40">
    <cfRule type="duplicateValues" dxfId="2657" priority="46"/>
  </conditionalFormatting>
  <conditionalFormatting sqref="H40:I40">
    <cfRule type="duplicateValues" dxfId="2656" priority="47"/>
    <cfRule type="duplicateValues" dxfId="2655" priority="48"/>
  </conditionalFormatting>
  <conditionalFormatting sqref="C77">
    <cfRule type="expression" dxfId="2654" priority="45">
      <formula>$C77=#REF!</formula>
    </cfRule>
  </conditionalFormatting>
  <conditionalFormatting sqref="H185">
    <cfRule type="containsText" dxfId="2653" priority="35" operator="containsText" text="B1">
      <formula>NOT(ISERROR(SEARCH("B1",H185)))</formula>
    </cfRule>
    <cfRule type="containsText" dxfId="2652" priority="36" operator="containsText" text="A2">
      <formula>NOT(ISERROR(SEARCH("A2",H185)))</formula>
    </cfRule>
    <cfRule type="containsText" dxfId="2651" priority="37" operator="containsText" text="Domestic">
      <formula>NOT(ISERROR(SEARCH("Domestic",H185)))</formula>
    </cfRule>
    <cfRule type="containsText" dxfId="2650" priority="38" operator="containsText" text="Re-join">
      <formula>NOT(ISERROR(SEARCH("Re-join",H185)))</formula>
    </cfRule>
    <cfRule type="containsText" dxfId="2649" priority="39" operator="containsText" text="Resigned">
      <formula>NOT(ISERROR(SEARCH("Resigned",H185)))</formula>
    </cfRule>
    <cfRule type="containsText" dxfId="2648" priority="40" operator="containsText" text="Dismissed">
      <formula>NOT(ISERROR(SEARCH("Dismissed",H185)))</formula>
    </cfRule>
    <cfRule type="containsText" dxfId="2647" priority="41" operator="containsText" text="Nearshore">
      <formula>NOT(ISERROR(SEARCH("Nearshore",H185)))</formula>
    </cfRule>
    <cfRule type="containsText" dxfId="2646" priority="42" operator="containsText" text="Freedom">
      <formula>NOT(ISERROR(SEARCH("Freedom",H185)))</formula>
    </cfRule>
    <cfRule type="containsText" dxfId="2645" priority="43" operator="containsText" text="WU">
      <formula>NOT(ISERROR(SEARCH("WU",H185)))</formula>
    </cfRule>
    <cfRule type="containsText" dxfId="2644" priority="44" operator="containsText" text="Expedia">
      <formula>NOT(ISERROR(SEARCH("Expedia",H185)))</formula>
    </cfRule>
  </conditionalFormatting>
  <conditionalFormatting sqref="H185">
    <cfRule type="containsText" dxfId="2643" priority="34" operator="containsText" text="Du Enterprise">
      <formula>NOT(ISERROR(SEARCH("Du Enterprise",H185)))</formula>
    </cfRule>
  </conditionalFormatting>
  <conditionalFormatting sqref="H186:H188">
    <cfRule type="containsText" dxfId="2642" priority="24" operator="containsText" text="B1">
      <formula>NOT(ISERROR(SEARCH("B1",H186)))</formula>
    </cfRule>
    <cfRule type="containsText" dxfId="2641" priority="25" operator="containsText" text="A2">
      <formula>NOT(ISERROR(SEARCH("A2",H186)))</formula>
    </cfRule>
    <cfRule type="containsText" dxfId="2640" priority="26" operator="containsText" text="Domestic">
      <formula>NOT(ISERROR(SEARCH("Domestic",H186)))</formula>
    </cfRule>
    <cfRule type="containsText" dxfId="2639" priority="27" operator="containsText" text="Re-join">
      <formula>NOT(ISERROR(SEARCH("Re-join",H186)))</formula>
    </cfRule>
    <cfRule type="containsText" dxfId="2638" priority="28" operator="containsText" text="Resigned">
      <formula>NOT(ISERROR(SEARCH("Resigned",H186)))</formula>
    </cfRule>
    <cfRule type="containsText" dxfId="2637" priority="29" operator="containsText" text="Dismissed">
      <formula>NOT(ISERROR(SEARCH("Dismissed",H186)))</formula>
    </cfRule>
    <cfRule type="containsText" dxfId="2636" priority="30" operator="containsText" text="Nearshore">
      <formula>NOT(ISERROR(SEARCH("Nearshore",H186)))</formula>
    </cfRule>
    <cfRule type="containsText" dxfId="2635" priority="31" operator="containsText" text="Freedom">
      <formula>NOT(ISERROR(SEARCH("Freedom",H186)))</formula>
    </cfRule>
    <cfRule type="containsText" dxfId="2634" priority="32" operator="containsText" text="WU">
      <formula>NOT(ISERROR(SEARCH("WU",H186)))</formula>
    </cfRule>
    <cfRule type="containsText" dxfId="2633" priority="33" operator="containsText" text="Expedia">
      <formula>NOT(ISERROR(SEARCH("Expedia",H186)))</formula>
    </cfRule>
  </conditionalFormatting>
  <conditionalFormatting sqref="H186:H188">
    <cfRule type="containsText" dxfId="2632" priority="23" operator="containsText" text="Du Enterprise">
      <formula>NOT(ISERROR(SEARCH("Du Enterprise",H186)))</formula>
    </cfRule>
  </conditionalFormatting>
  <conditionalFormatting sqref="H189:H191">
    <cfRule type="containsText" dxfId="2631" priority="13" operator="containsText" text="B1">
      <formula>NOT(ISERROR(SEARCH("B1",H189)))</formula>
    </cfRule>
    <cfRule type="containsText" dxfId="2630" priority="14" operator="containsText" text="A2">
      <formula>NOT(ISERROR(SEARCH("A2",H189)))</formula>
    </cfRule>
    <cfRule type="containsText" dxfId="2629" priority="15" operator="containsText" text="Domestic">
      <formula>NOT(ISERROR(SEARCH("Domestic",H189)))</formula>
    </cfRule>
    <cfRule type="containsText" dxfId="2628" priority="16" operator="containsText" text="Re-join">
      <formula>NOT(ISERROR(SEARCH("Re-join",H189)))</formula>
    </cfRule>
    <cfRule type="containsText" dxfId="2627" priority="17" operator="containsText" text="Resigned">
      <formula>NOT(ISERROR(SEARCH("Resigned",H189)))</formula>
    </cfRule>
    <cfRule type="containsText" dxfId="2626" priority="18" operator="containsText" text="Dismissed">
      <formula>NOT(ISERROR(SEARCH("Dismissed",H189)))</formula>
    </cfRule>
    <cfRule type="containsText" dxfId="2625" priority="19" operator="containsText" text="Nearshore">
      <formula>NOT(ISERROR(SEARCH("Nearshore",H189)))</formula>
    </cfRule>
    <cfRule type="containsText" dxfId="2624" priority="20" operator="containsText" text="Freedom">
      <formula>NOT(ISERROR(SEARCH("Freedom",H189)))</formula>
    </cfRule>
    <cfRule type="containsText" dxfId="2623" priority="21" operator="containsText" text="WU">
      <formula>NOT(ISERROR(SEARCH("WU",H189)))</formula>
    </cfRule>
    <cfRule type="containsText" dxfId="2622" priority="22" operator="containsText" text="Expedia">
      <formula>NOT(ISERROR(SEARCH("Expedia",H189)))</formula>
    </cfRule>
  </conditionalFormatting>
  <conditionalFormatting sqref="H189:H191">
    <cfRule type="containsText" dxfId="2621" priority="12" operator="containsText" text="Du Enterprise">
      <formula>NOT(ISERROR(SEARCH("Du Enterprise",H189)))</formula>
    </cfRule>
  </conditionalFormatting>
  <conditionalFormatting sqref="H192:H193">
    <cfRule type="containsText" dxfId="2620" priority="2" operator="containsText" text="B1">
      <formula>NOT(ISERROR(SEARCH("B1",H192)))</formula>
    </cfRule>
    <cfRule type="containsText" dxfId="2619" priority="3" operator="containsText" text="A2">
      <formula>NOT(ISERROR(SEARCH("A2",H192)))</formula>
    </cfRule>
    <cfRule type="containsText" dxfId="2618" priority="4" operator="containsText" text="Domestic">
      <formula>NOT(ISERROR(SEARCH("Domestic",H192)))</formula>
    </cfRule>
    <cfRule type="containsText" dxfId="2617" priority="5" operator="containsText" text="Re-join">
      <formula>NOT(ISERROR(SEARCH("Re-join",H192)))</formula>
    </cfRule>
    <cfRule type="containsText" dxfId="2616" priority="6" operator="containsText" text="Resigned">
      <formula>NOT(ISERROR(SEARCH("Resigned",H192)))</formula>
    </cfRule>
    <cfRule type="containsText" dxfId="2615" priority="7" operator="containsText" text="Dismissed">
      <formula>NOT(ISERROR(SEARCH("Dismissed",H192)))</formula>
    </cfRule>
    <cfRule type="containsText" dxfId="2614" priority="8" operator="containsText" text="Nearshore">
      <formula>NOT(ISERROR(SEARCH("Nearshore",H192)))</formula>
    </cfRule>
    <cfRule type="containsText" dxfId="2613" priority="9" operator="containsText" text="Freedom">
      <formula>NOT(ISERROR(SEARCH("Freedom",H192)))</formula>
    </cfRule>
    <cfRule type="containsText" dxfId="2612" priority="10" operator="containsText" text="WU">
      <formula>NOT(ISERROR(SEARCH("WU",H192)))</formula>
    </cfRule>
    <cfRule type="containsText" dxfId="2611" priority="11" operator="containsText" text="Expedia">
      <formula>NOT(ISERROR(SEARCH("Expedia",H192)))</formula>
    </cfRule>
  </conditionalFormatting>
  <conditionalFormatting sqref="H192:H193">
    <cfRule type="containsText" dxfId="2610" priority="1" operator="containsText" text="Du Enterprise">
      <formula>NOT(ISERROR(SEARCH("Du Enterprise",H192)))</formula>
    </cfRule>
  </conditionalFormatting>
  <dataValidations count="1">
    <dataValidation type="list" allowBlank="1" showInputMessage="1" showErrorMessage="1" sqref="H185:H193">
      <formula1>Allocation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099"/>
  <sheetViews>
    <sheetView tabSelected="1" zoomScale="80" zoomScaleNormal="80" workbookViewId="0">
      <pane ySplit="1" topLeftCell="A3054" activePane="bottomLeft" state="frozen"/>
      <selection pane="bottomLeft" activeCell="W3068" sqref="W3068"/>
    </sheetView>
  </sheetViews>
  <sheetFormatPr defaultRowHeight="15" outlineLevelCol="1"/>
  <cols>
    <col min="1" max="1" width="11.28515625" style="21" bestFit="1" customWidth="1"/>
    <col min="2" max="2" width="1.28515625" style="14" customWidth="1"/>
    <col min="3" max="4" width="8.7109375" style="2" bestFit="1" customWidth="1"/>
    <col min="5" max="5" width="56" style="2" bestFit="1" customWidth="1"/>
    <col min="6" max="6" width="23" style="3" customWidth="1"/>
    <col min="7" max="7" width="19.140625" style="2" hidden="1" customWidth="1" outlineLevel="1"/>
    <col min="8" max="8" width="19.140625" style="2" customWidth="1" collapsed="1"/>
    <col min="9" max="9" width="10" style="2" hidden="1" customWidth="1" outlineLevel="1"/>
    <col min="10" max="10" width="12" style="4" hidden="1" customWidth="1" outlineLevel="1"/>
    <col min="11" max="11" width="15.5703125" style="2" hidden="1" customWidth="1" outlineLevel="1"/>
    <col min="12" max="12" width="10.28515625" style="2" hidden="1" customWidth="1" outlineLevel="1"/>
    <col min="13" max="13" width="25.28515625" style="2" hidden="1" customWidth="1" outlineLevel="1"/>
    <col min="14" max="14" width="15.7109375" style="2" hidden="1" customWidth="1" outlineLevel="1"/>
    <col min="15" max="15" width="10.28515625" style="225" hidden="1" customWidth="1" outlineLevel="1"/>
    <col min="16" max="16" width="12.28515625" style="103" hidden="1" customWidth="1" outlineLevel="1"/>
    <col min="17" max="17" width="10.7109375" style="225" hidden="1" customWidth="1" outlineLevel="1"/>
    <col min="18" max="18" width="4.42578125" style="16" customWidth="1" collapsed="1"/>
    <col min="19" max="22" width="4.42578125" style="16" customWidth="1"/>
    <col min="23" max="23" width="25.85546875" style="16" bestFit="1" customWidth="1"/>
    <col min="24" max="24" width="12.42578125" style="2" customWidth="1"/>
    <col min="25" max="25" width="16.28515625" style="7" customWidth="1"/>
    <col min="26" max="26" width="12" style="16" bestFit="1" customWidth="1"/>
    <col min="27" max="27" width="15.28515625" style="7" customWidth="1"/>
    <col min="28" max="28" width="176.42578125" style="2" bestFit="1" customWidth="1"/>
    <col min="29" max="29" width="1.85546875" style="14" customWidth="1"/>
    <col min="32" max="32" width="1.85546875" style="14" customWidth="1"/>
    <col min="33" max="33" width="11.5703125" customWidth="1"/>
    <col min="34" max="34" width="11.7109375" customWidth="1"/>
    <col min="35" max="35" width="10.28515625" bestFit="1" customWidth="1"/>
  </cols>
  <sheetData>
    <row r="1" spans="1:28" ht="16.5" thickBot="1">
      <c r="A1" s="1" t="s">
        <v>3116</v>
      </c>
      <c r="C1" s="1" t="s">
        <v>17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4215</v>
      </c>
      <c r="I1" s="1" t="s">
        <v>5</v>
      </c>
      <c r="J1" s="1" t="s">
        <v>6</v>
      </c>
      <c r="K1" s="1" t="s">
        <v>7</v>
      </c>
      <c r="L1" s="1" t="s">
        <v>9</v>
      </c>
      <c r="M1" s="1" t="s">
        <v>10</v>
      </c>
      <c r="N1" s="10" t="s">
        <v>320</v>
      </c>
      <c r="O1" s="97" t="s">
        <v>6734</v>
      </c>
      <c r="P1" s="97" t="s">
        <v>6735</v>
      </c>
      <c r="Q1" s="97" t="s">
        <v>6736</v>
      </c>
      <c r="R1" s="22" t="s">
        <v>3131</v>
      </c>
      <c r="S1" s="22" t="s">
        <v>3132</v>
      </c>
      <c r="T1" s="22" t="s">
        <v>3133</v>
      </c>
      <c r="U1" s="22" t="s">
        <v>3134</v>
      </c>
      <c r="V1" s="22" t="s">
        <v>3135</v>
      </c>
      <c r="W1" s="1" t="s">
        <v>3245</v>
      </c>
      <c r="X1" s="1" t="s">
        <v>152</v>
      </c>
      <c r="Y1" s="1" t="s">
        <v>11</v>
      </c>
      <c r="Z1" s="1" t="s">
        <v>65</v>
      </c>
      <c r="AA1" s="1" t="s">
        <v>661</v>
      </c>
      <c r="AB1" s="1" t="s">
        <v>18</v>
      </c>
    </row>
    <row r="2" spans="1:28" ht="15.75" customHeight="1" thickTop="1">
      <c r="A2" s="284" t="s">
        <v>3120</v>
      </c>
      <c r="C2" s="25">
        <v>1</v>
      </c>
      <c r="D2" s="25">
        <v>17760</v>
      </c>
      <c r="E2" s="25" t="s">
        <v>3384</v>
      </c>
      <c r="F2" s="26">
        <v>29108250100412</v>
      </c>
      <c r="G2" s="25" t="s">
        <v>34</v>
      </c>
      <c r="H2" s="25" t="s">
        <v>3400</v>
      </c>
      <c r="I2" s="25" t="s">
        <v>66</v>
      </c>
      <c r="J2" s="27">
        <v>42782</v>
      </c>
      <c r="K2" s="25" t="s">
        <v>8</v>
      </c>
      <c r="L2" s="25" t="s">
        <v>12</v>
      </c>
      <c r="M2" s="25"/>
      <c r="N2" s="25"/>
      <c r="O2" s="224"/>
      <c r="P2" s="25"/>
      <c r="Q2" s="224"/>
      <c r="R2" s="25"/>
      <c r="S2" s="25"/>
      <c r="T2" s="25"/>
      <c r="U2" s="25"/>
      <c r="V2" s="25"/>
      <c r="W2" s="25" t="s">
        <v>60</v>
      </c>
      <c r="X2" s="25"/>
      <c r="Y2" s="27">
        <v>42810</v>
      </c>
      <c r="Z2" s="16" t="s">
        <v>66</v>
      </c>
      <c r="AA2" s="27">
        <v>42808</v>
      </c>
      <c r="AB2" s="25"/>
    </row>
    <row r="3" spans="1:28" ht="15" customHeight="1">
      <c r="A3" s="285"/>
      <c r="C3" s="25">
        <v>1</v>
      </c>
      <c r="D3" s="2">
        <v>17761</v>
      </c>
      <c r="E3" s="2" t="s">
        <v>3385</v>
      </c>
      <c r="F3" s="3">
        <v>29302260104328</v>
      </c>
      <c r="G3" s="2" t="s">
        <v>34</v>
      </c>
      <c r="H3" s="2" t="s">
        <v>3401</v>
      </c>
      <c r="I3" s="2" t="s">
        <v>66</v>
      </c>
      <c r="J3" s="4">
        <v>42781</v>
      </c>
      <c r="K3" s="2" t="s">
        <v>8</v>
      </c>
      <c r="L3" s="2" t="s">
        <v>12</v>
      </c>
      <c r="W3" s="16" t="s">
        <v>60</v>
      </c>
      <c r="Y3" s="7">
        <v>42810</v>
      </c>
      <c r="Z3" s="16" t="s">
        <v>66</v>
      </c>
      <c r="AA3" s="7">
        <v>42808</v>
      </c>
    </row>
    <row r="4" spans="1:28" ht="15" customHeight="1">
      <c r="A4" s="285"/>
      <c r="C4" s="25">
        <v>1</v>
      </c>
      <c r="D4" s="2">
        <v>17762</v>
      </c>
      <c r="E4" s="2" t="s">
        <v>3386</v>
      </c>
      <c r="F4" s="3">
        <v>29209070103643</v>
      </c>
      <c r="G4" s="2" t="s">
        <v>34</v>
      </c>
      <c r="H4" s="2" t="s">
        <v>3402</v>
      </c>
      <c r="I4" s="2" t="s">
        <v>66</v>
      </c>
      <c r="J4" s="4">
        <v>42782</v>
      </c>
      <c r="K4" s="2" t="s">
        <v>8</v>
      </c>
      <c r="L4" s="2" t="s">
        <v>12</v>
      </c>
      <c r="W4" s="16" t="s">
        <v>111</v>
      </c>
      <c r="Y4" s="7">
        <v>42810</v>
      </c>
      <c r="Z4" s="16" t="s">
        <v>67</v>
      </c>
      <c r="AA4" s="7" t="s">
        <v>3111</v>
      </c>
    </row>
    <row r="5" spans="1:28" ht="15" customHeight="1">
      <c r="A5" s="285"/>
      <c r="C5" s="25">
        <v>1</v>
      </c>
      <c r="D5" s="2">
        <v>17763</v>
      </c>
      <c r="E5" s="2" t="s">
        <v>3387</v>
      </c>
      <c r="F5" s="3">
        <v>29304280101557</v>
      </c>
      <c r="G5" s="2" t="s">
        <v>34</v>
      </c>
      <c r="H5" s="2" t="s">
        <v>3403</v>
      </c>
      <c r="I5" s="2" t="s">
        <v>66</v>
      </c>
      <c r="J5" s="4">
        <v>42781</v>
      </c>
      <c r="K5" s="2" t="s">
        <v>8</v>
      </c>
      <c r="L5" s="2" t="s">
        <v>12</v>
      </c>
      <c r="W5" s="16" t="s">
        <v>111</v>
      </c>
      <c r="Y5" s="7">
        <v>42810</v>
      </c>
      <c r="Z5" s="16" t="s">
        <v>67</v>
      </c>
      <c r="AA5" s="7" t="s">
        <v>3111</v>
      </c>
    </row>
    <row r="6" spans="1:28" ht="15" customHeight="1">
      <c r="A6" s="285"/>
      <c r="C6" s="25">
        <v>1</v>
      </c>
      <c r="D6" s="2">
        <v>17764</v>
      </c>
      <c r="E6" s="2" t="s">
        <v>3388</v>
      </c>
      <c r="F6" s="3">
        <v>29203240100034</v>
      </c>
      <c r="G6" s="2" t="s">
        <v>34</v>
      </c>
      <c r="H6" s="2" t="s">
        <v>3404</v>
      </c>
      <c r="I6" s="2" t="s">
        <v>66</v>
      </c>
      <c r="J6" s="4">
        <v>42781</v>
      </c>
      <c r="K6" s="2" t="s">
        <v>8</v>
      </c>
      <c r="L6" s="2" t="s">
        <v>12</v>
      </c>
      <c r="W6" s="16" t="s">
        <v>111</v>
      </c>
      <c r="Y6" s="7">
        <v>42810</v>
      </c>
      <c r="Z6" s="16" t="s">
        <v>66</v>
      </c>
      <c r="AA6" s="7">
        <v>42863</v>
      </c>
    </row>
    <row r="7" spans="1:28" ht="15" customHeight="1">
      <c r="A7" s="285"/>
      <c r="C7" s="25">
        <v>1</v>
      </c>
      <c r="D7" s="2">
        <v>17765</v>
      </c>
      <c r="E7" s="2" t="s">
        <v>3389</v>
      </c>
      <c r="F7" s="3">
        <v>29503210107542</v>
      </c>
      <c r="G7" s="2" t="s">
        <v>34</v>
      </c>
      <c r="H7" s="2" t="s">
        <v>3405</v>
      </c>
      <c r="I7" s="2" t="s">
        <v>66</v>
      </c>
      <c r="J7" s="4">
        <v>42782</v>
      </c>
      <c r="K7" s="2" t="s">
        <v>8</v>
      </c>
      <c r="L7" s="2" t="s">
        <v>12</v>
      </c>
      <c r="W7" s="16" t="s">
        <v>60</v>
      </c>
      <c r="Y7" s="7">
        <v>42810</v>
      </c>
      <c r="Z7" s="16" t="s">
        <v>66</v>
      </c>
      <c r="AA7" s="45" t="s">
        <v>3111</v>
      </c>
    </row>
    <row r="8" spans="1:28" ht="15" customHeight="1">
      <c r="A8" s="285"/>
      <c r="C8" s="25">
        <v>1</v>
      </c>
      <c r="D8" s="16">
        <v>17766</v>
      </c>
      <c r="E8" s="16" t="s">
        <v>3390</v>
      </c>
      <c r="F8" s="3">
        <v>29112112100603</v>
      </c>
      <c r="G8" s="16" t="s">
        <v>34</v>
      </c>
      <c r="H8" s="16" t="s">
        <v>3406</v>
      </c>
      <c r="I8" s="16" t="s">
        <v>66</v>
      </c>
      <c r="J8" s="45">
        <v>42781</v>
      </c>
      <c r="K8" s="16" t="s">
        <v>8</v>
      </c>
      <c r="L8" s="16" t="s">
        <v>12</v>
      </c>
      <c r="M8" s="16"/>
      <c r="N8" s="16"/>
      <c r="W8" s="16" t="s">
        <v>111</v>
      </c>
      <c r="X8" s="16"/>
      <c r="Y8" s="45">
        <v>42810</v>
      </c>
      <c r="Z8" s="16" t="s">
        <v>67</v>
      </c>
      <c r="AA8" s="45" t="s">
        <v>3111</v>
      </c>
      <c r="AB8" s="16" t="s">
        <v>6740</v>
      </c>
    </row>
    <row r="9" spans="1:28" ht="15" customHeight="1">
      <c r="A9" s="285"/>
      <c r="C9" s="25">
        <v>1</v>
      </c>
      <c r="D9" s="2">
        <v>17767</v>
      </c>
      <c r="E9" s="2" t="s">
        <v>3391</v>
      </c>
      <c r="F9" s="3">
        <v>29408230102617</v>
      </c>
      <c r="G9" s="2" t="s">
        <v>34</v>
      </c>
      <c r="H9" s="2" t="s">
        <v>3407</v>
      </c>
      <c r="I9" s="2" t="s">
        <v>66</v>
      </c>
      <c r="J9" s="4">
        <v>42781</v>
      </c>
      <c r="K9" s="2" t="s">
        <v>8</v>
      </c>
      <c r="L9" s="2" t="s">
        <v>12</v>
      </c>
      <c r="W9" s="16" t="s">
        <v>111</v>
      </c>
      <c r="Y9" s="7">
        <v>42810</v>
      </c>
      <c r="Z9" s="16" t="s">
        <v>67</v>
      </c>
      <c r="AA9" s="7" t="s">
        <v>3111</v>
      </c>
    </row>
    <row r="10" spans="1:28" ht="15" customHeight="1">
      <c r="A10" s="285"/>
      <c r="C10" s="25">
        <v>1</v>
      </c>
      <c r="D10" s="2">
        <v>17768</v>
      </c>
      <c r="E10" s="2" t="s">
        <v>3392</v>
      </c>
      <c r="F10" s="3">
        <v>29208271900081</v>
      </c>
      <c r="G10" s="2" t="s">
        <v>34</v>
      </c>
      <c r="H10" s="2" t="s">
        <v>3408</v>
      </c>
      <c r="I10" s="2" t="s">
        <v>66</v>
      </c>
      <c r="J10" s="4">
        <v>42782</v>
      </c>
      <c r="K10" s="2" t="s">
        <v>8</v>
      </c>
      <c r="L10" s="2" t="s">
        <v>12</v>
      </c>
      <c r="W10" s="16" t="s">
        <v>111</v>
      </c>
      <c r="Y10" s="7">
        <v>42810</v>
      </c>
      <c r="Z10" s="16" t="s">
        <v>67</v>
      </c>
      <c r="AA10" s="7" t="s">
        <v>3111</v>
      </c>
    </row>
    <row r="11" spans="1:28" ht="15" customHeight="1">
      <c r="A11" s="285"/>
      <c r="C11" s="25">
        <v>1</v>
      </c>
      <c r="D11" s="2">
        <v>17769</v>
      </c>
      <c r="E11" s="2" t="s">
        <v>3393</v>
      </c>
      <c r="F11" s="3">
        <v>29208081602858</v>
      </c>
      <c r="G11" s="2" t="s">
        <v>34</v>
      </c>
      <c r="H11" s="2" t="s">
        <v>3409</v>
      </c>
      <c r="I11" s="2" t="s">
        <v>66</v>
      </c>
      <c r="J11" s="4">
        <v>42782</v>
      </c>
      <c r="K11" s="2" t="s">
        <v>8</v>
      </c>
      <c r="L11" s="2" t="s">
        <v>12</v>
      </c>
      <c r="W11" s="16" t="s">
        <v>60</v>
      </c>
      <c r="Y11" s="7">
        <v>42810</v>
      </c>
      <c r="Z11" s="16" t="s">
        <v>66</v>
      </c>
      <c r="AA11" s="7" t="s">
        <v>3111</v>
      </c>
    </row>
    <row r="12" spans="1:28" ht="15" customHeight="1">
      <c r="A12" s="285"/>
      <c r="C12" s="25">
        <v>1</v>
      </c>
      <c r="D12" s="16">
        <v>17770</v>
      </c>
      <c r="E12" s="16" t="s">
        <v>3394</v>
      </c>
      <c r="F12" s="3">
        <v>29302050109441</v>
      </c>
      <c r="G12" s="16" t="s">
        <v>34</v>
      </c>
      <c r="H12" s="16" t="s">
        <v>3410</v>
      </c>
      <c r="I12" s="16" t="s">
        <v>66</v>
      </c>
      <c r="J12" s="45">
        <v>42782</v>
      </c>
      <c r="K12" s="16" t="s">
        <v>8</v>
      </c>
      <c r="L12" s="16" t="s">
        <v>12</v>
      </c>
      <c r="M12" s="16"/>
      <c r="N12" s="16"/>
      <c r="W12" s="16" t="s">
        <v>111</v>
      </c>
      <c r="X12" s="16"/>
      <c r="Y12" s="45">
        <v>42810</v>
      </c>
      <c r="Z12" s="16" t="s">
        <v>67</v>
      </c>
      <c r="AA12" s="45" t="s">
        <v>3111</v>
      </c>
      <c r="AB12" s="16"/>
    </row>
    <row r="13" spans="1:28" ht="15" customHeight="1">
      <c r="A13" s="285"/>
      <c r="C13" s="25">
        <v>1</v>
      </c>
      <c r="D13" s="16">
        <v>17771</v>
      </c>
      <c r="E13" s="16" t="s">
        <v>3395</v>
      </c>
      <c r="F13" s="3">
        <v>29106232102758</v>
      </c>
      <c r="G13" s="16" t="s">
        <v>34</v>
      </c>
      <c r="H13" s="16" t="s">
        <v>3411</v>
      </c>
      <c r="I13" s="16" t="s">
        <v>66</v>
      </c>
      <c r="J13" s="45">
        <v>42781</v>
      </c>
      <c r="K13" s="16" t="s">
        <v>8</v>
      </c>
      <c r="L13" s="16" t="s">
        <v>12</v>
      </c>
      <c r="M13" s="16"/>
      <c r="N13" s="16"/>
      <c r="W13" s="16" t="s">
        <v>111</v>
      </c>
      <c r="X13" s="16"/>
      <c r="Y13" s="45">
        <v>42810</v>
      </c>
      <c r="Z13" s="16" t="s">
        <v>67</v>
      </c>
      <c r="AA13" s="45" t="s">
        <v>3111</v>
      </c>
      <c r="AB13" s="16"/>
    </row>
    <row r="14" spans="1:28" ht="15" customHeight="1">
      <c r="A14" s="285"/>
      <c r="C14" s="25">
        <v>1</v>
      </c>
      <c r="D14" s="2">
        <v>17772</v>
      </c>
      <c r="E14" s="2" t="s">
        <v>3396</v>
      </c>
      <c r="F14" s="3">
        <v>29307190101212</v>
      </c>
      <c r="G14" s="2" t="s">
        <v>34</v>
      </c>
      <c r="H14" s="2" t="s">
        <v>3412</v>
      </c>
      <c r="I14" s="2" t="s">
        <v>66</v>
      </c>
      <c r="J14" s="4">
        <v>42781</v>
      </c>
      <c r="K14" s="2" t="s">
        <v>8</v>
      </c>
      <c r="L14" s="2" t="s">
        <v>12</v>
      </c>
      <c r="W14" s="16" t="s">
        <v>111</v>
      </c>
      <c r="Y14" s="7">
        <v>42810</v>
      </c>
      <c r="Z14" s="16" t="s">
        <v>67</v>
      </c>
      <c r="AA14" s="7" t="s">
        <v>3111</v>
      </c>
    </row>
    <row r="15" spans="1:28" ht="15" customHeight="1">
      <c r="A15" s="285"/>
      <c r="C15" s="25">
        <v>1</v>
      </c>
      <c r="D15" s="2">
        <v>17773</v>
      </c>
      <c r="E15" s="2" t="s">
        <v>3397</v>
      </c>
      <c r="F15" s="3">
        <v>29405310101965</v>
      </c>
      <c r="G15" s="2" t="s">
        <v>34</v>
      </c>
      <c r="H15" s="2" t="s">
        <v>3413</v>
      </c>
      <c r="I15" s="2" t="s">
        <v>66</v>
      </c>
      <c r="J15" s="4">
        <v>42782</v>
      </c>
      <c r="K15" s="2" t="s">
        <v>8</v>
      </c>
      <c r="L15" s="2" t="s">
        <v>12</v>
      </c>
      <c r="W15" s="16" t="s">
        <v>60</v>
      </c>
      <c r="Y15" s="7">
        <v>42810</v>
      </c>
      <c r="Z15" s="16" t="s">
        <v>66</v>
      </c>
      <c r="AA15" s="7">
        <v>42879</v>
      </c>
    </row>
    <row r="16" spans="1:28" ht="15" customHeight="1">
      <c r="A16" s="285"/>
      <c r="C16" s="25">
        <v>1</v>
      </c>
      <c r="D16" s="2">
        <v>17774</v>
      </c>
      <c r="E16" s="2" t="s">
        <v>3398</v>
      </c>
      <c r="F16" s="3">
        <v>28504110103194</v>
      </c>
      <c r="G16" s="2" t="s">
        <v>34</v>
      </c>
      <c r="H16" s="2" t="s">
        <v>3414</v>
      </c>
      <c r="I16" s="2" t="s">
        <v>66</v>
      </c>
      <c r="J16" s="4">
        <v>42782</v>
      </c>
      <c r="K16" s="2" t="s">
        <v>8</v>
      </c>
      <c r="L16" s="2" t="s">
        <v>12</v>
      </c>
      <c r="W16" s="16" t="s">
        <v>111</v>
      </c>
      <c r="Y16" s="7">
        <v>42810</v>
      </c>
      <c r="Z16" s="16" t="s">
        <v>67</v>
      </c>
      <c r="AA16" s="7" t="s">
        <v>3111</v>
      </c>
    </row>
    <row r="17" spans="1:28" ht="15.75" customHeight="1" thickBot="1">
      <c r="A17" s="286"/>
      <c r="C17" s="28">
        <v>1</v>
      </c>
      <c r="D17" s="28">
        <v>17775</v>
      </c>
      <c r="E17" s="28" t="s">
        <v>3399</v>
      </c>
      <c r="F17" s="29">
        <v>28909062102636</v>
      </c>
      <c r="G17" s="28" t="s">
        <v>34</v>
      </c>
      <c r="H17" s="28" t="s">
        <v>3415</v>
      </c>
      <c r="I17" s="28" t="s">
        <v>66</v>
      </c>
      <c r="J17" s="30">
        <v>42782</v>
      </c>
      <c r="K17" s="28" t="s">
        <v>8</v>
      </c>
      <c r="L17" s="28" t="s">
        <v>12</v>
      </c>
      <c r="M17" s="28"/>
      <c r="N17" s="28"/>
      <c r="O17" s="226"/>
      <c r="P17" s="28"/>
      <c r="Q17" s="226"/>
      <c r="R17" s="28"/>
      <c r="S17" s="28"/>
      <c r="T17" s="28"/>
      <c r="U17" s="28"/>
      <c r="V17" s="28"/>
      <c r="W17" s="28" t="s">
        <v>111</v>
      </c>
      <c r="X17" s="28"/>
      <c r="Y17" s="30">
        <v>42810</v>
      </c>
      <c r="Z17" s="28" t="s">
        <v>67</v>
      </c>
      <c r="AA17" s="30" t="s">
        <v>3111</v>
      </c>
      <c r="AB17" s="28"/>
    </row>
    <row r="18" spans="1:28" ht="15.75" customHeight="1" thickTop="1">
      <c r="A18" s="284" t="s">
        <v>1249</v>
      </c>
      <c r="C18" s="25">
        <v>2</v>
      </c>
      <c r="D18" s="25">
        <v>17905</v>
      </c>
      <c r="E18" s="25" t="s">
        <v>3416</v>
      </c>
      <c r="F18" s="26">
        <v>29304228801036</v>
      </c>
      <c r="G18" s="25" t="s">
        <v>3663</v>
      </c>
      <c r="H18" s="25">
        <v>1010853401</v>
      </c>
      <c r="I18" s="25" t="s">
        <v>66</v>
      </c>
      <c r="J18" s="27">
        <v>42791</v>
      </c>
      <c r="K18" s="25" t="s">
        <v>8</v>
      </c>
      <c r="L18" s="25" t="s">
        <v>12</v>
      </c>
      <c r="M18" s="25"/>
      <c r="N18" s="25"/>
      <c r="O18" s="224"/>
      <c r="P18" s="25"/>
      <c r="Q18" s="224"/>
      <c r="R18" s="25"/>
      <c r="S18" s="25"/>
      <c r="T18" s="25"/>
      <c r="U18" s="25"/>
      <c r="V18" s="25"/>
      <c r="W18" s="25" t="s">
        <v>502</v>
      </c>
      <c r="X18" s="25"/>
      <c r="Y18" s="27">
        <v>42817</v>
      </c>
      <c r="Z18" s="25" t="s">
        <v>66</v>
      </c>
      <c r="AA18" s="27">
        <v>43297</v>
      </c>
      <c r="AB18" s="25"/>
    </row>
    <row r="19" spans="1:28" ht="15" customHeight="1">
      <c r="A19" s="285"/>
      <c r="C19" s="25">
        <v>2</v>
      </c>
      <c r="D19" s="2">
        <v>17906</v>
      </c>
      <c r="E19" s="2" t="s">
        <v>3417</v>
      </c>
      <c r="F19" s="3">
        <v>28907171604231</v>
      </c>
      <c r="G19" s="25" t="s">
        <v>3663</v>
      </c>
      <c r="H19" s="2">
        <v>1003264851</v>
      </c>
      <c r="I19" s="2" t="s">
        <v>66</v>
      </c>
      <c r="J19" s="4">
        <v>42791</v>
      </c>
      <c r="K19" s="2" t="s">
        <v>8</v>
      </c>
      <c r="L19" s="2" t="s">
        <v>12</v>
      </c>
      <c r="W19" s="16" t="s">
        <v>60</v>
      </c>
      <c r="Y19" s="7">
        <v>42817</v>
      </c>
      <c r="Z19" s="25" t="s">
        <v>66</v>
      </c>
      <c r="AA19" s="7">
        <v>42821</v>
      </c>
    </row>
    <row r="20" spans="1:28" ht="15" customHeight="1">
      <c r="A20" s="285"/>
      <c r="C20" s="25">
        <v>2</v>
      </c>
      <c r="D20" s="16">
        <v>17907</v>
      </c>
      <c r="E20" s="16" t="s">
        <v>3418</v>
      </c>
      <c r="F20" s="3">
        <v>29202012304855</v>
      </c>
      <c r="G20" s="16" t="s">
        <v>34</v>
      </c>
      <c r="H20" s="16">
        <v>1094853308</v>
      </c>
      <c r="I20" s="16" t="s">
        <v>66</v>
      </c>
      <c r="J20" s="45">
        <v>42791</v>
      </c>
      <c r="K20" s="16" t="s">
        <v>8</v>
      </c>
      <c r="L20" s="16" t="s">
        <v>12</v>
      </c>
      <c r="M20" s="16"/>
      <c r="N20" s="16"/>
      <c r="W20" s="16" t="s">
        <v>61</v>
      </c>
      <c r="X20" s="16"/>
      <c r="Y20" s="45">
        <v>42817</v>
      </c>
      <c r="Z20" s="25" t="s">
        <v>66</v>
      </c>
      <c r="AA20" s="45">
        <v>42843</v>
      </c>
      <c r="AB20" s="16"/>
    </row>
    <row r="21" spans="1:28" ht="15" customHeight="1">
      <c r="A21" s="285"/>
      <c r="C21" s="25">
        <v>2</v>
      </c>
      <c r="D21" s="2">
        <v>17908</v>
      </c>
      <c r="E21" s="2" t="s">
        <v>3419</v>
      </c>
      <c r="F21" s="3">
        <v>29501012104373</v>
      </c>
      <c r="G21" s="2" t="s">
        <v>184</v>
      </c>
      <c r="H21" s="2">
        <v>1117955487</v>
      </c>
      <c r="I21" s="2" t="s">
        <v>66</v>
      </c>
      <c r="J21" s="4">
        <v>42791</v>
      </c>
      <c r="K21" s="2" t="s">
        <v>8</v>
      </c>
      <c r="L21" s="2" t="s">
        <v>12</v>
      </c>
      <c r="W21" s="16" t="s">
        <v>111</v>
      </c>
      <c r="Y21" s="7">
        <v>42817</v>
      </c>
      <c r="Z21" s="16" t="s">
        <v>67</v>
      </c>
      <c r="AA21" s="7" t="s">
        <v>3111</v>
      </c>
    </row>
    <row r="22" spans="1:28" ht="15" customHeight="1">
      <c r="A22" s="285"/>
      <c r="C22" s="25">
        <v>2</v>
      </c>
      <c r="D22" s="2">
        <v>17909</v>
      </c>
      <c r="E22" s="2" t="s">
        <v>3420</v>
      </c>
      <c r="F22" s="3">
        <v>27801260101018</v>
      </c>
      <c r="G22" s="2" t="s">
        <v>34</v>
      </c>
      <c r="H22" s="2">
        <v>1066231150</v>
      </c>
      <c r="I22" s="2" t="s">
        <v>66</v>
      </c>
      <c r="J22" s="4">
        <v>42791</v>
      </c>
      <c r="K22" s="2" t="s">
        <v>8</v>
      </c>
      <c r="L22" s="2" t="s">
        <v>12</v>
      </c>
      <c r="Y22" s="7">
        <v>42817</v>
      </c>
      <c r="Z22" s="16" t="s">
        <v>67</v>
      </c>
      <c r="AA22" s="7" t="s">
        <v>3111</v>
      </c>
    </row>
    <row r="23" spans="1:28" ht="15" customHeight="1">
      <c r="A23" s="285"/>
      <c r="C23" s="25">
        <v>2</v>
      </c>
      <c r="D23" s="16">
        <v>17910</v>
      </c>
      <c r="E23" s="16" t="s">
        <v>3421</v>
      </c>
      <c r="F23" s="3">
        <v>29409221200912</v>
      </c>
      <c r="G23" s="25" t="s">
        <v>3663</v>
      </c>
      <c r="H23" s="16">
        <v>1145549886</v>
      </c>
      <c r="I23" s="16" t="s">
        <v>66</v>
      </c>
      <c r="J23" s="45">
        <v>42791</v>
      </c>
      <c r="K23" s="16" t="s">
        <v>8</v>
      </c>
      <c r="L23" s="16" t="s">
        <v>12</v>
      </c>
      <c r="M23" s="16"/>
      <c r="N23" s="16"/>
      <c r="W23" s="16" t="s">
        <v>111</v>
      </c>
      <c r="X23" s="16"/>
      <c r="Y23" s="45">
        <v>42817</v>
      </c>
      <c r="Z23" s="16" t="s">
        <v>67</v>
      </c>
      <c r="AA23" s="45" t="s">
        <v>3111</v>
      </c>
      <c r="AB23" s="16"/>
    </row>
    <row r="24" spans="1:28" ht="15" customHeight="1">
      <c r="A24" s="285"/>
      <c r="C24" s="25">
        <v>2</v>
      </c>
      <c r="D24" s="2">
        <v>17911</v>
      </c>
      <c r="E24" s="2" t="s">
        <v>3422</v>
      </c>
      <c r="F24" s="3">
        <v>28102020104981</v>
      </c>
      <c r="G24" s="2" t="s">
        <v>34</v>
      </c>
      <c r="H24" s="2">
        <v>1004141331</v>
      </c>
      <c r="I24" s="2" t="s">
        <v>66</v>
      </c>
      <c r="J24" s="4">
        <v>42791</v>
      </c>
      <c r="K24" s="2" t="s">
        <v>8</v>
      </c>
      <c r="L24" s="2" t="s">
        <v>12</v>
      </c>
      <c r="W24" s="16" t="s">
        <v>502</v>
      </c>
      <c r="Y24" s="7">
        <v>42817</v>
      </c>
      <c r="Z24" s="25" t="s">
        <v>66</v>
      </c>
      <c r="AA24" s="45" t="s">
        <v>3111</v>
      </c>
    </row>
    <row r="25" spans="1:28" ht="15" customHeight="1">
      <c r="A25" s="285"/>
      <c r="C25" s="25">
        <v>2</v>
      </c>
      <c r="D25" s="2">
        <v>17912</v>
      </c>
      <c r="E25" s="2" t="s">
        <v>3423</v>
      </c>
      <c r="F25" s="3">
        <v>29211170100255</v>
      </c>
      <c r="G25" s="16" t="s">
        <v>34</v>
      </c>
      <c r="H25" s="2">
        <v>1009748071</v>
      </c>
      <c r="I25" s="2" t="s">
        <v>66</v>
      </c>
      <c r="J25" s="4">
        <v>42791</v>
      </c>
      <c r="K25" s="2" t="s">
        <v>8</v>
      </c>
      <c r="L25" s="2" t="s">
        <v>12</v>
      </c>
      <c r="W25" s="16" t="s">
        <v>502</v>
      </c>
      <c r="Y25" s="7">
        <v>42817</v>
      </c>
      <c r="Z25" s="25" t="s">
        <v>66</v>
      </c>
      <c r="AA25" s="7" t="s">
        <v>3111</v>
      </c>
    </row>
    <row r="26" spans="1:28" ht="15" customHeight="1">
      <c r="A26" s="285"/>
      <c r="C26" s="25">
        <v>2</v>
      </c>
      <c r="D26" s="2">
        <v>17913</v>
      </c>
      <c r="E26" s="2" t="s">
        <v>3424</v>
      </c>
      <c r="F26" s="3">
        <v>29302032103265</v>
      </c>
      <c r="G26" s="2" t="s">
        <v>34</v>
      </c>
      <c r="H26" s="2">
        <v>1068479168</v>
      </c>
      <c r="I26" s="2" t="s">
        <v>66</v>
      </c>
      <c r="J26" s="4">
        <v>42791</v>
      </c>
      <c r="K26" s="2" t="s">
        <v>8</v>
      </c>
      <c r="L26" s="2" t="s">
        <v>12</v>
      </c>
      <c r="W26" s="16" t="s">
        <v>111</v>
      </c>
      <c r="Y26" s="7">
        <v>42817</v>
      </c>
      <c r="Z26" s="25" t="s">
        <v>66</v>
      </c>
      <c r="AA26" s="7">
        <v>42863</v>
      </c>
    </row>
    <row r="27" spans="1:28" ht="15" customHeight="1">
      <c r="A27" s="285"/>
      <c r="C27" s="25">
        <v>2</v>
      </c>
      <c r="D27" s="2">
        <v>17914</v>
      </c>
      <c r="E27" s="2" t="s">
        <v>3425</v>
      </c>
      <c r="F27" s="3">
        <v>29312068800367</v>
      </c>
      <c r="G27" s="2" t="s">
        <v>34</v>
      </c>
      <c r="H27" s="2">
        <v>1007703393</v>
      </c>
      <c r="I27" s="2" t="s">
        <v>66</v>
      </c>
      <c r="J27" s="4">
        <v>42791</v>
      </c>
      <c r="K27" s="2" t="s">
        <v>8</v>
      </c>
      <c r="L27" s="2" t="s">
        <v>12</v>
      </c>
      <c r="W27" s="16" t="s">
        <v>111</v>
      </c>
      <c r="Y27" s="7">
        <v>42817</v>
      </c>
      <c r="Z27" s="16" t="s">
        <v>67</v>
      </c>
      <c r="AA27" s="7" t="s">
        <v>3111</v>
      </c>
    </row>
    <row r="28" spans="1:28" ht="15" customHeight="1">
      <c r="A28" s="285"/>
      <c r="C28" s="25">
        <v>2</v>
      </c>
      <c r="D28" s="2">
        <v>17915</v>
      </c>
      <c r="E28" s="2" t="s">
        <v>3426</v>
      </c>
      <c r="F28" s="3">
        <v>29012160100301</v>
      </c>
      <c r="G28" s="2" t="s">
        <v>34</v>
      </c>
      <c r="H28" s="2">
        <v>1211149649</v>
      </c>
      <c r="I28" s="2" t="s">
        <v>66</v>
      </c>
      <c r="J28" s="4">
        <v>42791</v>
      </c>
      <c r="K28" s="2" t="s">
        <v>8</v>
      </c>
      <c r="L28" s="2" t="s">
        <v>12</v>
      </c>
      <c r="W28" s="16" t="s">
        <v>111</v>
      </c>
      <c r="Y28" s="7">
        <v>42817</v>
      </c>
      <c r="Z28" s="16" t="s">
        <v>67</v>
      </c>
      <c r="AA28" s="7" t="s">
        <v>3111</v>
      </c>
    </row>
    <row r="29" spans="1:28" ht="15" customHeight="1">
      <c r="A29" s="285"/>
      <c r="C29" s="25">
        <v>2</v>
      </c>
      <c r="D29" s="2">
        <v>17916</v>
      </c>
      <c r="E29" s="2" t="s">
        <v>3427</v>
      </c>
      <c r="F29" s="3">
        <v>29406051402184</v>
      </c>
      <c r="G29" s="2" t="s">
        <v>34</v>
      </c>
      <c r="H29" s="2">
        <v>1018789866</v>
      </c>
      <c r="I29" s="2" t="s">
        <v>66</v>
      </c>
      <c r="J29" s="4">
        <v>42791</v>
      </c>
      <c r="K29" s="2" t="s">
        <v>8</v>
      </c>
      <c r="L29" s="2" t="s">
        <v>12</v>
      </c>
      <c r="W29" s="16" t="s">
        <v>502</v>
      </c>
      <c r="Y29" s="7">
        <v>42817</v>
      </c>
      <c r="Z29" s="16" t="s">
        <v>66</v>
      </c>
      <c r="AA29" s="7" t="s">
        <v>3111</v>
      </c>
    </row>
    <row r="30" spans="1:28" ht="15.75" customHeight="1" thickBot="1">
      <c r="A30" s="286"/>
      <c r="C30" s="28">
        <v>2</v>
      </c>
      <c r="D30" s="28">
        <v>17917</v>
      </c>
      <c r="E30" s="28" t="s">
        <v>3428</v>
      </c>
      <c r="F30" s="29">
        <v>29109090100191</v>
      </c>
      <c r="G30" s="28" t="s">
        <v>34</v>
      </c>
      <c r="H30" s="28">
        <v>1100206390</v>
      </c>
      <c r="I30" s="28" t="s">
        <v>66</v>
      </c>
      <c r="J30" s="30">
        <v>42791</v>
      </c>
      <c r="K30" s="28" t="s">
        <v>8</v>
      </c>
      <c r="L30" s="28" t="s">
        <v>12</v>
      </c>
      <c r="M30" s="28"/>
      <c r="N30" s="28"/>
      <c r="O30" s="226"/>
      <c r="P30" s="28"/>
      <c r="Q30" s="226"/>
      <c r="R30" s="28"/>
      <c r="S30" s="28"/>
      <c r="T30" s="28"/>
      <c r="U30" s="28"/>
      <c r="V30" s="28"/>
      <c r="W30" s="28" t="s">
        <v>502</v>
      </c>
      <c r="X30" s="28"/>
      <c r="Y30" s="30">
        <v>42817</v>
      </c>
      <c r="Z30" s="28" t="s">
        <v>66</v>
      </c>
      <c r="AA30" s="30"/>
      <c r="AB30" s="28"/>
    </row>
    <row r="31" spans="1:28" ht="15.75" customHeight="1" thickTop="1">
      <c r="A31" s="284" t="s">
        <v>3127</v>
      </c>
      <c r="C31" s="25">
        <v>3</v>
      </c>
      <c r="D31" s="25">
        <v>17974</v>
      </c>
      <c r="E31" s="25" t="s">
        <v>3429</v>
      </c>
      <c r="F31" s="26">
        <v>29405212102007</v>
      </c>
      <c r="G31" s="25" t="s">
        <v>34</v>
      </c>
      <c r="H31" s="25" t="s">
        <v>3541</v>
      </c>
      <c r="I31" s="25" t="s">
        <v>66</v>
      </c>
      <c r="J31" s="27">
        <v>42799</v>
      </c>
      <c r="K31" s="25" t="s">
        <v>8</v>
      </c>
      <c r="L31" s="25" t="s">
        <v>12</v>
      </c>
      <c r="M31" s="25"/>
      <c r="N31" s="25"/>
      <c r="O31" s="224"/>
      <c r="P31" s="25"/>
      <c r="Q31" s="224"/>
      <c r="R31" s="25"/>
      <c r="S31" s="25"/>
      <c r="T31" s="25"/>
      <c r="U31" s="25"/>
      <c r="V31" s="25"/>
      <c r="W31" s="25" t="s">
        <v>111</v>
      </c>
      <c r="X31" s="25"/>
      <c r="Y31" s="27">
        <v>42824</v>
      </c>
      <c r="Z31" s="16" t="s">
        <v>66</v>
      </c>
      <c r="AA31" s="27">
        <v>42863</v>
      </c>
      <c r="AB31" s="25"/>
    </row>
    <row r="32" spans="1:28" ht="15" customHeight="1">
      <c r="A32" s="285"/>
      <c r="C32" s="2">
        <v>3</v>
      </c>
      <c r="D32" s="2">
        <v>17975</v>
      </c>
      <c r="E32" s="2" t="s">
        <v>3430</v>
      </c>
      <c r="F32" s="3">
        <v>28810190100054</v>
      </c>
      <c r="G32" s="2" t="s">
        <v>34</v>
      </c>
      <c r="H32" s="2" t="s">
        <v>3542</v>
      </c>
      <c r="I32" s="2" t="s">
        <v>66</v>
      </c>
      <c r="J32" s="4">
        <v>42799</v>
      </c>
      <c r="K32" s="16" t="s">
        <v>8</v>
      </c>
      <c r="L32" s="2" t="s">
        <v>12</v>
      </c>
      <c r="Y32" s="7">
        <v>42824</v>
      </c>
      <c r="Z32" s="16" t="s">
        <v>67</v>
      </c>
      <c r="AA32" s="7" t="s">
        <v>3111</v>
      </c>
    </row>
    <row r="33" spans="1:28" ht="15" customHeight="1">
      <c r="A33" s="285"/>
      <c r="C33" s="2">
        <v>3</v>
      </c>
      <c r="D33" s="2">
        <v>17976</v>
      </c>
      <c r="E33" s="2" t="s">
        <v>3431</v>
      </c>
      <c r="F33" s="3">
        <v>29007242102189</v>
      </c>
      <c r="G33" s="2" t="s">
        <v>34</v>
      </c>
      <c r="H33" s="2" t="s">
        <v>3543</v>
      </c>
      <c r="I33" s="2" t="s">
        <v>66</v>
      </c>
      <c r="J33" s="4">
        <v>42799</v>
      </c>
      <c r="K33" s="16" t="s">
        <v>8</v>
      </c>
      <c r="L33" s="2" t="s">
        <v>12</v>
      </c>
      <c r="W33" s="16" t="s">
        <v>111</v>
      </c>
      <c r="Y33" s="7">
        <v>42824</v>
      </c>
      <c r="Z33" s="16" t="s">
        <v>66</v>
      </c>
      <c r="AA33" s="7">
        <v>42863</v>
      </c>
    </row>
    <row r="34" spans="1:28" ht="15" customHeight="1">
      <c r="A34" s="285"/>
      <c r="C34" s="2">
        <v>3</v>
      </c>
      <c r="D34" s="2">
        <v>17977</v>
      </c>
      <c r="E34" s="2" t="s">
        <v>3432</v>
      </c>
      <c r="F34" s="3">
        <v>28612158800838</v>
      </c>
      <c r="G34" s="2" t="s">
        <v>34</v>
      </c>
      <c r="H34" s="2" t="s">
        <v>3544</v>
      </c>
      <c r="I34" s="2" t="s">
        <v>66</v>
      </c>
      <c r="J34" s="4">
        <v>42799</v>
      </c>
      <c r="K34" s="16" t="s">
        <v>8</v>
      </c>
      <c r="L34" s="2" t="s">
        <v>12</v>
      </c>
      <c r="W34" s="16" t="s">
        <v>60</v>
      </c>
      <c r="Y34" s="7">
        <v>42824</v>
      </c>
      <c r="Z34" s="16" t="s">
        <v>66</v>
      </c>
      <c r="AA34" s="7">
        <v>42835</v>
      </c>
    </row>
    <row r="35" spans="1:28" ht="15" customHeight="1">
      <c r="A35" s="285"/>
      <c r="C35" s="16">
        <v>3</v>
      </c>
      <c r="D35" s="16">
        <v>17978</v>
      </c>
      <c r="E35" s="16" t="s">
        <v>3433</v>
      </c>
      <c r="F35" s="3">
        <v>29404100105627</v>
      </c>
      <c r="G35" s="16" t="s">
        <v>34</v>
      </c>
      <c r="H35" s="16" t="s">
        <v>3545</v>
      </c>
      <c r="I35" s="16" t="s">
        <v>66</v>
      </c>
      <c r="J35" s="45">
        <v>42799</v>
      </c>
      <c r="K35" s="16" t="s">
        <v>8</v>
      </c>
      <c r="L35" s="16" t="s">
        <v>12</v>
      </c>
      <c r="M35" s="16"/>
      <c r="N35" s="16"/>
      <c r="W35" s="16" t="s">
        <v>111</v>
      </c>
      <c r="X35" s="16"/>
      <c r="Y35" s="45">
        <v>42824</v>
      </c>
      <c r="Z35" s="16" t="s">
        <v>66</v>
      </c>
      <c r="AA35" s="45">
        <v>42863</v>
      </c>
      <c r="AB35" s="16"/>
    </row>
    <row r="36" spans="1:28" ht="15" customHeight="1">
      <c r="A36" s="285"/>
      <c r="C36" s="16">
        <v>3</v>
      </c>
      <c r="D36" s="16">
        <v>17979</v>
      </c>
      <c r="E36" s="16" t="s">
        <v>3434</v>
      </c>
      <c r="F36" s="3">
        <v>29204281900351</v>
      </c>
      <c r="G36" s="16" t="s">
        <v>34</v>
      </c>
      <c r="H36" s="16" t="s">
        <v>3546</v>
      </c>
      <c r="I36" s="16" t="s">
        <v>66</v>
      </c>
      <c r="J36" s="45">
        <v>42799</v>
      </c>
      <c r="K36" s="16" t="s">
        <v>8</v>
      </c>
      <c r="L36" s="16" t="s">
        <v>12</v>
      </c>
      <c r="M36" s="16"/>
      <c r="N36" s="16"/>
      <c r="W36" s="16" t="s">
        <v>60</v>
      </c>
      <c r="X36" s="16"/>
      <c r="Y36" s="45">
        <v>42824</v>
      </c>
      <c r="Z36" s="16" t="s">
        <v>66</v>
      </c>
      <c r="AA36" s="45">
        <v>42821</v>
      </c>
      <c r="AB36" s="16"/>
    </row>
    <row r="37" spans="1:28" ht="15" customHeight="1">
      <c r="A37" s="285"/>
      <c r="C37" s="2">
        <v>3</v>
      </c>
      <c r="D37" s="2">
        <v>17980</v>
      </c>
      <c r="E37" s="2" t="s">
        <v>3435</v>
      </c>
      <c r="F37" s="3">
        <v>29312070103258</v>
      </c>
      <c r="G37" s="2" t="s">
        <v>34</v>
      </c>
      <c r="H37" s="2" t="s">
        <v>3547</v>
      </c>
      <c r="I37" s="2" t="s">
        <v>66</v>
      </c>
      <c r="J37" s="4">
        <v>42799</v>
      </c>
      <c r="K37" s="16" t="s">
        <v>8</v>
      </c>
      <c r="L37" s="2" t="s">
        <v>12</v>
      </c>
      <c r="W37" s="16" t="s">
        <v>60</v>
      </c>
      <c r="Y37" s="7">
        <v>42824</v>
      </c>
      <c r="Z37" s="16" t="s">
        <v>66</v>
      </c>
      <c r="AA37" s="7">
        <v>42821</v>
      </c>
    </row>
    <row r="38" spans="1:28" ht="15" customHeight="1">
      <c r="A38" s="285"/>
      <c r="C38" s="2">
        <v>3</v>
      </c>
      <c r="D38" s="2">
        <v>17981</v>
      </c>
      <c r="E38" s="2" t="s">
        <v>3436</v>
      </c>
      <c r="F38" s="3">
        <v>29109122100279</v>
      </c>
      <c r="G38" s="2" t="s">
        <v>34</v>
      </c>
      <c r="H38" s="2" t="s">
        <v>3548</v>
      </c>
      <c r="I38" s="2" t="s">
        <v>66</v>
      </c>
      <c r="J38" s="4">
        <v>42799</v>
      </c>
      <c r="K38" s="16" t="s">
        <v>8</v>
      </c>
      <c r="L38" s="2" t="s">
        <v>12</v>
      </c>
      <c r="W38" s="16" t="s">
        <v>111</v>
      </c>
      <c r="Y38" s="7">
        <v>42824</v>
      </c>
      <c r="Z38" s="16" t="s">
        <v>66</v>
      </c>
      <c r="AA38" s="7">
        <v>42863</v>
      </c>
    </row>
    <row r="39" spans="1:28" ht="15" customHeight="1">
      <c r="A39" s="285"/>
      <c r="C39" s="2">
        <v>3</v>
      </c>
      <c r="D39" s="2">
        <v>17982</v>
      </c>
      <c r="E39" s="2" t="s">
        <v>3437</v>
      </c>
      <c r="F39" s="3">
        <v>28504161403273</v>
      </c>
      <c r="G39" s="2" t="s">
        <v>34</v>
      </c>
      <c r="H39" s="2" t="s">
        <v>3549</v>
      </c>
      <c r="I39" s="2" t="s">
        <v>66</v>
      </c>
      <c r="J39" s="4">
        <v>42799</v>
      </c>
      <c r="K39" s="16" t="s">
        <v>8</v>
      </c>
      <c r="L39" s="2" t="s">
        <v>12</v>
      </c>
      <c r="W39" s="16" t="s">
        <v>111</v>
      </c>
      <c r="Y39" s="7">
        <v>42824</v>
      </c>
      <c r="Z39" s="16" t="s">
        <v>66</v>
      </c>
      <c r="AA39" s="7">
        <v>42863</v>
      </c>
    </row>
    <row r="40" spans="1:28" ht="15" customHeight="1">
      <c r="A40" s="285"/>
      <c r="C40" s="16">
        <v>3</v>
      </c>
      <c r="D40" s="16">
        <v>17983</v>
      </c>
      <c r="E40" s="16" t="s">
        <v>3438</v>
      </c>
      <c r="F40" s="3">
        <v>28705318800153</v>
      </c>
      <c r="G40" s="16" t="s">
        <v>34</v>
      </c>
      <c r="H40" s="16" t="s">
        <v>3550</v>
      </c>
      <c r="I40" s="16" t="s">
        <v>66</v>
      </c>
      <c r="J40" s="45">
        <v>42799</v>
      </c>
      <c r="K40" s="16" t="s">
        <v>8</v>
      </c>
      <c r="L40" s="16" t="s">
        <v>12</v>
      </c>
      <c r="M40" s="16"/>
      <c r="N40" s="16"/>
      <c r="W40" s="16" t="s">
        <v>61</v>
      </c>
      <c r="X40" s="16"/>
      <c r="Y40" s="45">
        <v>42824</v>
      </c>
      <c r="Z40" s="16" t="s">
        <v>67</v>
      </c>
      <c r="AA40" s="45" t="s">
        <v>3111</v>
      </c>
      <c r="AB40" s="16"/>
    </row>
    <row r="41" spans="1:28" ht="15" customHeight="1">
      <c r="A41" s="285"/>
      <c r="C41" s="16">
        <v>3</v>
      </c>
      <c r="D41" s="16">
        <v>17984</v>
      </c>
      <c r="E41" s="16" t="s">
        <v>3439</v>
      </c>
      <c r="F41" s="3">
        <v>28704110102235</v>
      </c>
      <c r="G41" s="16" t="s">
        <v>34</v>
      </c>
      <c r="H41" s="16" t="s">
        <v>3551</v>
      </c>
      <c r="I41" s="16" t="s">
        <v>66</v>
      </c>
      <c r="J41" s="45">
        <v>42799</v>
      </c>
      <c r="K41" s="16" t="s">
        <v>8</v>
      </c>
      <c r="L41" s="16" t="s">
        <v>12</v>
      </c>
      <c r="M41" s="16"/>
      <c r="N41" s="16"/>
      <c r="W41" s="16" t="s">
        <v>111</v>
      </c>
      <c r="X41" s="16"/>
      <c r="Y41" s="45">
        <v>42824</v>
      </c>
      <c r="Z41" s="16" t="s">
        <v>67</v>
      </c>
      <c r="AA41" s="45" t="s">
        <v>3111</v>
      </c>
      <c r="AB41" s="16"/>
    </row>
    <row r="42" spans="1:28" ht="15" customHeight="1">
      <c r="A42" s="285"/>
      <c r="C42" s="16">
        <v>3</v>
      </c>
      <c r="D42" s="2">
        <v>17985</v>
      </c>
      <c r="E42" s="2" t="s">
        <v>3440</v>
      </c>
      <c r="F42" s="3">
        <v>29107011414093</v>
      </c>
      <c r="G42" s="25" t="s">
        <v>3663</v>
      </c>
      <c r="H42" s="2" t="s">
        <v>3552</v>
      </c>
      <c r="I42" s="2" t="s">
        <v>66</v>
      </c>
      <c r="J42" s="4">
        <v>42799</v>
      </c>
      <c r="K42" s="16" t="s">
        <v>8</v>
      </c>
      <c r="L42" s="2" t="s">
        <v>12</v>
      </c>
      <c r="W42" s="16" t="s">
        <v>60</v>
      </c>
      <c r="Y42" s="7">
        <v>42824</v>
      </c>
      <c r="Z42" s="16" t="s">
        <v>66</v>
      </c>
      <c r="AA42" s="7" t="s">
        <v>3111</v>
      </c>
    </row>
    <row r="43" spans="1:28" ht="15.75" customHeight="1" thickBot="1">
      <c r="A43" s="286"/>
      <c r="C43" s="28">
        <v>3</v>
      </c>
      <c r="D43" s="28">
        <v>17986</v>
      </c>
      <c r="E43" s="28" t="s">
        <v>3441</v>
      </c>
      <c r="F43" s="29">
        <v>28105250100291</v>
      </c>
      <c r="G43" s="28" t="s">
        <v>34</v>
      </c>
      <c r="H43" s="28" t="s">
        <v>3553</v>
      </c>
      <c r="I43" s="28" t="s">
        <v>66</v>
      </c>
      <c r="J43" s="30">
        <v>42799</v>
      </c>
      <c r="K43" s="28" t="s">
        <v>8</v>
      </c>
      <c r="L43" s="28" t="s">
        <v>12</v>
      </c>
      <c r="M43" s="28"/>
      <c r="N43" s="28"/>
      <c r="O43" s="226"/>
      <c r="P43" s="28"/>
      <c r="Q43" s="226"/>
      <c r="R43" s="28"/>
      <c r="S43" s="28"/>
      <c r="T43" s="28"/>
      <c r="U43" s="28"/>
      <c r="V43" s="28"/>
      <c r="W43" s="28" t="s">
        <v>60</v>
      </c>
      <c r="X43" s="28"/>
      <c r="Y43" s="30">
        <v>42824</v>
      </c>
      <c r="Z43" s="28" t="s">
        <v>66</v>
      </c>
      <c r="AA43" s="30">
        <v>42821</v>
      </c>
      <c r="AB43" s="28"/>
    </row>
    <row r="44" spans="1:28" ht="15.75" customHeight="1" thickTop="1">
      <c r="A44" s="284" t="s">
        <v>3118</v>
      </c>
      <c r="C44" s="25">
        <v>4</v>
      </c>
      <c r="D44" s="25">
        <v>18063</v>
      </c>
      <c r="E44" s="25" t="s">
        <v>3442</v>
      </c>
      <c r="F44" s="26">
        <v>29302201404211</v>
      </c>
      <c r="G44" s="25" t="s">
        <v>34</v>
      </c>
      <c r="H44" s="25" t="s">
        <v>3554</v>
      </c>
      <c r="I44" s="25" t="s">
        <v>3555</v>
      </c>
      <c r="J44" s="27">
        <v>42805</v>
      </c>
      <c r="K44" s="25" t="s">
        <v>8</v>
      </c>
      <c r="L44" s="25" t="s">
        <v>12</v>
      </c>
      <c r="M44" s="25"/>
      <c r="N44" s="25"/>
      <c r="O44" s="224"/>
      <c r="P44" s="25"/>
      <c r="Q44" s="224"/>
      <c r="R44" s="25"/>
      <c r="S44" s="25"/>
      <c r="T44" s="25"/>
      <c r="U44" s="25"/>
      <c r="V44" s="25"/>
      <c r="W44" s="25" t="s">
        <v>111</v>
      </c>
      <c r="X44" s="25"/>
      <c r="Y44" s="27">
        <v>42831</v>
      </c>
      <c r="Z44" s="25" t="s">
        <v>67</v>
      </c>
      <c r="AA44" s="27" t="s">
        <v>3111</v>
      </c>
      <c r="AB44" s="25"/>
    </row>
    <row r="45" spans="1:28" ht="15" customHeight="1">
      <c r="A45" s="285"/>
      <c r="C45" s="16">
        <v>4</v>
      </c>
      <c r="D45" s="2">
        <v>18064</v>
      </c>
      <c r="E45" s="16" t="s">
        <v>3443</v>
      </c>
      <c r="F45" s="3" t="s">
        <v>3556</v>
      </c>
      <c r="G45" s="2" t="s">
        <v>34</v>
      </c>
      <c r="H45" s="2" t="s">
        <v>3557</v>
      </c>
      <c r="I45" s="2" t="s">
        <v>3555</v>
      </c>
      <c r="J45" s="4">
        <v>42805</v>
      </c>
      <c r="K45" s="16" t="s">
        <v>8</v>
      </c>
      <c r="L45" s="2" t="s">
        <v>12</v>
      </c>
      <c r="W45" s="16" t="s">
        <v>60</v>
      </c>
      <c r="Y45" s="7">
        <v>42831</v>
      </c>
      <c r="Z45" s="16" t="s">
        <v>66</v>
      </c>
      <c r="AA45" s="7">
        <v>42963</v>
      </c>
    </row>
    <row r="46" spans="1:28" ht="15" customHeight="1">
      <c r="A46" s="285"/>
      <c r="C46" s="16">
        <v>4</v>
      </c>
      <c r="D46" s="2">
        <v>18065</v>
      </c>
      <c r="E46" s="16" t="s">
        <v>3444</v>
      </c>
      <c r="F46" s="3">
        <v>26705230400298</v>
      </c>
      <c r="G46" s="2" t="s">
        <v>34</v>
      </c>
      <c r="H46" s="2" t="s">
        <v>3558</v>
      </c>
      <c r="I46" s="2" t="s">
        <v>3555</v>
      </c>
      <c r="J46" s="4">
        <v>42805</v>
      </c>
      <c r="K46" s="16" t="s">
        <v>8</v>
      </c>
      <c r="L46" s="2" t="s">
        <v>12</v>
      </c>
      <c r="W46" s="16" t="s">
        <v>111</v>
      </c>
      <c r="Y46" s="7">
        <v>42831</v>
      </c>
      <c r="Z46" s="16" t="s">
        <v>67</v>
      </c>
      <c r="AA46" s="7" t="s">
        <v>3111</v>
      </c>
    </row>
    <row r="47" spans="1:28" ht="15" customHeight="1">
      <c r="A47" s="285"/>
      <c r="C47" s="16">
        <v>4</v>
      </c>
      <c r="D47" s="2">
        <v>18066</v>
      </c>
      <c r="E47" s="16" t="s">
        <v>3445</v>
      </c>
      <c r="F47" s="3">
        <v>29409250108243</v>
      </c>
      <c r="G47" s="2" t="s">
        <v>184</v>
      </c>
      <c r="H47" s="2" t="s">
        <v>3559</v>
      </c>
      <c r="I47" s="2" t="s">
        <v>3555</v>
      </c>
      <c r="J47" s="4">
        <v>42805</v>
      </c>
      <c r="K47" s="16" t="s">
        <v>8</v>
      </c>
      <c r="L47" s="2" t="s">
        <v>12</v>
      </c>
      <c r="W47" s="16" t="s">
        <v>111</v>
      </c>
      <c r="Y47" s="7">
        <v>42831</v>
      </c>
      <c r="Z47" s="16" t="s">
        <v>67</v>
      </c>
      <c r="AA47" s="7" t="s">
        <v>3111</v>
      </c>
    </row>
    <row r="48" spans="1:28" ht="15" customHeight="1">
      <c r="A48" s="285"/>
      <c r="C48" s="16">
        <v>4</v>
      </c>
      <c r="D48" s="2">
        <v>18067</v>
      </c>
      <c r="E48" s="16" t="s">
        <v>3446</v>
      </c>
      <c r="F48" s="3">
        <v>28807170105059</v>
      </c>
      <c r="G48" s="2" t="s">
        <v>34</v>
      </c>
      <c r="H48" s="2" t="s">
        <v>3560</v>
      </c>
      <c r="I48" s="2" t="s">
        <v>3555</v>
      </c>
      <c r="J48" s="4">
        <v>42805</v>
      </c>
      <c r="K48" s="16" t="s">
        <v>8</v>
      </c>
      <c r="L48" s="2" t="s">
        <v>12</v>
      </c>
      <c r="W48" s="16" t="s">
        <v>61</v>
      </c>
      <c r="Y48" s="7">
        <v>42831</v>
      </c>
      <c r="Z48" s="16" t="s">
        <v>66</v>
      </c>
      <c r="AA48" s="7">
        <v>42843</v>
      </c>
    </row>
    <row r="49" spans="1:28" ht="15" customHeight="1">
      <c r="A49" s="285"/>
      <c r="C49" s="16">
        <v>4</v>
      </c>
      <c r="D49" s="2">
        <v>18068</v>
      </c>
      <c r="E49" s="16" t="s">
        <v>3447</v>
      </c>
      <c r="F49" s="3">
        <v>29508220101536</v>
      </c>
      <c r="G49" s="16" t="s">
        <v>184</v>
      </c>
      <c r="H49" s="2" t="s">
        <v>3561</v>
      </c>
      <c r="I49" s="2" t="s">
        <v>3555</v>
      </c>
      <c r="J49" s="4">
        <v>42805</v>
      </c>
      <c r="K49" s="16" t="s">
        <v>8</v>
      </c>
      <c r="L49" s="2" t="s">
        <v>12</v>
      </c>
      <c r="W49" s="16" t="s">
        <v>60</v>
      </c>
      <c r="Y49" s="7">
        <v>42831</v>
      </c>
      <c r="Z49" s="16" t="s">
        <v>66</v>
      </c>
      <c r="AA49" s="7">
        <v>42891</v>
      </c>
    </row>
    <row r="50" spans="1:28" ht="15" customHeight="1">
      <c r="A50" s="285"/>
      <c r="C50" s="16">
        <v>4</v>
      </c>
      <c r="D50" s="2">
        <v>18069</v>
      </c>
      <c r="E50" s="2" t="s">
        <v>3448</v>
      </c>
      <c r="F50" s="3">
        <v>28502138800068</v>
      </c>
      <c r="G50" s="2" t="s">
        <v>34</v>
      </c>
      <c r="H50" s="2" t="s">
        <v>3562</v>
      </c>
      <c r="I50" s="2" t="s">
        <v>3555</v>
      </c>
      <c r="J50" s="4">
        <v>42805</v>
      </c>
      <c r="K50" s="16" t="s">
        <v>8</v>
      </c>
      <c r="L50" s="2" t="s">
        <v>12</v>
      </c>
      <c r="W50" s="16" t="s">
        <v>60</v>
      </c>
      <c r="Y50" s="7">
        <v>42831</v>
      </c>
      <c r="Z50" s="16" t="s">
        <v>66</v>
      </c>
      <c r="AA50" s="7">
        <v>42849</v>
      </c>
    </row>
    <row r="51" spans="1:28" ht="15" customHeight="1">
      <c r="A51" s="285"/>
      <c r="C51" s="16">
        <v>4</v>
      </c>
      <c r="D51" s="16">
        <v>18070</v>
      </c>
      <c r="E51" s="16" t="s">
        <v>3449</v>
      </c>
      <c r="F51" s="3">
        <v>30010212100544</v>
      </c>
      <c r="G51" s="16" t="s">
        <v>184</v>
      </c>
      <c r="H51" s="16" t="s">
        <v>3563</v>
      </c>
      <c r="I51" s="16" t="s">
        <v>3555</v>
      </c>
      <c r="J51" s="45">
        <v>42805</v>
      </c>
      <c r="K51" s="16" t="s">
        <v>8</v>
      </c>
      <c r="L51" s="16" t="s">
        <v>12</v>
      </c>
      <c r="M51" s="16"/>
      <c r="N51" s="16"/>
      <c r="W51" s="16" t="s">
        <v>3108</v>
      </c>
      <c r="X51" s="16"/>
      <c r="Y51" s="45">
        <v>42831</v>
      </c>
      <c r="Z51" s="16" t="s">
        <v>66</v>
      </c>
      <c r="AA51" s="45">
        <v>42857</v>
      </c>
      <c r="AB51" s="16"/>
    </row>
    <row r="52" spans="1:28" ht="15" customHeight="1">
      <c r="A52" s="285"/>
      <c r="C52" s="16">
        <v>4</v>
      </c>
      <c r="D52" s="16">
        <v>18071</v>
      </c>
      <c r="E52" s="16" t="s">
        <v>3450</v>
      </c>
      <c r="F52" s="3">
        <v>29206150105443</v>
      </c>
      <c r="G52" s="16" t="s">
        <v>34</v>
      </c>
      <c r="H52" s="16" t="s">
        <v>3564</v>
      </c>
      <c r="I52" s="16" t="s">
        <v>3555</v>
      </c>
      <c r="J52" s="45">
        <v>42805</v>
      </c>
      <c r="K52" s="16" t="s">
        <v>8</v>
      </c>
      <c r="L52" s="16" t="s">
        <v>12</v>
      </c>
      <c r="M52" s="16"/>
      <c r="N52" s="16"/>
      <c r="W52" s="16" t="s">
        <v>61</v>
      </c>
      <c r="X52" s="16"/>
      <c r="Y52" s="45">
        <v>42831</v>
      </c>
      <c r="Z52" s="16" t="s">
        <v>66</v>
      </c>
      <c r="AA52" s="45">
        <v>42869</v>
      </c>
      <c r="AB52" s="16"/>
    </row>
    <row r="53" spans="1:28" ht="15" customHeight="1">
      <c r="A53" s="285"/>
      <c r="C53" s="16">
        <v>4</v>
      </c>
      <c r="D53" s="2">
        <v>18072</v>
      </c>
      <c r="E53" s="2" t="s">
        <v>3451</v>
      </c>
      <c r="F53" s="3">
        <v>29308310103377</v>
      </c>
      <c r="G53" s="2" t="s">
        <v>34</v>
      </c>
      <c r="H53" s="2" t="s">
        <v>3565</v>
      </c>
      <c r="I53" s="2" t="s">
        <v>3555</v>
      </c>
      <c r="J53" s="4">
        <v>42805</v>
      </c>
      <c r="K53" s="16" t="s">
        <v>8</v>
      </c>
      <c r="L53" s="2" t="s">
        <v>12</v>
      </c>
      <c r="W53" s="16" t="s">
        <v>111</v>
      </c>
      <c r="Y53" s="7">
        <v>42831</v>
      </c>
      <c r="Z53" s="16" t="s">
        <v>67</v>
      </c>
      <c r="AA53" s="7" t="s">
        <v>3111</v>
      </c>
    </row>
    <row r="54" spans="1:28" ht="15" customHeight="1">
      <c r="A54" s="285"/>
      <c r="C54" s="16">
        <v>4</v>
      </c>
      <c r="D54" s="2">
        <v>18073</v>
      </c>
      <c r="E54" s="2" t="s">
        <v>3452</v>
      </c>
      <c r="F54" s="3">
        <v>29701288800496</v>
      </c>
      <c r="G54" s="16" t="s">
        <v>184</v>
      </c>
      <c r="H54" s="2" t="s">
        <v>3566</v>
      </c>
      <c r="I54" s="2" t="s">
        <v>3555</v>
      </c>
      <c r="J54" s="4">
        <v>42805</v>
      </c>
      <c r="K54" s="16" t="s">
        <v>8</v>
      </c>
      <c r="L54" s="2" t="s">
        <v>12</v>
      </c>
      <c r="W54" s="16" t="s">
        <v>60</v>
      </c>
      <c r="Y54" s="7">
        <v>42831</v>
      </c>
      <c r="Z54" s="16" t="s">
        <v>66</v>
      </c>
      <c r="AA54" s="7">
        <v>42849</v>
      </c>
    </row>
    <row r="55" spans="1:28" ht="15" customHeight="1">
      <c r="A55" s="285"/>
      <c r="C55" s="16">
        <v>4</v>
      </c>
      <c r="D55" s="2">
        <v>18074</v>
      </c>
      <c r="E55" s="2" t="s">
        <v>3453</v>
      </c>
      <c r="F55" s="3">
        <v>2891128800432</v>
      </c>
      <c r="G55" s="2" t="s">
        <v>34</v>
      </c>
      <c r="H55" s="2" t="s">
        <v>3567</v>
      </c>
      <c r="I55" s="2" t="s">
        <v>3555</v>
      </c>
      <c r="J55" s="4">
        <v>42805</v>
      </c>
      <c r="K55" s="16" t="s">
        <v>8</v>
      </c>
      <c r="L55" s="2" t="s">
        <v>12</v>
      </c>
      <c r="W55" s="16" t="s">
        <v>61</v>
      </c>
      <c r="Y55" s="7">
        <v>42831</v>
      </c>
      <c r="Z55" s="16" t="s">
        <v>67</v>
      </c>
      <c r="AA55" s="7" t="s">
        <v>3111</v>
      </c>
    </row>
    <row r="56" spans="1:28" ht="15" customHeight="1">
      <c r="A56" s="285"/>
      <c r="C56" s="16">
        <v>4</v>
      </c>
      <c r="D56" s="16">
        <v>18075</v>
      </c>
      <c r="E56" s="16" t="s">
        <v>3454</v>
      </c>
      <c r="F56" s="3">
        <v>29601012409675</v>
      </c>
      <c r="G56" s="16" t="s">
        <v>184</v>
      </c>
      <c r="H56" s="16" t="s">
        <v>3568</v>
      </c>
      <c r="I56" s="16" t="s">
        <v>3555</v>
      </c>
      <c r="J56" s="45">
        <v>42805</v>
      </c>
      <c r="K56" s="16" t="s">
        <v>8</v>
      </c>
      <c r="L56" s="16" t="s">
        <v>12</v>
      </c>
      <c r="M56" s="16"/>
      <c r="N56" s="16"/>
      <c r="W56" s="16" t="s">
        <v>111</v>
      </c>
      <c r="X56" s="16"/>
      <c r="Y56" s="45">
        <v>42831</v>
      </c>
      <c r="Z56" s="16" t="s">
        <v>67</v>
      </c>
      <c r="AA56" s="45" t="s">
        <v>3111</v>
      </c>
      <c r="AB56" s="16"/>
    </row>
    <row r="57" spans="1:28" ht="15" customHeight="1">
      <c r="A57" s="285"/>
      <c r="C57" s="16">
        <v>4</v>
      </c>
      <c r="D57" s="2">
        <v>18076</v>
      </c>
      <c r="E57" s="2" t="s">
        <v>3455</v>
      </c>
      <c r="F57" s="3">
        <v>29109012801948</v>
      </c>
      <c r="G57" s="2" t="s">
        <v>34</v>
      </c>
      <c r="H57" s="2" t="s">
        <v>3569</v>
      </c>
      <c r="I57" s="2" t="s">
        <v>3555</v>
      </c>
      <c r="J57" s="4">
        <v>42805</v>
      </c>
      <c r="K57" s="16" t="s">
        <v>8</v>
      </c>
      <c r="L57" s="2" t="s">
        <v>12</v>
      </c>
      <c r="W57" s="16" t="s">
        <v>60</v>
      </c>
      <c r="Y57" s="7">
        <v>42831</v>
      </c>
      <c r="Z57" s="16" t="s">
        <v>66</v>
      </c>
      <c r="AA57" s="7">
        <v>42849</v>
      </c>
    </row>
    <row r="58" spans="1:28" ht="15" customHeight="1">
      <c r="A58" s="285"/>
      <c r="C58" s="16">
        <v>4</v>
      </c>
      <c r="D58" s="2">
        <v>18077</v>
      </c>
      <c r="E58" s="2" t="s">
        <v>3456</v>
      </c>
      <c r="F58" s="3">
        <v>28611078800334</v>
      </c>
      <c r="G58" s="2" t="s">
        <v>34</v>
      </c>
      <c r="H58" s="2" t="s">
        <v>3570</v>
      </c>
      <c r="I58" s="2" t="s">
        <v>3555</v>
      </c>
      <c r="J58" s="4">
        <v>42805</v>
      </c>
      <c r="K58" s="16" t="s">
        <v>8</v>
      </c>
      <c r="L58" s="2" t="s">
        <v>12</v>
      </c>
      <c r="W58" s="16" t="s">
        <v>111</v>
      </c>
      <c r="Y58" s="7">
        <v>42831</v>
      </c>
      <c r="Z58" s="16" t="s">
        <v>67</v>
      </c>
      <c r="AA58" s="7" t="s">
        <v>3111</v>
      </c>
    </row>
    <row r="59" spans="1:28" ht="15" customHeight="1">
      <c r="A59" s="285"/>
      <c r="C59" s="16">
        <v>4</v>
      </c>
      <c r="D59" s="2">
        <v>18078</v>
      </c>
      <c r="E59" s="2" t="s">
        <v>3457</v>
      </c>
      <c r="F59" s="3">
        <v>29407300101862</v>
      </c>
      <c r="G59" s="16" t="s">
        <v>184</v>
      </c>
      <c r="H59" s="2" t="s">
        <v>3571</v>
      </c>
      <c r="I59" s="2" t="s">
        <v>3555</v>
      </c>
      <c r="J59" s="4">
        <v>42805</v>
      </c>
      <c r="K59" s="16" t="s">
        <v>8</v>
      </c>
      <c r="L59" s="2" t="s">
        <v>12</v>
      </c>
      <c r="W59" s="16" t="s">
        <v>60</v>
      </c>
      <c r="Y59" s="7">
        <v>42831</v>
      </c>
      <c r="Z59" s="16" t="s">
        <v>66</v>
      </c>
      <c r="AA59" s="7" t="s">
        <v>3111</v>
      </c>
    </row>
    <row r="60" spans="1:28" ht="15" customHeight="1">
      <c r="A60" s="285"/>
      <c r="C60" s="16">
        <v>4</v>
      </c>
      <c r="D60" s="2">
        <v>18079</v>
      </c>
      <c r="E60" s="2" t="s">
        <v>3458</v>
      </c>
      <c r="F60" s="3">
        <v>29510301302026</v>
      </c>
      <c r="G60" s="16" t="s">
        <v>184</v>
      </c>
      <c r="H60" s="2" t="s">
        <v>3572</v>
      </c>
      <c r="I60" s="2" t="s">
        <v>3555</v>
      </c>
      <c r="J60" s="4">
        <v>42805</v>
      </c>
      <c r="K60" s="16" t="s">
        <v>8</v>
      </c>
      <c r="L60" s="2" t="s">
        <v>12</v>
      </c>
      <c r="W60" s="16" t="s">
        <v>60</v>
      </c>
      <c r="Y60" s="7">
        <v>42831</v>
      </c>
      <c r="Z60" s="16" t="s">
        <v>67</v>
      </c>
      <c r="AA60" s="7" t="s">
        <v>3111</v>
      </c>
    </row>
    <row r="61" spans="1:28" ht="15" customHeight="1">
      <c r="A61" s="285"/>
      <c r="C61" s="16">
        <v>4</v>
      </c>
      <c r="D61" s="2">
        <v>18080</v>
      </c>
      <c r="E61" s="2" t="s">
        <v>3459</v>
      </c>
      <c r="F61" s="3">
        <v>29609190100115</v>
      </c>
      <c r="G61" s="16" t="s">
        <v>184</v>
      </c>
      <c r="H61" s="2" t="s">
        <v>3573</v>
      </c>
      <c r="I61" s="2" t="s">
        <v>66</v>
      </c>
      <c r="J61" s="4">
        <v>42805</v>
      </c>
      <c r="K61" s="16" t="s">
        <v>8</v>
      </c>
      <c r="L61" s="2" t="s">
        <v>12</v>
      </c>
      <c r="W61" s="16" t="s">
        <v>502</v>
      </c>
      <c r="Y61" s="7">
        <v>42831</v>
      </c>
      <c r="Z61" s="16" t="s">
        <v>66</v>
      </c>
      <c r="AA61" s="7">
        <v>42885</v>
      </c>
    </row>
    <row r="62" spans="1:28" ht="15.75" customHeight="1" thickBot="1">
      <c r="A62" s="286"/>
      <c r="C62" s="28">
        <v>4</v>
      </c>
      <c r="D62" s="28">
        <v>12416</v>
      </c>
      <c r="E62" s="28" t="s">
        <v>3460</v>
      </c>
      <c r="F62" s="29">
        <v>29001012739732</v>
      </c>
      <c r="G62" s="28" t="s">
        <v>34</v>
      </c>
      <c r="H62" s="28" t="s">
        <v>3574</v>
      </c>
      <c r="I62" s="28" t="s">
        <v>67</v>
      </c>
      <c r="J62" s="30">
        <v>42805</v>
      </c>
      <c r="K62" s="28" t="s">
        <v>8</v>
      </c>
      <c r="L62" s="28" t="s">
        <v>12</v>
      </c>
      <c r="M62" s="28"/>
      <c r="N62" s="28"/>
      <c r="O62" s="226"/>
      <c r="P62" s="28"/>
      <c r="Q62" s="226"/>
      <c r="R62" s="28"/>
      <c r="S62" s="28"/>
      <c r="T62" s="28"/>
      <c r="U62" s="28"/>
      <c r="V62" s="28"/>
      <c r="W62" s="28" t="s">
        <v>111</v>
      </c>
      <c r="X62" s="28"/>
      <c r="Y62" s="30">
        <v>42831</v>
      </c>
      <c r="Z62" s="28" t="s">
        <v>66</v>
      </c>
      <c r="AA62" s="30">
        <v>42863</v>
      </c>
      <c r="AB62" s="28"/>
    </row>
    <row r="63" spans="1:28" ht="15.75" customHeight="1" thickTop="1">
      <c r="A63" s="284" t="s">
        <v>3120</v>
      </c>
      <c r="C63" s="25">
        <v>5</v>
      </c>
      <c r="D63" s="25">
        <v>18081</v>
      </c>
      <c r="E63" s="25" t="s">
        <v>3461</v>
      </c>
      <c r="F63" s="26" t="s">
        <v>3575</v>
      </c>
      <c r="G63" s="25" t="s">
        <v>34</v>
      </c>
      <c r="H63" s="25" t="s">
        <v>3576</v>
      </c>
      <c r="I63" s="25" t="s">
        <v>66</v>
      </c>
      <c r="J63" s="27">
        <v>42812</v>
      </c>
      <c r="K63" s="25" t="s">
        <v>8</v>
      </c>
      <c r="L63" s="25" t="s">
        <v>12</v>
      </c>
      <c r="M63" s="25"/>
      <c r="N63" s="25"/>
      <c r="O63" s="224"/>
      <c r="P63" s="25"/>
      <c r="Q63" s="224"/>
      <c r="R63" s="25"/>
      <c r="S63" s="25"/>
      <c r="T63" s="25"/>
      <c r="U63" s="25"/>
      <c r="V63" s="25"/>
      <c r="W63" s="25" t="s">
        <v>3108</v>
      </c>
      <c r="X63" s="25"/>
      <c r="Y63" s="27">
        <v>42838</v>
      </c>
      <c r="Z63" s="25" t="s">
        <v>66</v>
      </c>
      <c r="AA63" s="27" t="s">
        <v>3111</v>
      </c>
      <c r="AB63" s="25"/>
    </row>
    <row r="64" spans="1:28" ht="15" customHeight="1">
      <c r="A64" s="285"/>
      <c r="C64" s="25">
        <v>5</v>
      </c>
      <c r="D64" s="2">
        <v>18082</v>
      </c>
      <c r="E64" s="2" t="s">
        <v>3462</v>
      </c>
      <c r="F64" s="3">
        <v>29411011701093</v>
      </c>
      <c r="G64" s="16" t="s">
        <v>184</v>
      </c>
      <c r="H64" s="2" t="s">
        <v>3577</v>
      </c>
      <c r="I64" s="2" t="s">
        <v>66</v>
      </c>
      <c r="J64" s="4">
        <v>42812</v>
      </c>
      <c r="K64" s="16" t="s">
        <v>8</v>
      </c>
      <c r="L64" s="2" t="s">
        <v>12</v>
      </c>
      <c r="W64" s="16" t="s">
        <v>111</v>
      </c>
      <c r="Y64" s="7">
        <v>42838</v>
      </c>
      <c r="Z64" s="16" t="s">
        <v>67</v>
      </c>
      <c r="AA64" s="7" t="s">
        <v>3111</v>
      </c>
    </row>
    <row r="65" spans="1:28" ht="15" customHeight="1">
      <c r="A65" s="285"/>
      <c r="C65" s="25">
        <v>5</v>
      </c>
      <c r="D65" s="2">
        <v>18083</v>
      </c>
      <c r="E65" s="2" t="s">
        <v>3463</v>
      </c>
      <c r="F65" s="3">
        <v>29009160104496</v>
      </c>
      <c r="G65" s="16" t="s">
        <v>184</v>
      </c>
      <c r="H65" s="2" t="s">
        <v>3578</v>
      </c>
      <c r="I65" s="2" t="s">
        <v>66</v>
      </c>
      <c r="J65" s="4">
        <v>42812</v>
      </c>
      <c r="K65" s="16" t="s">
        <v>8</v>
      </c>
      <c r="L65" s="2" t="s">
        <v>12</v>
      </c>
      <c r="W65" s="16" t="s">
        <v>60</v>
      </c>
      <c r="Y65" s="7">
        <v>42838</v>
      </c>
      <c r="Z65" s="25" t="s">
        <v>66</v>
      </c>
      <c r="AA65" s="7" t="s">
        <v>3111</v>
      </c>
    </row>
    <row r="66" spans="1:28" ht="15" customHeight="1">
      <c r="A66" s="285"/>
      <c r="C66" s="25">
        <v>5</v>
      </c>
      <c r="D66" s="2">
        <v>18084</v>
      </c>
      <c r="E66" s="2" t="s">
        <v>3464</v>
      </c>
      <c r="F66" s="3">
        <v>29012012607617</v>
      </c>
      <c r="G66" s="2" t="s">
        <v>34</v>
      </c>
      <c r="H66" s="2" t="s">
        <v>3579</v>
      </c>
      <c r="I66" s="2" t="s">
        <v>66</v>
      </c>
      <c r="J66" s="4">
        <v>42812</v>
      </c>
      <c r="K66" s="16" t="s">
        <v>8</v>
      </c>
      <c r="L66" s="2" t="s">
        <v>12</v>
      </c>
      <c r="W66" s="16" t="s">
        <v>60</v>
      </c>
      <c r="Y66" s="7">
        <v>42838</v>
      </c>
      <c r="Z66" s="25" t="s">
        <v>66</v>
      </c>
      <c r="AA66" s="7">
        <v>42865</v>
      </c>
    </row>
    <row r="67" spans="1:28" ht="15" customHeight="1">
      <c r="A67" s="285"/>
      <c r="C67" s="25">
        <v>5</v>
      </c>
      <c r="D67" s="2">
        <v>18085</v>
      </c>
      <c r="E67" s="2" t="s">
        <v>3465</v>
      </c>
      <c r="F67" s="3">
        <v>29009012112684</v>
      </c>
      <c r="G67" s="2" t="s">
        <v>34</v>
      </c>
      <c r="H67" s="2" t="s">
        <v>3580</v>
      </c>
      <c r="I67" s="2" t="s">
        <v>66</v>
      </c>
      <c r="J67" s="4">
        <v>42812</v>
      </c>
      <c r="K67" s="16" t="s">
        <v>8</v>
      </c>
      <c r="L67" s="2" t="s">
        <v>12</v>
      </c>
      <c r="W67" s="16" t="s">
        <v>111</v>
      </c>
      <c r="Y67" s="7">
        <v>42838</v>
      </c>
      <c r="Z67" s="16" t="s">
        <v>67</v>
      </c>
      <c r="AA67" s="7" t="s">
        <v>3111</v>
      </c>
    </row>
    <row r="68" spans="1:28" ht="15" customHeight="1">
      <c r="A68" s="285"/>
      <c r="C68" s="25">
        <v>5</v>
      </c>
      <c r="D68" s="2">
        <v>18086</v>
      </c>
      <c r="E68" s="2" t="s">
        <v>3466</v>
      </c>
      <c r="F68" s="3">
        <v>28608052300057</v>
      </c>
      <c r="G68" s="2" t="s">
        <v>34</v>
      </c>
      <c r="H68" s="2" t="s">
        <v>3581</v>
      </c>
      <c r="I68" s="2" t="s">
        <v>66</v>
      </c>
      <c r="J68" s="4">
        <v>42812</v>
      </c>
      <c r="K68" s="16" t="s">
        <v>8</v>
      </c>
      <c r="L68" s="2" t="s">
        <v>12</v>
      </c>
      <c r="W68" s="16" t="s">
        <v>60</v>
      </c>
      <c r="Y68" s="7">
        <v>42838</v>
      </c>
      <c r="Z68" s="25" t="s">
        <v>66</v>
      </c>
      <c r="AA68" s="7">
        <v>42865</v>
      </c>
    </row>
    <row r="69" spans="1:28" ht="15" customHeight="1">
      <c r="A69" s="285"/>
      <c r="C69" s="25">
        <v>5</v>
      </c>
      <c r="D69" s="16">
        <v>18087</v>
      </c>
      <c r="E69" s="16" t="s">
        <v>3467</v>
      </c>
      <c r="F69" s="3">
        <v>29311190200153</v>
      </c>
      <c r="G69" s="16" t="s">
        <v>184</v>
      </c>
      <c r="H69" s="16" t="s">
        <v>3582</v>
      </c>
      <c r="I69" s="16" t="s">
        <v>66</v>
      </c>
      <c r="J69" s="45">
        <v>42812</v>
      </c>
      <c r="K69" s="16" t="s">
        <v>8</v>
      </c>
      <c r="L69" s="16" t="s">
        <v>12</v>
      </c>
      <c r="M69" s="16"/>
      <c r="N69" s="16"/>
      <c r="W69" s="16" t="s">
        <v>60</v>
      </c>
      <c r="X69" s="16"/>
      <c r="Y69" s="45">
        <v>42838</v>
      </c>
      <c r="Z69" s="16" t="s">
        <v>67</v>
      </c>
      <c r="AA69" s="45" t="s">
        <v>3111</v>
      </c>
      <c r="AB69" s="16"/>
    </row>
    <row r="70" spans="1:28" ht="15" customHeight="1">
      <c r="A70" s="285"/>
      <c r="C70" s="25">
        <v>5</v>
      </c>
      <c r="D70" s="16">
        <v>18088</v>
      </c>
      <c r="E70" s="16" t="s">
        <v>3468</v>
      </c>
      <c r="F70" s="3">
        <v>29111250100413</v>
      </c>
      <c r="G70" s="16" t="s">
        <v>184</v>
      </c>
      <c r="H70" s="16" t="s">
        <v>3583</v>
      </c>
      <c r="I70" s="16" t="s">
        <v>66</v>
      </c>
      <c r="J70" s="45">
        <v>42812</v>
      </c>
      <c r="K70" s="16" t="s">
        <v>8</v>
      </c>
      <c r="L70" s="16" t="s">
        <v>12</v>
      </c>
      <c r="M70" s="16"/>
      <c r="N70" s="16"/>
      <c r="W70" s="16" t="s">
        <v>60</v>
      </c>
      <c r="X70" s="16"/>
      <c r="Y70" s="7">
        <v>42838</v>
      </c>
      <c r="Z70" s="25" t="s">
        <v>66</v>
      </c>
      <c r="AA70" s="7">
        <v>42865</v>
      </c>
      <c r="AB70" s="16"/>
    </row>
    <row r="71" spans="1:28" ht="15" customHeight="1">
      <c r="A71" s="285"/>
      <c r="C71" s="25">
        <v>5</v>
      </c>
      <c r="D71" s="2">
        <v>18089</v>
      </c>
      <c r="E71" s="2" t="s">
        <v>2943</v>
      </c>
      <c r="F71" s="3">
        <v>29410162400226</v>
      </c>
      <c r="G71" s="2" t="s">
        <v>34</v>
      </c>
      <c r="H71" s="2" t="s">
        <v>2955</v>
      </c>
      <c r="I71" s="2" t="s">
        <v>66</v>
      </c>
      <c r="J71" s="4">
        <v>42812</v>
      </c>
      <c r="K71" s="16" t="s">
        <v>8</v>
      </c>
      <c r="L71" s="2" t="s">
        <v>12</v>
      </c>
      <c r="W71" s="16" t="s">
        <v>60</v>
      </c>
      <c r="Y71" s="7">
        <v>42838</v>
      </c>
      <c r="Z71" s="16" t="s">
        <v>67</v>
      </c>
      <c r="AA71" s="7" t="s">
        <v>3111</v>
      </c>
    </row>
    <row r="72" spans="1:28" ht="15" customHeight="1">
      <c r="A72" s="285"/>
      <c r="C72" s="25">
        <v>5</v>
      </c>
      <c r="D72" s="2">
        <v>18090</v>
      </c>
      <c r="E72" s="2" t="s">
        <v>3469</v>
      </c>
      <c r="F72" s="3">
        <v>28907170400101</v>
      </c>
      <c r="G72" s="2" t="s">
        <v>34</v>
      </c>
      <c r="H72" s="2" t="s">
        <v>3584</v>
      </c>
      <c r="I72" s="2" t="s">
        <v>66</v>
      </c>
      <c r="J72" s="4">
        <v>42812</v>
      </c>
      <c r="K72" s="16" t="s">
        <v>8</v>
      </c>
      <c r="L72" s="2" t="s">
        <v>12</v>
      </c>
      <c r="W72" s="16" t="s">
        <v>60</v>
      </c>
      <c r="Y72" s="7">
        <v>42838</v>
      </c>
      <c r="Z72" s="25" t="s">
        <v>66</v>
      </c>
      <c r="AA72" s="7" t="s">
        <v>3111</v>
      </c>
    </row>
    <row r="73" spans="1:28" ht="15" customHeight="1">
      <c r="A73" s="285"/>
      <c r="C73" s="25">
        <v>5</v>
      </c>
      <c r="D73" s="2">
        <v>18091</v>
      </c>
      <c r="E73" s="2" t="s">
        <v>3470</v>
      </c>
      <c r="F73" s="3">
        <v>29502100102379</v>
      </c>
      <c r="G73" s="2" t="s">
        <v>34</v>
      </c>
      <c r="H73" s="2" t="s">
        <v>3585</v>
      </c>
      <c r="I73" s="2" t="s">
        <v>66</v>
      </c>
      <c r="J73" s="4">
        <v>42812</v>
      </c>
      <c r="K73" s="16" t="s">
        <v>8</v>
      </c>
      <c r="L73" s="2" t="s">
        <v>12</v>
      </c>
      <c r="W73" s="16" t="s">
        <v>60</v>
      </c>
      <c r="Y73" s="7">
        <v>42838</v>
      </c>
      <c r="Z73" s="25" t="s">
        <v>66</v>
      </c>
      <c r="AA73" s="7" t="s">
        <v>3111</v>
      </c>
    </row>
    <row r="74" spans="1:28" ht="15" customHeight="1">
      <c r="A74" s="285"/>
      <c r="C74" s="25">
        <v>5</v>
      </c>
      <c r="D74" s="2">
        <v>5397</v>
      </c>
      <c r="E74" s="2" t="s">
        <v>3471</v>
      </c>
      <c r="F74" s="3">
        <v>29307072100554</v>
      </c>
      <c r="G74" s="2" t="s">
        <v>34</v>
      </c>
      <c r="H74" s="2" t="s">
        <v>3586</v>
      </c>
      <c r="I74" s="2" t="s">
        <v>67</v>
      </c>
      <c r="J74" s="4">
        <v>42812</v>
      </c>
      <c r="K74" s="16" t="s">
        <v>8</v>
      </c>
      <c r="L74" s="2" t="s">
        <v>12</v>
      </c>
      <c r="W74" s="16" t="s">
        <v>111</v>
      </c>
      <c r="Y74" s="7">
        <v>42838</v>
      </c>
      <c r="Z74" s="16" t="s">
        <v>67</v>
      </c>
      <c r="AA74" s="7" t="s">
        <v>3111</v>
      </c>
    </row>
    <row r="75" spans="1:28" ht="15" customHeight="1">
      <c r="A75" s="285"/>
      <c r="C75" s="25">
        <v>5</v>
      </c>
      <c r="D75" s="16">
        <v>10584</v>
      </c>
      <c r="E75" s="16" t="s">
        <v>3472</v>
      </c>
      <c r="F75" s="3">
        <v>28901012108438</v>
      </c>
      <c r="G75" s="16" t="s">
        <v>34</v>
      </c>
      <c r="H75" s="16" t="s">
        <v>3587</v>
      </c>
      <c r="I75" s="16" t="s">
        <v>67</v>
      </c>
      <c r="J75" s="45">
        <v>42812</v>
      </c>
      <c r="K75" s="16" t="s">
        <v>8</v>
      </c>
      <c r="L75" s="16" t="s">
        <v>12</v>
      </c>
      <c r="M75" s="16"/>
      <c r="N75" s="16"/>
      <c r="W75" s="16" t="s">
        <v>60</v>
      </c>
      <c r="X75" s="16"/>
      <c r="Y75" s="45">
        <v>42838</v>
      </c>
      <c r="Z75" s="16" t="s">
        <v>66</v>
      </c>
      <c r="AA75" s="45" t="s">
        <v>3111</v>
      </c>
      <c r="AB75" s="16"/>
    </row>
    <row r="76" spans="1:28" ht="15" customHeight="1">
      <c r="A76" s="285"/>
      <c r="C76" s="25">
        <v>5</v>
      </c>
      <c r="D76" s="2">
        <v>18092</v>
      </c>
      <c r="E76" s="2" t="s">
        <v>3473</v>
      </c>
      <c r="F76" s="3">
        <v>29502052104992</v>
      </c>
      <c r="G76" s="16" t="s">
        <v>184</v>
      </c>
      <c r="H76" s="2" t="s">
        <v>3588</v>
      </c>
      <c r="I76" s="2" t="s">
        <v>66</v>
      </c>
      <c r="J76" s="4">
        <v>42812</v>
      </c>
      <c r="K76" s="16" t="s">
        <v>8</v>
      </c>
      <c r="L76" s="2" t="s">
        <v>12</v>
      </c>
      <c r="W76" s="16" t="s">
        <v>60</v>
      </c>
      <c r="Y76" s="7">
        <v>42838</v>
      </c>
      <c r="Z76" s="16" t="s">
        <v>66</v>
      </c>
      <c r="AA76" s="7">
        <v>42879</v>
      </c>
    </row>
    <row r="77" spans="1:28" ht="15" customHeight="1">
      <c r="A77" s="285"/>
      <c r="C77" s="25">
        <v>5</v>
      </c>
      <c r="D77" s="2">
        <v>18093</v>
      </c>
      <c r="E77" s="2" t="s">
        <v>3474</v>
      </c>
      <c r="F77" s="3">
        <v>28704118800616</v>
      </c>
      <c r="G77" s="2" t="s">
        <v>34</v>
      </c>
      <c r="H77" s="2" t="s">
        <v>3589</v>
      </c>
      <c r="I77" s="2" t="s">
        <v>66</v>
      </c>
      <c r="J77" s="4">
        <v>42812</v>
      </c>
      <c r="K77" s="16" t="s">
        <v>8</v>
      </c>
      <c r="L77" s="2" t="s">
        <v>12</v>
      </c>
      <c r="W77" s="16" t="s">
        <v>3108</v>
      </c>
      <c r="Y77" s="7">
        <v>42838</v>
      </c>
      <c r="Z77" s="16" t="s">
        <v>66</v>
      </c>
      <c r="AA77" s="7" t="s">
        <v>3111</v>
      </c>
    </row>
    <row r="78" spans="1:28" ht="15.75" customHeight="1" thickBot="1">
      <c r="A78" s="286"/>
      <c r="C78" s="28">
        <v>5</v>
      </c>
      <c r="D78" s="28">
        <v>18094</v>
      </c>
      <c r="E78" s="28" t="s">
        <v>3475</v>
      </c>
      <c r="F78" s="29" t="s">
        <v>3590</v>
      </c>
      <c r="G78" s="28" t="s">
        <v>3663</v>
      </c>
      <c r="H78" s="28" t="s">
        <v>3591</v>
      </c>
      <c r="I78" s="28" t="s">
        <v>66</v>
      </c>
      <c r="J78" s="30">
        <v>42812</v>
      </c>
      <c r="K78" s="28" t="s">
        <v>8</v>
      </c>
      <c r="L78" s="28" t="s">
        <v>12</v>
      </c>
      <c r="M78" s="28"/>
      <c r="N78" s="28"/>
      <c r="O78" s="226"/>
      <c r="P78" s="28"/>
      <c r="Q78" s="226"/>
      <c r="R78" s="28"/>
      <c r="S78" s="28"/>
      <c r="T78" s="28"/>
      <c r="U78" s="28"/>
      <c r="V78" s="28"/>
      <c r="W78" s="28" t="s">
        <v>61</v>
      </c>
      <c r="X78" s="28"/>
      <c r="Y78" s="30">
        <v>42838</v>
      </c>
      <c r="Z78" s="28" t="s">
        <v>66</v>
      </c>
      <c r="AA78" s="30" t="s">
        <v>3111</v>
      </c>
      <c r="AB78" s="28"/>
    </row>
    <row r="79" spans="1:28" ht="15.75" customHeight="1" thickTop="1">
      <c r="A79" s="284" t="s">
        <v>1249</v>
      </c>
      <c r="C79" s="25">
        <v>6</v>
      </c>
      <c r="D79" s="25">
        <v>18104</v>
      </c>
      <c r="E79" s="25" t="s">
        <v>3476</v>
      </c>
      <c r="F79" s="26">
        <v>29101108800232</v>
      </c>
      <c r="G79" s="25" t="s">
        <v>184</v>
      </c>
      <c r="H79" s="25" t="s">
        <v>3592</v>
      </c>
      <c r="I79" s="25" t="s">
        <v>66</v>
      </c>
      <c r="J79" s="27">
        <v>42819</v>
      </c>
      <c r="K79" s="25" t="s">
        <v>8</v>
      </c>
      <c r="L79" s="25" t="s">
        <v>12</v>
      </c>
      <c r="M79" s="25"/>
      <c r="N79" s="25"/>
      <c r="O79" s="224"/>
      <c r="P79" s="25"/>
      <c r="Q79" s="224"/>
      <c r="R79" s="25"/>
      <c r="S79" s="25"/>
      <c r="T79" s="25"/>
      <c r="U79" s="25"/>
      <c r="V79" s="25"/>
      <c r="W79" s="25"/>
      <c r="X79" s="25"/>
      <c r="Y79" s="27">
        <v>42845</v>
      </c>
      <c r="Z79" s="25" t="s">
        <v>67</v>
      </c>
      <c r="AA79" s="27" t="s">
        <v>3111</v>
      </c>
      <c r="AB79" s="25"/>
    </row>
    <row r="80" spans="1:28" ht="15" customHeight="1">
      <c r="A80" s="285"/>
      <c r="C80" s="16">
        <v>6</v>
      </c>
      <c r="D80" s="16">
        <v>18105</v>
      </c>
      <c r="E80" s="16" t="s">
        <v>3477</v>
      </c>
      <c r="F80" s="3">
        <v>29204070101924</v>
      </c>
      <c r="G80" s="16" t="s">
        <v>34</v>
      </c>
      <c r="H80" s="16" t="s">
        <v>3593</v>
      </c>
      <c r="I80" s="16" t="s">
        <v>66</v>
      </c>
      <c r="J80" s="45">
        <v>42819</v>
      </c>
      <c r="K80" s="16" t="s">
        <v>8</v>
      </c>
      <c r="L80" s="16" t="s">
        <v>12</v>
      </c>
      <c r="M80" s="16"/>
      <c r="N80" s="16"/>
      <c r="W80" s="16" t="s">
        <v>60</v>
      </c>
      <c r="X80" s="16"/>
      <c r="Y80" s="45">
        <v>42845</v>
      </c>
      <c r="Z80" s="25" t="s">
        <v>66</v>
      </c>
      <c r="AA80" s="45" t="s">
        <v>3111</v>
      </c>
      <c r="AB80" s="16"/>
    </row>
    <row r="81" spans="1:28" ht="15" customHeight="1">
      <c r="A81" s="285"/>
      <c r="C81" s="16">
        <v>6</v>
      </c>
      <c r="D81" s="16">
        <v>18106</v>
      </c>
      <c r="E81" s="16" t="s">
        <v>3478</v>
      </c>
      <c r="F81" s="3">
        <v>28906280101316</v>
      </c>
      <c r="G81" s="16" t="s">
        <v>34</v>
      </c>
      <c r="H81" s="16" t="s">
        <v>3594</v>
      </c>
      <c r="I81" s="16" t="s">
        <v>66</v>
      </c>
      <c r="J81" s="45">
        <v>42819</v>
      </c>
      <c r="K81" s="16" t="s">
        <v>8</v>
      </c>
      <c r="L81" s="16" t="s">
        <v>12</v>
      </c>
      <c r="M81" s="16"/>
      <c r="N81" s="16"/>
      <c r="W81" s="16" t="s">
        <v>60</v>
      </c>
      <c r="X81" s="16"/>
      <c r="Y81" s="7">
        <v>42845</v>
      </c>
      <c r="Z81" s="25" t="s">
        <v>66</v>
      </c>
      <c r="AA81" s="45" t="s">
        <v>3111</v>
      </c>
      <c r="AB81" s="16"/>
    </row>
    <row r="82" spans="1:28" ht="15" customHeight="1">
      <c r="A82" s="285"/>
      <c r="C82" s="16">
        <v>6</v>
      </c>
      <c r="D82" s="2">
        <v>18107</v>
      </c>
      <c r="E82" s="2" t="s">
        <v>3479</v>
      </c>
      <c r="F82" s="3">
        <v>29311030101043</v>
      </c>
      <c r="G82" s="2" t="s">
        <v>34</v>
      </c>
      <c r="H82" s="2" t="s">
        <v>3595</v>
      </c>
      <c r="I82" s="2" t="s">
        <v>66</v>
      </c>
      <c r="J82" s="4">
        <v>42819</v>
      </c>
      <c r="K82" s="16" t="s">
        <v>8</v>
      </c>
      <c r="L82" s="2" t="s">
        <v>12</v>
      </c>
      <c r="W82" s="16" t="s">
        <v>60</v>
      </c>
      <c r="Y82" s="7">
        <v>42845</v>
      </c>
      <c r="Z82" s="25" t="s">
        <v>66</v>
      </c>
      <c r="AA82" s="7" t="s">
        <v>3111</v>
      </c>
    </row>
    <row r="83" spans="1:28" ht="15" customHeight="1">
      <c r="A83" s="285"/>
      <c r="C83" s="16">
        <v>6</v>
      </c>
      <c r="D83" s="2">
        <v>18108</v>
      </c>
      <c r="E83" s="2" t="s">
        <v>3480</v>
      </c>
      <c r="F83" s="3">
        <v>29207022102071</v>
      </c>
      <c r="G83" s="2" t="s">
        <v>34</v>
      </c>
      <c r="H83" s="2" t="s">
        <v>3596</v>
      </c>
      <c r="I83" s="2" t="s">
        <v>66</v>
      </c>
      <c r="J83" s="4">
        <v>42819</v>
      </c>
      <c r="K83" s="16" t="s">
        <v>8</v>
      </c>
      <c r="L83" s="2" t="s">
        <v>12</v>
      </c>
      <c r="W83" s="16" t="s">
        <v>60</v>
      </c>
      <c r="Y83" s="7">
        <v>42845</v>
      </c>
      <c r="Z83" s="25" t="s">
        <v>66</v>
      </c>
      <c r="AA83" s="7" t="s">
        <v>3111</v>
      </c>
    </row>
    <row r="84" spans="1:28" ht="15" customHeight="1">
      <c r="A84" s="285"/>
      <c r="C84" s="16">
        <v>6</v>
      </c>
      <c r="D84" s="2">
        <v>18109</v>
      </c>
      <c r="E84" s="2" t="s">
        <v>3481</v>
      </c>
      <c r="F84" s="3">
        <v>28905040103871</v>
      </c>
      <c r="G84" s="2" t="s">
        <v>184</v>
      </c>
      <c r="H84" s="2" t="s">
        <v>3597</v>
      </c>
      <c r="I84" s="2" t="s">
        <v>66</v>
      </c>
      <c r="J84" s="4">
        <v>42819</v>
      </c>
      <c r="K84" s="16" t="s">
        <v>8</v>
      </c>
      <c r="L84" s="2" t="s">
        <v>12</v>
      </c>
      <c r="W84" s="16" t="s">
        <v>61</v>
      </c>
      <c r="Y84" s="7">
        <v>42845</v>
      </c>
      <c r="Z84" s="25" t="s">
        <v>66</v>
      </c>
      <c r="AA84" s="7">
        <v>42869</v>
      </c>
    </row>
    <row r="85" spans="1:28" ht="15" customHeight="1">
      <c r="A85" s="285"/>
      <c r="C85" s="16">
        <v>6</v>
      </c>
      <c r="D85" s="2">
        <v>18110</v>
      </c>
      <c r="E85" s="2" t="s">
        <v>3482</v>
      </c>
      <c r="F85" s="3" t="s">
        <v>3598</v>
      </c>
      <c r="G85" s="2" t="s">
        <v>34</v>
      </c>
      <c r="H85" s="2" t="s">
        <v>3599</v>
      </c>
      <c r="I85" s="2" t="s">
        <v>66</v>
      </c>
      <c r="J85" s="4">
        <v>42819</v>
      </c>
      <c r="K85" s="16" t="s">
        <v>8</v>
      </c>
      <c r="L85" s="2" t="s">
        <v>12</v>
      </c>
      <c r="W85" s="16" t="s">
        <v>61</v>
      </c>
      <c r="Y85" s="7">
        <v>42845</v>
      </c>
      <c r="Z85" s="25" t="s">
        <v>66</v>
      </c>
      <c r="AA85" s="7">
        <v>42870</v>
      </c>
    </row>
    <row r="86" spans="1:28" ht="15" customHeight="1">
      <c r="A86" s="285"/>
      <c r="C86" s="16">
        <v>6</v>
      </c>
      <c r="D86" s="2">
        <v>18111</v>
      </c>
      <c r="E86" s="2" t="s">
        <v>3483</v>
      </c>
      <c r="F86" s="3">
        <v>28501011433752</v>
      </c>
      <c r="G86" s="2" t="s">
        <v>34</v>
      </c>
      <c r="H86" s="2" t="s">
        <v>3600</v>
      </c>
      <c r="I86" s="2" t="s">
        <v>66</v>
      </c>
      <c r="J86" s="4">
        <v>42822</v>
      </c>
      <c r="K86" s="16" t="s">
        <v>8</v>
      </c>
      <c r="L86" s="2" t="s">
        <v>12</v>
      </c>
      <c r="W86" s="16" t="s">
        <v>60</v>
      </c>
      <c r="Y86" s="7">
        <v>42845</v>
      </c>
      <c r="Z86" s="25" t="s">
        <v>66</v>
      </c>
      <c r="AA86" s="7" t="s">
        <v>3111</v>
      </c>
    </row>
    <row r="87" spans="1:28" ht="15" customHeight="1">
      <c r="A87" s="285"/>
      <c r="C87" s="16">
        <v>6</v>
      </c>
      <c r="D87" s="2">
        <v>18112</v>
      </c>
      <c r="E87" s="2" t="s">
        <v>3484</v>
      </c>
      <c r="F87" s="3">
        <v>29207031200132</v>
      </c>
      <c r="G87" s="2" t="s">
        <v>34</v>
      </c>
      <c r="H87" s="2" t="s">
        <v>3601</v>
      </c>
      <c r="I87" s="2" t="s">
        <v>66</v>
      </c>
      <c r="J87" s="4">
        <v>42822</v>
      </c>
      <c r="K87" s="16" t="s">
        <v>8</v>
      </c>
      <c r="L87" s="2" t="s">
        <v>12</v>
      </c>
      <c r="Y87" s="7">
        <v>42845</v>
      </c>
      <c r="Z87" s="25" t="s">
        <v>67</v>
      </c>
      <c r="AA87" s="7" t="s">
        <v>3111</v>
      </c>
    </row>
    <row r="88" spans="1:28" ht="15" customHeight="1">
      <c r="A88" s="285"/>
      <c r="C88" s="16">
        <v>6</v>
      </c>
      <c r="D88" s="16">
        <v>18113</v>
      </c>
      <c r="E88" s="16" t="s">
        <v>3485</v>
      </c>
      <c r="F88" s="3">
        <v>29010010127259</v>
      </c>
      <c r="G88" s="2" t="s">
        <v>184</v>
      </c>
      <c r="H88" s="2" t="s">
        <v>3602</v>
      </c>
      <c r="I88" s="2" t="s">
        <v>66</v>
      </c>
      <c r="J88" s="4">
        <v>42822</v>
      </c>
      <c r="K88" s="16" t="s">
        <v>8</v>
      </c>
      <c r="L88" s="2" t="s">
        <v>12</v>
      </c>
      <c r="W88" s="16" t="s">
        <v>60</v>
      </c>
      <c r="X88" s="16"/>
      <c r="Y88" s="45">
        <v>42845</v>
      </c>
      <c r="Z88" s="25" t="s">
        <v>66</v>
      </c>
      <c r="AA88" s="45">
        <v>43275</v>
      </c>
      <c r="AB88" s="16"/>
    </row>
    <row r="89" spans="1:28" ht="15" customHeight="1">
      <c r="A89" s="285"/>
      <c r="C89" s="16">
        <v>6</v>
      </c>
      <c r="D89" s="16">
        <v>18114</v>
      </c>
      <c r="E89" s="16" t="s">
        <v>3486</v>
      </c>
      <c r="F89" s="3">
        <v>28907201401241</v>
      </c>
      <c r="G89" s="16" t="s">
        <v>34</v>
      </c>
      <c r="H89" s="16" t="s">
        <v>3603</v>
      </c>
      <c r="I89" s="16" t="s">
        <v>66</v>
      </c>
      <c r="J89" s="45">
        <v>42822</v>
      </c>
      <c r="K89" s="16" t="s">
        <v>8</v>
      </c>
      <c r="L89" s="16" t="s">
        <v>12</v>
      </c>
      <c r="M89" s="16"/>
      <c r="N89" s="16"/>
      <c r="W89" s="16" t="s">
        <v>111</v>
      </c>
      <c r="X89" s="16"/>
      <c r="Y89" s="45">
        <v>42845</v>
      </c>
      <c r="Z89" s="25" t="s">
        <v>67</v>
      </c>
      <c r="AA89" s="45" t="s">
        <v>3111</v>
      </c>
      <c r="AB89" s="16"/>
    </row>
    <row r="90" spans="1:28" ht="15" customHeight="1">
      <c r="A90" s="285"/>
      <c r="C90" s="16">
        <v>6</v>
      </c>
      <c r="D90" s="16">
        <v>18115</v>
      </c>
      <c r="E90" s="16" t="s">
        <v>3487</v>
      </c>
      <c r="F90" s="3">
        <v>29309200107772</v>
      </c>
      <c r="G90" s="16" t="s">
        <v>34</v>
      </c>
      <c r="H90" s="16" t="s">
        <v>3604</v>
      </c>
      <c r="I90" s="16" t="s">
        <v>66</v>
      </c>
      <c r="J90" s="45">
        <v>42823</v>
      </c>
      <c r="K90" s="16" t="s">
        <v>8</v>
      </c>
      <c r="L90" s="16" t="s">
        <v>12</v>
      </c>
      <c r="M90" s="16"/>
      <c r="N90" s="16"/>
      <c r="W90" s="16" t="s">
        <v>61</v>
      </c>
      <c r="X90" s="16"/>
      <c r="Y90" s="45">
        <v>42845</v>
      </c>
      <c r="Z90" s="25" t="s">
        <v>66</v>
      </c>
      <c r="AA90" s="45">
        <v>43142</v>
      </c>
      <c r="AB90" s="16"/>
    </row>
    <row r="91" spans="1:28" ht="15.75" customHeight="1" thickBot="1">
      <c r="A91" s="286"/>
      <c r="C91" s="28">
        <v>6</v>
      </c>
      <c r="D91" s="28">
        <v>18116</v>
      </c>
      <c r="E91" s="28" t="s">
        <v>3488</v>
      </c>
      <c r="F91" s="29">
        <v>28709240100368</v>
      </c>
      <c r="G91" s="28" t="s">
        <v>34</v>
      </c>
      <c r="H91" s="28" t="s">
        <v>3605</v>
      </c>
      <c r="I91" s="28" t="s">
        <v>66</v>
      </c>
      <c r="J91" s="30">
        <v>42819</v>
      </c>
      <c r="K91" s="28" t="s">
        <v>8</v>
      </c>
      <c r="L91" s="28" t="s">
        <v>12</v>
      </c>
      <c r="M91" s="28"/>
      <c r="N91" s="28"/>
      <c r="O91" s="226"/>
      <c r="P91" s="28"/>
      <c r="Q91" s="226"/>
      <c r="R91" s="28"/>
      <c r="S91" s="28"/>
      <c r="T91" s="28"/>
      <c r="U91" s="28"/>
      <c r="V91" s="28"/>
      <c r="W91" s="28" t="s">
        <v>61</v>
      </c>
      <c r="X91" s="28"/>
      <c r="Y91" s="30">
        <v>42845</v>
      </c>
      <c r="Z91" s="28" t="s">
        <v>67</v>
      </c>
      <c r="AA91" s="30" t="s">
        <v>3111</v>
      </c>
      <c r="AB91" s="28"/>
    </row>
    <row r="92" spans="1:28" ht="15.75" customHeight="1" thickTop="1">
      <c r="A92" s="284" t="s">
        <v>3127</v>
      </c>
      <c r="C92" s="25">
        <v>7</v>
      </c>
      <c r="D92" s="25">
        <v>18226</v>
      </c>
      <c r="E92" s="25" t="s">
        <v>3489</v>
      </c>
      <c r="F92" s="26">
        <v>28405220101334</v>
      </c>
      <c r="G92" s="25" t="s">
        <v>34</v>
      </c>
      <c r="H92" s="25" t="s">
        <v>3606</v>
      </c>
      <c r="I92" s="25" t="s">
        <v>66</v>
      </c>
      <c r="J92" s="27">
        <v>42826</v>
      </c>
      <c r="K92" s="25" t="s">
        <v>8</v>
      </c>
      <c r="L92" s="25" t="s">
        <v>12</v>
      </c>
      <c r="M92" s="25"/>
      <c r="N92" s="25"/>
      <c r="O92" s="224"/>
      <c r="P92" s="25"/>
      <c r="Q92" s="224"/>
      <c r="R92" s="25"/>
      <c r="S92" s="25"/>
      <c r="T92" s="25"/>
      <c r="U92" s="25"/>
      <c r="V92" s="25"/>
      <c r="W92" s="25" t="s">
        <v>60</v>
      </c>
      <c r="X92" s="25"/>
      <c r="Y92" s="27">
        <v>42852</v>
      </c>
      <c r="Z92" s="25" t="s">
        <v>66</v>
      </c>
      <c r="AA92" s="27">
        <v>42865</v>
      </c>
      <c r="AB92" s="25"/>
    </row>
    <row r="93" spans="1:28" ht="15" customHeight="1">
      <c r="A93" s="285"/>
      <c r="C93" s="16">
        <v>7</v>
      </c>
      <c r="D93" s="16">
        <v>18227</v>
      </c>
      <c r="E93" s="16" t="s">
        <v>3490</v>
      </c>
      <c r="F93" s="3">
        <v>28904122102256</v>
      </c>
      <c r="G93" s="16" t="s">
        <v>34</v>
      </c>
      <c r="H93" s="16" t="s">
        <v>3607</v>
      </c>
      <c r="I93" s="16" t="s">
        <v>66</v>
      </c>
      <c r="J93" s="45">
        <v>42826</v>
      </c>
      <c r="K93" s="16" t="s">
        <v>8</v>
      </c>
      <c r="L93" s="16" t="s">
        <v>12</v>
      </c>
      <c r="M93" s="16"/>
      <c r="N93" s="16"/>
      <c r="W93" s="16" t="s">
        <v>111</v>
      </c>
      <c r="X93" s="16"/>
      <c r="Y93" s="45">
        <v>42852</v>
      </c>
      <c r="Z93" s="25" t="s">
        <v>67</v>
      </c>
      <c r="AA93" s="45" t="s">
        <v>3111</v>
      </c>
      <c r="AB93" s="16"/>
    </row>
    <row r="94" spans="1:28" ht="15" customHeight="1">
      <c r="A94" s="285"/>
      <c r="C94" s="16">
        <v>7</v>
      </c>
      <c r="D94" s="16">
        <v>18228</v>
      </c>
      <c r="E94" s="16" t="s">
        <v>3491</v>
      </c>
      <c r="F94" s="3">
        <v>29009070101358</v>
      </c>
      <c r="G94" s="16" t="s">
        <v>34</v>
      </c>
      <c r="H94" s="16" t="s">
        <v>3608</v>
      </c>
      <c r="I94" s="16" t="s">
        <v>66</v>
      </c>
      <c r="J94" s="45">
        <v>42826</v>
      </c>
      <c r="K94" s="16" t="s">
        <v>8</v>
      </c>
      <c r="L94" s="16" t="s">
        <v>12</v>
      </c>
      <c r="M94" s="16"/>
      <c r="N94" s="16"/>
      <c r="X94" s="16"/>
      <c r="Y94" s="7">
        <v>42852</v>
      </c>
      <c r="Z94" s="25" t="s">
        <v>67</v>
      </c>
      <c r="AA94" s="7" t="s">
        <v>3111</v>
      </c>
      <c r="AB94" s="16"/>
    </row>
    <row r="95" spans="1:28" ht="15" customHeight="1">
      <c r="A95" s="285"/>
      <c r="C95" s="2">
        <v>7</v>
      </c>
      <c r="D95" s="2">
        <v>18229</v>
      </c>
      <c r="E95" s="2" t="s">
        <v>3492</v>
      </c>
      <c r="F95" s="3">
        <v>29205232101695</v>
      </c>
      <c r="G95" s="2" t="s">
        <v>34</v>
      </c>
      <c r="H95" s="2" t="s">
        <v>3609</v>
      </c>
      <c r="I95" s="2" t="s">
        <v>66</v>
      </c>
      <c r="J95" s="4">
        <v>42826</v>
      </c>
      <c r="K95" s="16" t="s">
        <v>8</v>
      </c>
      <c r="L95" s="2" t="s">
        <v>12</v>
      </c>
      <c r="W95" s="16" t="s">
        <v>60</v>
      </c>
      <c r="Y95" s="7">
        <v>42852</v>
      </c>
      <c r="Z95" s="25" t="s">
        <v>66</v>
      </c>
      <c r="AA95" s="7">
        <v>42885</v>
      </c>
    </row>
    <row r="96" spans="1:28" ht="15" customHeight="1">
      <c r="A96" s="285"/>
      <c r="C96" s="2">
        <v>7</v>
      </c>
      <c r="D96" s="2">
        <v>18230</v>
      </c>
      <c r="E96" s="2" t="s">
        <v>3493</v>
      </c>
      <c r="F96" s="3" t="s">
        <v>3610</v>
      </c>
      <c r="G96" s="2" t="s">
        <v>34</v>
      </c>
      <c r="H96" s="2" t="s">
        <v>3611</v>
      </c>
      <c r="I96" s="2" t="s">
        <v>66</v>
      </c>
      <c r="J96" s="4">
        <v>42826</v>
      </c>
      <c r="K96" s="16" t="s">
        <v>8</v>
      </c>
      <c r="L96" s="2" t="s">
        <v>12</v>
      </c>
      <c r="W96" s="16" t="s">
        <v>60</v>
      </c>
      <c r="Y96" s="7">
        <v>42852</v>
      </c>
      <c r="Z96" s="25" t="s">
        <v>66</v>
      </c>
      <c r="AA96" s="7">
        <v>42865</v>
      </c>
    </row>
    <row r="97" spans="1:28" ht="15" customHeight="1">
      <c r="A97" s="285"/>
      <c r="C97" s="16">
        <v>7</v>
      </c>
      <c r="D97" s="16">
        <v>18231</v>
      </c>
      <c r="E97" s="16" t="s">
        <v>3494</v>
      </c>
      <c r="F97" s="3">
        <v>29111091202757</v>
      </c>
      <c r="G97" s="16" t="s">
        <v>34</v>
      </c>
      <c r="H97" s="16" t="s">
        <v>3612</v>
      </c>
      <c r="I97" s="16" t="s">
        <v>66</v>
      </c>
      <c r="J97" s="45">
        <v>42826</v>
      </c>
      <c r="K97" s="16" t="s">
        <v>8</v>
      </c>
      <c r="L97" s="16" t="s">
        <v>12</v>
      </c>
      <c r="M97" s="16"/>
      <c r="N97" s="16"/>
      <c r="W97" s="16" t="s">
        <v>61</v>
      </c>
      <c r="Y97" s="7">
        <v>42852</v>
      </c>
      <c r="Z97" s="25" t="s">
        <v>67</v>
      </c>
      <c r="AA97" s="45" t="s">
        <v>3111</v>
      </c>
    </row>
    <row r="98" spans="1:28" ht="15" customHeight="1">
      <c r="A98" s="285"/>
      <c r="C98" s="2">
        <v>7</v>
      </c>
      <c r="D98" s="2">
        <v>18232</v>
      </c>
      <c r="E98" s="2" t="s">
        <v>3495</v>
      </c>
      <c r="F98" s="3">
        <v>28201011208275</v>
      </c>
      <c r="G98" s="2" t="s">
        <v>34</v>
      </c>
      <c r="H98" s="2" t="s">
        <v>3613</v>
      </c>
      <c r="I98" s="2" t="s">
        <v>66</v>
      </c>
      <c r="J98" s="4">
        <v>42826</v>
      </c>
      <c r="K98" s="16" t="s">
        <v>8</v>
      </c>
      <c r="L98" s="2" t="s">
        <v>12</v>
      </c>
      <c r="W98" s="16" t="s">
        <v>111</v>
      </c>
      <c r="Y98" s="7">
        <v>42852</v>
      </c>
      <c r="Z98" s="25" t="s">
        <v>67</v>
      </c>
      <c r="AA98" s="7" t="s">
        <v>3111</v>
      </c>
    </row>
    <row r="99" spans="1:28" ht="15" customHeight="1">
      <c r="A99" s="285"/>
      <c r="C99" s="2">
        <v>7</v>
      </c>
      <c r="D99" s="2">
        <v>18233</v>
      </c>
      <c r="E99" s="2" t="s">
        <v>3496</v>
      </c>
      <c r="F99" s="3">
        <v>29508011711297</v>
      </c>
      <c r="G99" s="16" t="s">
        <v>184</v>
      </c>
      <c r="H99" s="2" t="s">
        <v>3614</v>
      </c>
      <c r="I99" s="2" t="s">
        <v>66</v>
      </c>
      <c r="J99" s="4">
        <v>42826</v>
      </c>
      <c r="K99" s="16" t="s">
        <v>8</v>
      </c>
      <c r="L99" s="2" t="s">
        <v>12</v>
      </c>
      <c r="W99" s="16" t="s">
        <v>60</v>
      </c>
      <c r="Y99" s="7">
        <v>42852</v>
      </c>
      <c r="Z99" s="25" t="s">
        <v>66</v>
      </c>
      <c r="AA99" s="7">
        <v>42865</v>
      </c>
    </row>
    <row r="100" spans="1:28" ht="15" customHeight="1">
      <c r="A100" s="285"/>
      <c r="C100" s="2">
        <v>7</v>
      </c>
      <c r="D100" s="2">
        <v>18234</v>
      </c>
      <c r="E100" s="2" t="s">
        <v>3497</v>
      </c>
      <c r="F100" s="3">
        <v>29302241900261</v>
      </c>
      <c r="G100" s="2" t="s">
        <v>34</v>
      </c>
      <c r="H100" s="2" t="s">
        <v>3615</v>
      </c>
      <c r="I100" s="2" t="s">
        <v>66</v>
      </c>
      <c r="J100" s="4">
        <v>42826</v>
      </c>
      <c r="K100" s="16" t="s">
        <v>8</v>
      </c>
      <c r="L100" s="2" t="s">
        <v>12</v>
      </c>
      <c r="W100" s="16" t="s">
        <v>111</v>
      </c>
      <c r="Y100" s="7">
        <v>42852</v>
      </c>
      <c r="Z100" s="25" t="s">
        <v>66</v>
      </c>
      <c r="AA100" s="7" t="s">
        <v>3111</v>
      </c>
    </row>
    <row r="101" spans="1:28" ht="15" customHeight="1">
      <c r="A101" s="285"/>
      <c r="C101" s="2">
        <v>7</v>
      </c>
      <c r="D101" s="2">
        <v>18235</v>
      </c>
      <c r="E101" s="2" t="s">
        <v>3498</v>
      </c>
      <c r="F101" s="3">
        <v>28605100103499</v>
      </c>
      <c r="G101" s="2" t="s">
        <v>34</v>
      </c>
      <c r="H101" s="2" t="s">
        <v>3616</v>
      </c>
      <c r="I101" s="2" t="s">
        <v>66</v>
      </c>
      <c r="J101" s="4">
        <v>42826</v>
      </c>
      <c r="K101" s="16" t="s">
        <v>8</v>
      </c>
      <c r="L101" s="2" t="s">
        <v>12</v>
      </c>
      <c r="W101" s="16" t="s">
        <v>60</v>
      </c>
      <c r="Y101" s="7">
        <v>42852</v>
      </c>
      <c r="Z101" s="25" t="s">
        <v>67</v>
      </c>
      <c r="AA101" s="7" t="s">
        <v>3111</v>
      </c>
    </row>
    <row r="102" spans="1:28" ht="15" customHeight="1">
      <c r="A102" s="285"/>
      <c r="C102" s="2">
        <v>7</v>
      </c>
      <c r="D102" s="2">
        <v>18236</v>
      </c>
      <c r="E102" s="2" t="s">
        <v>3499</v>
      </c>
      <c r="F102" s="3">
        <v>29410252104324</v>
      </c>
      <c r="G102" s="2" t="s">
        <v>34</v>
      </c>
      <c r="H102" s="2" t="s">
        <v>3617</v>
      </c>
      <c r="I102" s="2" t="s">
        <v>66</v>
      </c>
      <c r="J102" s="4">
        <v>42826</v>
      </c>
      <c r="K102" s="16" t="s">
        <v>8</v>
      </c>
      <c r="L102" s="2" t="s">
        <v>12</v>
      </c>
      <c r="W102" s="16" t="s">
        <v>111</v>
      </c>
      <c r="Y102" s="7">
        <v>42852</v>
      </c>
      <c r="Z102" s="25" t="s">
        <v>67</v>
      </c>
      <c r="AA102" s="7" t="s">
        <v>3111</v>
      </c>
    </row>
    <row r="103" spans="1:28" ht="15" customHeight="1">
      <c r="A103" s="285"/>
      <c r="C103" s="2">
        <v>7</v>
      </c>
      <c r="D103" s="2">
        <v>18237</v>
      </c>
      <c r="E103" s="2" t="s">
        <v>3500</v>
      </c>
      <c r="F103" s="3">
        <v>28407290100061</v>
      </c>
      <c r="G103" s="2" t="s">
        <v>34</v>
      </c>
      <c r="H103" s="2" t="s">
        <v>3618</v>
      </c>
      <c r="I103" s="2" t="s">
        <v>66</v>
      </c>
      <c r="J103" s="4">
        <v>42826</v>
      </c>
      <c r="K103" s="16" t="s">
        <v>8</v>
      </c>
      <c r="L103" s="2" t="s">
        <v>12</v>
      </c>
      <c r="W103" s="16" t="s">
        <v>60</v>
      </c>
      <c r="Y103" s="7">
        <v>42852</v>
      </c>
      <c r="Z103" s="25" t="s">
        <v>66</v>
      </c>
      <c r="AA103" s="7">
        <v>42891</v>
      </c>
    </row>
    <row r="104" spans="1:28" ht="15.75" customHeight="1" thickBot="1">
      <c r="A104" s="286"/>
      <c r="C104" s="28">
        <v>7</v>
      </c>
      <c r="D104" s="28">
        <v>13128</v>
      </c>
      <c r="E104" s="28" t="s">
        <v>3501</v>
      </c>
      <c r="F104" s="29">
        <v>28811281600285</v>
      </c>
      <c r="G104" s="28" t="s">
        <v>34</v>
      </c>
      <c r="H104" s="28" t="s">
        <v>3619</v>
      </c>
      <c r="I104" s="28" t="s">
        <v>67</v>
      </c>
      <c r="J104" s="30">
        <v>42826</v>
      </c>
      <c r="K104" s="28" t="s">
        <v>8</v>
      </c>
      <c r="L104" s="28" t="s">
        <v>12</v>
      </c>
      <c r="M104" s="28"/>
      <c r="N104" s="28"/>
      <c r="O104" s="226"/>
      <c r="P104" s="28"/>
      <c r="Q104" s="226"/>
      <c r="R104" s="28"/>
      <c r="S104" s="28"/>
      <c r="T104" s="28"/>
      <c r="U104" s="28"/>
      <c r="V104" s="28"/>
      <c r="W104" s="28"/>
      <c r="X104" s="28"/>
      <c r="Y104" s="30">
        <v>42852</v>
      </c>
      <c r="Z104" s="28" t="s">
        <v>67</v>
      </c>
      <c r="AA104" s="30" t="s">
        <v>3111</v>
      </c>
      <c r="AB104" s="28"/>
    </row>
    <row r="105" spans="1:28" ht="15.75" customHeight="1" thickTop="1">
      <c r="A105" s="284" t="s">
        <v>3118</v>
      </c>
      <c r="C105" s="25">
        <v>8</v>
      </c>
      <c r="D105" s="25">
        <v>18238</v>
      </c>
      <c r="E105" s="25" t="s">
        <v>3502</v>
      </c>
      <c r="F105" s="26">
        <v>29312280101193</v>
      </c>
      <c r="G105" s="25" t="s">
        <v>34</v>
      </c>
      <c r="H105" s="25" t="s">
        <v>3620</v>
      </c>
      <c r="I105" s="25" t="s">
        <v>66</v>
      </c>
      <c r="J105" s="27">
        <v>42834</v>
      </c>
      <c r="K105" s="25" t="s">
        <v>8</v>
      </c>
      <c r="L105" s="25" t="s">
        <v>12</v>
      </c>
      <c r="M105" s="25"/>
      <c r="N105" s="25"/>
      <c r="O105" s="224"/>
      <c r="P105" s="25"/>
      <c r="Q105" s="224"/>
      <c r="R105" s="25"/>
      <c r="S105" s="25"/>
      <c r="T105" s="25"/>
      <c r="U105" s="25"/>
      <c r="V105" s="25"/>
      <c r="W105" s="25"/>
      <c r="X105" s="25"/>
      <c r="Y105" s="27">
        <v>42859</v>
      </c>
      <c r="Z105" s="25" t="s">
        <v>67</v>
      </c>
      <c r="AA105" s="27" t="s">
        <v>3111</v>
      </c>
      <c r="AB105" s="25"/>
    </row>
    <row r="106" spans="1:28" ht="15" customHeight="1">
      <c r="A106" s="285"/>
      <c r="C106" s="2">
        <v>8</v>
      </c>
      <c r="D106" s="2">
        <v>13156</v>
      </c>
      <c r="E106" s="2" t="s">
        <v>3503</v>
      </c>
      <c r="F106" s="3">
        <v>29104268800211</v>
      </c>
      <c r="G106" s="2" t="s">
        <v>34</v>
      </c>
      <c r="H106" s="2" t="s">
        <v>3621</v>
      </c>
      <c r="I106" s="2" t="s">
        <v>67</v>
      </c>
      <c r="J106" s="4">
        <v>42834</v>
      </c>
      <c r="K106" s="16" t="s">
        <v>8</v>
      </c>
      <c r="L106" s="2" t="s">
        <v>12</v>
      </c>
      <c r="W106" s="16" t="s">
        <v>60</v>
      </c>
      <c r="Y106" s="7">
        <v>42859</v>
      </c>
      <c r="Z106" s="25" t="s">
        <v>66</v>
      </c>
      <c r="AA106" s="7">
        <v>42865</v>
      </c>
    </row>
    <row r="107" spans="1:28" ht="15" customHeight="1">
      <c r="A107" s="285"/>
      <c r="C107" s="16">
        <v>8</v>
      </c>
      <c r="D107" s="16">
        <v>18239</v>
      </c>
      <c r="E107" s="16" t="s">
        <v>4036</v>
      </c>
      <c r="F107" s="3">
        <v>28409050100562</v>
      </c>
      <c r="G107" s="16" t="s">
        <v>34</v>
      </c>
      <c r="H107" s="16" t="s">
        <v>3622</v>
      </c>
      <c r="I107" s="16" t="s">
        <v>66</v>
      </c>
      <c r="J107" s="45">
        <v>42834</v>
      </c>
      <c r="K107" s="16" t="s">
        <v>8</v>
      </c>
      <c r="L107" s="16" t="s">
        <v>12</v>
      </c>
      <c r="M107" s="16"/>
      <c r="N107" s="16"/>
      <c r="W107" s="16" t="s">
        <v>61</v>
      </c>
      <c r="X107" s="16"/>
      <c r="Y107" s="45">
        <v>42859</v>
      </c>
      <c r="Z107" s="25" t="s">
        <v>66</v>
      </c>
      <c r="AA107" s="45">
        <v>42869</v>
      </c>
      <c r="AB107" s="16"/>
    </row>
    <row r="108" spans="1:28" ht="15" customHeight="1">
      <c r="A108" s="285"/>
      <c r="C108" s="2">
        <v>8</v>
      </c>
      <c r="D108" s="2">
        <v>12265</v>
      </c>
      <c r="E108" s="2" t="s">
        <v>3504</v>
      </c>
      <c r="F108" s="3">
        <v>28609040105697</v>
      </c>
      <c r="G108" s="2" t="s">
        <v>34</v>
      </c>
      <c r="H108" s="2" t="s">
        <v>3623</v>
      </c>
      <c r="I108" s="2" t="s">
        <v>67</v>
      </c>
      <c r="J108" s="4">
        <v>42834</v>
      </c>
      <c r="K108" s="16" t="s">
        <v>8</v>
      </c>
      <c r="L108" s="2" t="s">
        <v>12</v>
      </c>
      <c r="W108" s="16" t="s">
        <v>60</v>
      </c>
      <c r="Y108" s="7">
        <v>42859</v>
      </c>
      <c r="Z108" s="25" t="s">
        <v>66</v>
      </c>
      <c r="AA108" s="7">
        <v>42942</v>
      </c>
    </row>
    <row r="109" spans="1:28" ht="15" customHeight="1">
      <c r="A109" s="285"/>
      <c r="C109" s="2">
        <v>8</v>
      </c>
      <c r="D109" s="2">
        <v>18240</v>
      </c>
      <c r="E109" s="2" t="s">
        <v>3505</v>
      </c>
      <c r="F109" s="3">
        <v>29512041100133</v>
      </c>
      <c r="G109" s="16" t="s">
        <v>184</v>
      </c>
      <c r="H109" s="2" t="s">
        <v>3624</v>
      </c>
      <c r="I109" s="2" t="s">
        <v>66</v>
      </c>
      <c r="J109" s="4">
        <v>42834</v>
      </c>
      <c r="K109" s="16" t="s">
        <v>8</v>
      </c>
      <c r="L109" s="2" t="s">
        <v>12</v>
      </c>
      <c r="W109" s="16" t="s">
        <v>60</v>
      </c>
      <c r="Y109" s="7">
        <v>42859</v>
      </c>
      <c r="Z109" s="25" t="s">
        <v>66</v>
      </c>
      <c r="AA109" s="7">
        <v>42885</v>
      </c>
    </row>
    <row r="110" spans="1:28" ht="15" customHeight="1">
      <c r="A110" s="285"/>
      <c r="C110" s="2">
        <v>8</v>
      </c>
      <c r="D110" s="2">
        <v>18241</v>
      </c>
      <c r="E110" s="2" t="s">
        <v>3506</v>
      </c>
      <c r="F110" s="3">
        <v>29204190101511</v>
      </c>
      <c r="G110" s="2" t="s">
        <v>34</v>
      </c>
      <c r="H110" s="2" t="s">
        <v>3625</v>
      </c>
      <c r="I110" s="2" t="s">
        <v>66</v>
      </c>
      <c r="J110" s="4">
        <v>42834</v>
      </c>
      <c r="K110" s="16" t="s">
        <v>8</v>
      </c>
      <c r="L110" s="2" t="s">
        <v>12</v>
      </c>
      <c r="W110" s="16" t="s">
        <v>61</v>
      </c>
      <c r="Y110" s="7">
        <v>42859</v>
      </c>
      <c r="Z110" s="25" t="s">
        <v>67</v>
      </c>
      <c r="AA110" s="7" t="s">
        <v>3111</v>
      </c>
    </row>
    <row r="111" spans="1:28" ht="15" customHeight="1">
      <c r="A111" s="285"/>
      <c r="C111" s="2">
        <v>8</v>
      </c>
      <c r="D111" s="2">
        <v>18242</v>
      </c>
      <c r="E111" s="2" t="s">
        <v>3507</v>
      </c>
      <c r="F111" s="3">
        <v>29001110101851</v>
      </c>
      <c r="G111" s="2" t="s">
        <v>34</v>
      </c>
      <c r="H111" s="2" t="s">
        <v>3626</v>
      </c>
      <c r="I111" s="2" t="s">
        <v>66</v>
      </c>
      <c r="J111" s="4">
        <v>42834</v>
      </c>
      <c r="K111" s="16" t="s">
        <v>8</v>
      </c>
      <c r="L111" s="2" t="s">
        <v>12</v>
      </c>
      <c r="W111" s="16" t="s">
        <v>3108</v>
      </c>
      <c r="Y111" s="7">
        <v>42859</v>
      </c>
      <c r="Z111" s="25" t="s">
        <v>66</v>
      </c>
      <c r="AA111" s="7" t="s">
        <v>3111</v>
      </c>
    </row>
    <row r="112" spans="1:28" ht="15" customHeight="1">
      <c r="A112" s="285"/>
      <c r="C112" s="2">
        <v>8</v>
      </c>
      <c r="D112" s="2">
        <v>18243</v>
      </c>
      <c r="E112" s="2" t="s">
        <v>3508</v>
      </c>
      <c r="F112" s="3">
        <v>29208250105796</v>
      </c>
      <c r="G112" s="2" t="s">
        <v>34</v>
      </c>
      <c r="H112" s="2" t="s">
        <v>3627</v>
      </c>
      <c r="I112" s="2" t="s">
        <v>66</v>
      </c>
      <c r="J112" s="4">
        <v>42834</v>
      </c>
      <c r="K112" s="16" t="s">
        <v>8</v>
      </c>
      <c r="L112" s="2" t="s">
        <v>12</v>
      </c>
      <c r="Y112" s="7">
        <v>42859</v>
      </c>
      <c r="Z112" s="25" t="s">
        <v>67</v>
      </c>
      <c r="AA112" s="7" t="s">
        <v>3111</v>
      </c>
    </row>
    <row r="113" spans="1:28" ht="15" customHeight="1">
      <c r="A113" s="285"/>
      <c r="C113" s="2">
        <v>8</v>
      </c>
      <c r="D113" s="2">
        <v>18244</v>
      </c>
      <c r="E113" s="2" t="s">
        <v>3509</v>
      </c>
      <c r="F113" s="3">
        <v>29406090103224</v>
      </c>
      <c r="G113" s="16" t="s">
        <v>184</v>
      </c>
      <c r="H113" s="2" t="s">
        <v>3628</v>
      </c>
      <c r="I113" s="2" t="s">
        <v>66</v>
      </c>
      <c r="J113" s="4">
        <v>42834</v>
      </c>
      <c r="K113" s="16" t="s">
        <v>8</v>
      </c>
      <c r="L113" s="2" t="s">
        <v>12</v>
      </c>
      <c r="W113" s="16" t="s">
        <v>60</v>
      </c>
      <c r="Y113" s="7">
        <v>42859</v>
      </c>
      <c r="Z113" s="25" t="s">
        <v>67</v>
      </c>
      <c r="AA113" s="7" t="s">
        <v>3111</v>
      </c>
    </row>
    <row r="114" spans="1:28" ht="15" customHeight="1">
      <c r="A114" s="285"/>
      <c r="C114" s="16">
        <v>8</v>
      </c>
      <c r="D114" s="16">
        <v>18245</v>
      </c>
      <c r="E114" s="16" t="s">
        <v>3510</v>
      </c>
      <c r="F114" s="3">
        <v>29502181401529</v>
      </c>
      <c r="G114" s="16" t="s">
        <v>34</v>
      </c>
      <c r="H114" s="16" t="s">
        <v>3629</v>
      </c>
      <c r="I114" s="16" t="s">
        <v>66</v>
      </c>
      <c r="J114" s="45">
        <v>42834</v>
      </c>
      <c r="K114" s="16" t="s">
        <v>8</v>
      </c>
      <c r="L114" s="16" t="s">
        <v>12</v>
      </c>
      <c r="M114" s="16"/>
      <c r="N114" s="16"/>
      <c r="W114" s="16" t="s">
        <v>61</v>
      </c>
      <c r="X114" s="16"/>
      <c r="Y114" s="7">
        <v>42859</v>
      </c>
      <c r="Z114" s="25" t="s">
        <v>66</v>
      </c>
      <c r="AA114" s="7" t="s">
        <v>3111</v>
      </c>
      <c r="AB114" s="16"/>
    </row>
    <row r="115" spans="1:28" ht="15" customHeight="1">
      <c r="A115" s="285"/>
      <c r="C115" s="16">
        <v>8</v>
      </c>
      <c r="D115" s="2">
        <v>18246</v>
      </c>
      <c r="E115" s="2" t="s">
        <v>3511</v>
      </c>
      <c r="F115" s="3">
        <v>29504170104215</v>
      </c>
      <c r="G115" s="16" t="s">
        <v>184</v>
      </c>
      <c r="H115" s="2" t="s">
        <v>3630</v>
      </c>
      <c r="I115" s="2" t="s">
        <v>66</v>
      </c>
      <c r="J115" s="4">
        <v>42834</v>
      </c>
      <c r="K115" s="16" t="s">
        <v>8</v>
      </c>
      <c r="L115" s="2" t="s">
        <v>12</v>
      </c>
      <c r="W115" s="16" t="s">
        <v>111</v>
      </c>
      <c r="Y115" s="7">
        <v>42859</v>
      </c>
      <c r="Z115" s="25" t="s">
        <v>67</v>
      </c>
      <c r="AA115" s="7" t="s">
        <v>3111</v>
      </c>
    </row>
    <row r="116" spans="1:28" ht="15.75" customHeight="1" thickBot="1">
      <c r="A116" s="286"/>
      <c r="C116" s="28">
        <v>8</v>
      </c>
      <c r="D116" s="28">
        <v>18247</v>
      </c>
      <c r="E116" s="28" t="s">
        <v>3512</v>
      </c>
      <c r="F116" s="29">
        <v>29309272101311</v>
      </c>
      <c r="G116" s="28" t="s">
        <v>34</v>
      </c>
      <c r="H116" s="28" t="s">
        <v>3631</v>
      </c>
      <c r="I116" s="28" t="s">
        <v>66</v>
      </c>
      <c r="J116" s="30">
        <v>42834</v>
      </c>
      <c r="K116" s="28" t="s">
        <v>8</v>
      </c>
      <c r="L116" s="28" t="s">
        <v>12</v>
      </c>
      <c r="M116" s="28"/>
      <c r="N116" s="28"/>
      <c r="O116" s="226"/>
      <c r="P116" s="28"/>
      <c r="Q116" s="226"/>
      <c r="R116" s="28"/>
      <c r="S116" s="28"/>
      <c r="T116" s="28"/>
      <c r="U116" s="28"/>
      <c r="V116" s="28"/>
      <c r="W116" s="28" t="s">
        <v>3108</v>
      </c>
      <c r="X116" s="28"/>
      <c r="Y116" s="30">
        <v>42859</v>
      </c>
      <c r="Z116" s="28" t="s">
        <v>66</v>
      </c>
      <c r="AA116" s="30" t="s">
        <v>3111</v>
      </c>
      <c r="AB116" s="28"/>
    </row>
    <row r="117" spans="1:28" ht="15.75" customHeight="1" thickTop="1">
      <c r="A117" s="284" t="s">
        <v>3120</v>
      </c>
      <c r="C117" s="25">
        <v>9</v>
      </c>
      <c r="D117" s="25">
        <v>18248</v>
      </c>
      <c r="E117" s="25" t="s">
        <v>3513</v>
      </c>
      <c r="F117" s="26">
        <v>28401158800471</v>
      </c>
      <c r="G117" s="16" t="s">
        <v>34</v>
      </c>
      <c r="H117" s="25" t="s">
        <v>3632</v>
      </c>
      <c r="I117" s="25" t="s">
        <v>66</v>
      </c>
      <c r="J117" s="27">
        <v>42843</v>
      </c>
      <c r="K117" s="25" t="s">
        <v>8</v>
      </c>
      <c r="L117" s="25" t="s">
        <v>12</v>
      </c>
      <c r="M117" s="25"/>
      <c r="N117" s="25"/>
      <c r="O117" s="224"/>
      <c r="P117" s="25"/>
      <c r="Q117" s="224"/>
      <c r="R117" s="25"/>
      <c r="S117" s="25"/>
      <c r="T117" s="25"/>
      <c r="U117" s="25"/>
      <c r="V117" s="25"/>
      <c r="W117" s="25" t="s">
        <v>61</v>
      </c>
      <c r="X117" s="25"/>
      <c r="Y117" s="27">
        <v>42866</v>
      </c>
      <c r="Z117" s="25" t="s">
        <v>66</v>
      </c>
      <c r="AA117" s="27" t="s">
        <v>3111</v>
      </c>
      <c r="AB117" s="25"/>
    </row>
    <row r="118" spans="1:28" ht="15" customHeight="1">
      <c r="A118" s="285"/>
      <c r="C118" s="16">
        <v>9</v>
      </c>
      <c r="D118" s="2">
        <v>18249</v>
      </c>
      <c r="E118" s="2" t="s">
        <v>3514</v>
      </c>
      <c r="F118" s="3">
        <v>29311170105103</v>
      </c>
      <c r="G118" s="2" t="s">
        <v>184</v>
      </c>
      <c r="H118" s="2" t="s">
        <v>3633</v>
      </c>
      <c r="I118" s="2" t="s">
        <v>66</v>
      </c>
      <c r="J118" s="4">
        <v>42843</v>
      </c>
      <c r="K118" s="16" t="s">
        <v>8</v>
      </c>
      <c r="L118" s="2" t="s">
        <v>12</v>
      </c>
      <c r="W118" s="16" t="s">
        <v>60</v>
      </c>
      <c r="Y118" s="7">
        <v>42866</v>
      </c>
      <c r="Z118" s="25" t="s">
        <v>66</v>
      </c>
      <c r="AA118" s="7">
        <v>42879</v>
      </c>
    </row>
    <row r="119" spans="1:28" ht="15" customHeight="1">
      <c r="A119" s="285"/>
      <c r="C119" s="16">
        <v>9</v>
      </c>
      <c r="D119" s="2">
        <v>18250</v>
      </c>
      <c r="E119" s="2" t="s">
        <v>3515</v>
      </c>
      <c r="F119" s="3">
        <v>29608042102358</v>
      </c>
      <c r="G119" s="2" t="s">
        <v>184</v>
      </c>
      <c r="H119" s="2" t="s">
        <v>3634</v>
      </c>
      <c r="I119" s="2" t="s">
        <v>66</v>
      </c>
      <c r="J119" s="4">
        <v>42843</v>
      </c>
      <c r="K119" s="16" t="s">
        <v>8</v>
      </c>
      <c r="L119" s="2" t="s">
        <v>12</v>
      </c>
      <c r="W119" s="16" t="s">
        <v>61</v>
      </c>
      <c r="Y119" s="7">
        <v>42866</v>
      </c>
      <c r="Z119" s="25" t="s">
        <v>66</v>
      </c>
      <c r="AA119" s="7" t="s">
        <v>3111</v>
      </c>
    </row>
    <row r="120" spans="1:28" ht="15" customHeight="1">
      <c r="A120" s="285"/>
      <c r="C120" s="16">
        <v>9</v>
      </c>
      <c r="D120" s="2">
        <v>18251</v>
      </c>
      <c r="E120" s="2" t="s">
        <v>3516</v>
      </c>
      <c r="F120" s="3">
        <v>29405150100285</v>
      </c>
      <c r="G120" s="16" t="s">
        <v>34</v>
      </c>
      <c r="H120" s="2" t="s">
        <v>3635</v>
      </c>
      <c r="I120" s="2" t="s">
        <v>66</v>
      </c>
      <c r="J120" s="4">
        <v>42843</v>
      </c>
      <c r="K120" s="16" t="s">
        <v>8</v>
      </c>
      <c r="L120" s="2" t="s">
        <v>12</v>
      </c>
      <c r="W120" s="16" t="s">
        <v>60</v>
      </c>
      <c r="Y120" s="7">
        <v>42866</v>
      </c>
      <c r="Z120" s="25" t="s">
        <v>67</v>
      </c>
      <c r="AA120" s="7" t="s">
        <v>3111</v>
      </c>
    </row>
    <row r="121" spans="1:28" ht="15" customHeight="1">
      <c r="A121" s="285"/>
      <c r="C121" s="16">
        <v>9</v>
      </c>
      <c r="D121" s="16">
        <v>18252</v>
      </c>
      <c r="E121" s="16" t="s">
        <v>3517</v>
      </c>
      <c r="F121" s="3">
        <v>28210060103411</v>
      </c>
      <c r="G121" s="16" t="s">
        <v>3636</v>
      </c>
      <c r="H121" s="16" t="s">
        <v>3637</v>
      </c>
      <c r="I121" s="16" t="s">
        <v>66</v>
      </c>
      <c r="J121" s="45">
        <v>42843</v>
      </c>
      <c r="K121" s="16" t="s">
        <v>8</v>
      </c>
      <c r="L121" s="16" t="s">
        <v>12</v>
      </c>
      <c r="M121" s="16"/>
      <c r="N121" s="16"/>
      <c r="W121" s="16" t="s">
        <v>60</v>
      </c>
      <c r="X121" s="16"/>
      <c r="Y121" s="45">
        <v>42866</v>
      </c>
      <c r="Z121" s="25" t="s">
        <v>66</v>
      </c>
      <c r="AA121" s="45">
        <v>42879</v>
      </c>
      <c r="AB121" s="16"/>
    </row>
    <row r="122" spans="1:28" ht="15" customHeight="1">
      <c r="A122" s="285"/>
      <c r="C122" s="16">
        <v>9</v>
      </c>
      <c r="D122" s="16">
        <v>18253</v>
      </c>
      <c r="E122" s="16" t="s">
        <v>3518</v>
      </c>
      <c r="F122" s="3" t="s">
        <v>3638</v>
      </c>
      <c r="G122" s="16" t="s">
        <v>184</v>
      </c>
      <c r="H122" s="16" t="s">
        <v>3639</v>
      </c>
      <c r="I122" s="16" t="s">
        <v>66</v>
      </c>
      <c r="J122" s="45">
        <v>42843</v>
      </c>
      <c r="K122" s="16" t="s">
        <v>8</v>
      </c>
      <c r="L122" s="16" t="s">
        <v>12</v>
      </c>
      <c r="M122" s="16"/>
      <c r="N122" s="16"/>
      <c r="W122" s="16" t="s">
        <v>111</v>
      </c>
      <c r="X122" s="16"/>
      <c r="Y122" s="45">
        <v>42866</v>
      </c>
      <c r="Z122" s="25" t="s">
        <v>67</v>
      </c>
      <c r="AA122" s="45" t="s">
        <v>3111</v>
      </c>
      <c r="AB122" s="16"/>
    </row>
    <row r="123" spans="1:28" ht="15.75" customHeight="1" thickBot="1">
      <c r="A123" s="286"/>
      <c r="C123" s="28">
        <v>9</v>
      </c>
      <c r="D123" s="28">
        <v>18254</v>
      </c>
      <c r="E123" s="28" t="s">
        <v>3519</v>
      </c>
      <c r="F123" s="29">
        <v>29404240102083</v>
      </c>
      <c r="G123" s="28" t="s">
        <v>34</v>
      </c>
      <c r="H123" s="28" t="s">
        <v>3640</v>
      </c>
      <c r="I123" s="28" t="s">
        <v>66</v>
      </c>
      <c r="J123" s="30">
        <v>42843</v>
      </c>
      <c r="K123" s="28" t="s">
        <v>8</v>
      </c>
      <c r="L123" s="28" t="s">
        <v>12</v>
      </c>
      <c r="M123" s="28"/>
      <c r="N123" s="28"/>
      <c r="O123" s="226"/>
      <c r="P123" s="28"/>
      <c r="Q123" s="226"/>
      <c r="R123" s="28"/>
      <c r="S123" s="28"/>
      <c r="T123" s="28"/>
      <c r="U123" s="28"/>
      <c r="V123" s="28"/>
      <c r="W123" s="28" t="s">
        <v>61</v>
      </c>
      <c r="X123" s="28"/>
      <c r="Y123" s="30">
        <v>42866</v>
      </c>
      <c r="Z123" s="28" t="s">
        <v>66</v>
      </c>
      <c r="AA123" s="30" t="s">
        <v>3111</v>
      </c>
      <c r="AB123" s="28"/>
    </row>
    <row r="124" spans="1:28" ht="15.75" customHeight="1" thickTop="1">
      <c r="A124" s="284" t="s">
        <v>3119</v>
      </c>
      <c r="C124" s="25">
        <v>10</v>
      </c>
      <c r="D124" s="25">
        <v>18255</v>
      </c>
      <c r="E124" s="25" t="s">
        <v>3520</v>
      </c>
      <c r="F124" s="26" t="s">
        <v>3641</v>
      </c>
      <c r="G124" s="16" t="s">
        <v>184</v>
      </c>
      <c r="H124" s="25" t="s">
        <v>3642</v>
      </c>
      <c r="I124" s="25" t="s">
        <v>66</v>
      </c>
      <c r="J124" s="27">
        <v>42843</v>
      </c>
      <c r="K124" s="25" t="s">
        <v>8</v>
      </c>
      <c r="L124" s="25" t="s">
        <v>12</v>
      </c>
      <c r="M124" s="25"/>
      <c r="N124" s="25"/>
      <c r="O124" s="224"/>
      <c r="P124" s="25"/>
      <c r="Q124" s="224"/>
      <c r="R124" s="25"/>
      <c r="S124" s="25"/>
      <c r="T124" s="25"/>
      <c r="U124" s="25"/>
      <c r="V124" s="25"/>
      <c r="W124" s="25" t="s">
        <v>60</v>
      </c>
      <c r="X124" s="25"/>
      <c r="Y124" s="27">
        <v>42866</v>
      </c>
      <c r="Z124" s="25" t="s">
        <v>66</v>
      </c>
      <c r="AA124" s="27">
        <v>42879</v>
      </c>
      <c r="AB124" s="25"/>
    </row>
    <row r="125" spans="1:28" ht="15" customHeight="1">
      <c r="A125" s="285"/>
      <c r="C125" s="16">
        <v>10</v>
      </c>
      <c r="D125" s="16">
        <v>18256</v>
      </c>
      <c r="E125" s="16" t="s">
        <v>3521</v>
      </c>
      <c r="F125" s="3">
        <v>29310200103171</v>
      </c>
      <c r="G125" s="16" t="s">
        <v>34</v>
      </c>
      <c r="H125" s="16" t="s">
        <v>3643</v>
      </c>
      <c r="I125" s="16" t="s">
        <v>66</v>
      </c>
      <c r="J125" s="45">
        <v>42843</v>
      </c>
      <c r="K125" s="16" t="s">
        <v>8</v>
      </c>
      <c r="L125" s="16" t="s">
        <v>12</v>
      </c>
      <c r="M125" s="16"/>
      <c r="N125" s="16"/>
      <c r="W125" s="16" t="s">
        <v>111</v>
      </c>
      <c r="X125" s="16"/>
      <c r="Y125" s="45">
        <v>42866</v>
      </c>
      <c r="Z125" s="25" t="s">
        <v>67</v>
      </c>
      <c r="AA125" s="45" t="s">
        <v>3111</v>
      </c>
      <c r="AB125" s="16"/>
    </row>
    <row r="126" spans="1:28" ht="15" customHeight="1">
      <c r="A126" s="285"/>
      <c r="C126" s="16">
        <v>10</v>
      </c>
      <c r="D126" s="2">
        <v>18257</v>
      </c>
      <c r="E126" s="2" t="s">
        <v>3522</v>
      </c>
      <c r="F126" s="3">
        <v>29407268800672</v>
      </c>
      <c r="G126" s="16" t="s">
        <v>184</v>
      </c>
      <c r="H126" s="2" t="s">
        <v>3644</v>
      </c>
      <c r="I126" s="2" t="s">
        <v>66</v>
      </c>
      <c r="J126" s="4">
        <v>42843</v>
      </c>
      <c r="K126" s="16" t="s">
        <v>8</v>
      </c>
      <c r="L126" s="2" t="s">
        <v>12</v>
      </c>
      <c r="W126" s="16" t="s">
        <v>60</v>
      </c>
      <c r="Y126" s="7">
        <v>42866</v>
      </c>
      <c r="Z126" s="25" t="s">
        <v>67</v>
      </c>
      <c r="AA126" s="7" t="s">
        <v>3111</v>
      </c>
    </row>
    <row r="127" spans="1:28" ht="15" customHeight="1">
      <c r="A127" s="285"/>
      <c r="C127" s="16">
        <v>10</v>
      </c>
      <c r="D127" s="2">
        <v>18258</v>
      </c>
      <c r="E127" s="2" t="s">
        <v>3523</v>
      </c>
      <c r="F127" s="3">
        <v>29203100101618</v>
      </c>
      <c r="G127" s="16" t="s">
        <v>184</v>
      </c>
      <c r="H127" s="2" t="s">
        <v>3645</v>
      </c>
      <c r="I127" s="2" t="s">
        <v>66</v>
      </c>
      <c r="J127" s="4">
        <v>42843</v>
      </c>
      <c r="K127" s="16" t="s">
        <v>8</v>
      </c>
      <c r="L127" s="2" t="s">
        <v>12</v>
      </c>
      <c r="W127" s="16" t="s">
        <v>60</v>
      </c>
      <c r="Y127" s="45">
        <v>42866</v>
      </c>
      <c r="Z127" s="25" t="s">
        <v>66</v>
      </c>
      <c r="AA127" s="7" t="s">
        <v>3111</v>
      </c>
    </row>
    <row r="128" spans="1:28" ht="15" customHeight="1">
      <c r="A128" s="285"/>
      <c r="C128" s="16">
        <v>10</v>
      </c>
      <c r="D128" s="2">
        <v>18259</v>
      </c>
      <c r="E128" s="2" t="s">
        <v>3524</v>
      </c>
      <c r="F128" s="3">
        <v>29301030104233</v>
      </c>
      <c r="G128" s="16" t="s">
        <v>184</v>
      </c>
      <c r="H128" s="2" t="s">
        <v>3646</v>
      </c>
      <c r="I128" s="2" t="s">
        <v>66</v>
      </c>
      <c r="J128" s="4">
        <v>42843</v>
      </c>
      <c r="K128" s="16" t="s">
        <v>8</v>
      </c>
      <c r="L128" s="2" t="s">
        <v>12</v>
      </c>
      <c r="W128" s="16" t="s">
        <v>61</v>
      </c>
      <c r="Y128" s="45">
        <v>42866</v>
      </c>
      <c r="Z128" s="25" t="s">
        <v>67</v>
      </c>
      <c r="AA128" s="7" t="s">
        <v>3111</v>
      </c>
    </row>
    <row r="129" spans="1:28" ht="15" customHeight="1">
      <c r="A129" s="285"/>
      <c r="C129" s="16">
        <v>10</v>
      </c>
      <c r="D129" s="2">
        <v>18260</v>
      </c>
      <c r="E129" s="2" t="s">
        <v>3525</v>
      </c>
      <c r="F129" s="3">
        <v>29212190102595</v>
      </c>
      <c r="G129" s="2" t="s">
        <v>34</v>
      </c>
      <c r="H129" s="2" t="s">
        <v>3647</v>
      </c>
      <c r="I129" s="2" t="s">
        <v>66</v>
      </c>
      <c r="J129" s="4">
        <v>42843</v>
      </c>
      <c r="K129" s="16" t="s">
        <v>8</v>
      </c>
      <c r="L129" s="2" t="s">
        <v>12</v>
      </c>
      <c r="W129" s="16" t="s">
        <v>111</v>
      </c>
      <c r="Y129" s="7">
        <v>42866</v>
      </c>
      <c r="Z129" s="25" t="s">
        <v>67</v>
      </c>
      <c r="AA129" s="7" t="s">
        <v>3111</v>
      </c>
    </row>
    <row r="130" spans="1:28" ht="15" customHeight="1">
      <c r="A130" s="285"/>
      <c r="C130" s="16">
        <v>10</v>
      </c>
      <c r="D130" s="2">
        <v>18261</v>
      </c>
      <c r="E130" s="2" t="s">
        <v>3526</v>
      </c>
      <c r="F130" s="3">
        <v>29608162100898</v>
      </c>
      <c r="G130" s="16" t="s">
        <v>184</v>
      </c>
      <c r="H130" s="2" t="s">
        <v>3648</v>
      </c>
      <c r="I130" s="2" t="s">
        <v>66</v>
      </c>
      <c r="J130" s="4">
        <v>42843</v>
      </c>
      <c r="K130" s="16" t="s">
        <v>8</v>
      </c>
      <c r="L130" s="2" t="s">
        <v>12</v>
      </c>
      <c r="W130" s="16" t="s">
        <v>60</v>
      </c>
      <c r="Y130" s="7">
        <v>42866</v>
      </c>
      <c r="Z130" s="25" t="s">
        <v>67</v>
      </c>
      <c r="AA130" s="7" t="s">
        <v>3111</v>
      </c>
    </row>
    <row r="131" spans="1:28" ht="15" customHeight="1">
      <c r="A131" s="285"/>
      <c r="C131" s="16">
        <v>10</v>
      </c>
      <c r="D131" s="2">
        <v>18262</v>
      </c>
      <c r="E131" s="2" t="s">
        <v>3527</v>
      </c>
      <c r="F131" s="3">
        <v>29101302102953</v>
      </c>
      <c r="G131" s="2" t="s">
        <v>34</v>
      </c>
      <c r="H131" s="2" t="s">
        <v>3649</v>
      </c>
      <c r="I131" s="2" t="s">
        <v>66</v>
      </c>
      <c r="J131" s="4">
        <v>42843</v>
      </c>
      <c r="K131" s="16" t="s">
        <v>8</v>
      </c>
      <c r="L131" s="2" t="s">
        <v>12</v>
      </c>
      <c r="W131" s="16" t="s">
        <v>111</v>
      </c>
      <c r="Y131" s="7">
        <v>42866</v>
      </c>
      <c r="Z131" s="25" t="s">
        <v>67</v>
      </c>
      <c r="AA131" s="7" t="s">
        <v>3111</v>
      </c>
      <c r="AB131" s="2" t="s">
        <v>5558</v>
      </c>
    </row>
    <row r="132" spans="1:28" ht="15" customHeight="1">
      <c r="A132" s="285"/>
      <c r="C132" s="16">
        <v>10</v>
      </c>
      <c r="D132" s="2">
        <v>18263</v>
      </c>
      <c r="E132" s="2" t="s">
        <v>3528</v>
      </c>
      <c r="F132" s="3">
        <v>29004161401191</v>
      </c>
      <c r="G132" s="2" t="s">
        <v>34</v>
      </c>
      <c r="H132" s="2" t="s">
        <v>3650</v>
      </c>
      <c r="I132" s="2" t="s">
        <v>66</v>
      </c>
      <c r="J132" s="4">
        <v>42843</v>
      </c>
      <c r="K132" s="16" t="s">
        <v>8</v>
      </c>
      <c r="L132" s="2" t="s">
        <v>12</v>
      </c>
      <c r="W132" s="16" t="s">
        <v>60</v>
      </c>
      <c r="Y132" s="7">
        <v>42866</v>
      </c>
      <c r="Z132" s="25" t="s">
        <v>67</v>
      </c>
      <c r="AA132" s="7" t="s">
        <v>3111</v>
      </c>
    </row>
    <row r="133" spans="1:28" ht="15" customHeight="1">
      <c r="A133" s="285"/>
      <c r="C133" s="16">
        <v>10</v>
      </c>
      <c r="D133" s="2">
        <v>18264</v>
      </c>
      <c r="E133" s="2" t="s">
        <v>3529</v>
      </c>
      <c r="F133" s="3">
        <v>29302071600314</v>
      </c>
      <c r="G133" s="16" t="s">
        <v>184</v>
      </c>
      <c r="H133" s="2" t="s">
        <v>3651</v>
      </c>
      <c r="I133" s="2" t="s">
        <v>66</v>
      </c>
      <c r="J133" s="4">
        <v>42843</v>
      </c>
      <c r="K133" s="16" t="s">
        <v>8</v>
      </c>
      <c r="L133" s="2" t="s">
        <v>12</v>
      </c>
      <c r="W133" s="16" t="s">
        <v>61</v>
      </c>
      <c r="Y133" s="7">
        <v>42866</v>
      </c>
      <c r="Z133" s="25" t="s">
        <v>67</v>
      </c>
      <c r="AA133" s="7" t="s">
        <v>3111</v>
      </c>
    </row>
    <row r="134" spans="1:28" ht="15.75" customHeight="1" thickBot="1">
      <c r="A134" s="286"/>
      <c r="C134" s="28">
        <v>10</v>
      </c>
      <c r="D134" s="28">
        <v>18265</v>
      </c>
      <c r="E134" s="28" t="s">
        <v>3530</v>
      </c>
      <c r="F134" s="29">
        <v>29501180102262</v>
      </c>
      <c r="G134" s="28" t="s">
        <v>34</v>
      </c>
      <c r="H134" s="28" t="s">
        <v>3652</v>
      </c>
      <c r="I134" s="28" t="s">
        <v>66</v>
      </c>
      <c r="J134" s="30">
        <v>42843</v>
      </c>
      <c r="K134" s="28" t="s">
        <v>8</v>
      </c>
      <c r="L134" s="28" t="s">
        <v>12</v>
      </c>
      <c r="M134" s="28"/>
      <c r="N134" s="28"/>
      <c r="O134" s="226"/>
      <c r="P134" s="28"/>
      <c r="Q134" s="226"/>
      <c r="R134" s="28"/>
      <c r="S134" s="28"/>
      <c r="T134" s="28"/>
      <c r="U134" s="28"/>
      <c r="V134" s="28"/>
      <c r="W134" s="28" t="s">
        <v>111</v>
      </c>
      <c r="X134" s="28"/>
      <c r="Y134" s="30">
        <v>42866</v>
      </c>
      <c r="Z134" s="28" t="s">
        <v>67</v>
      </c>
      <c r="AA134" s="30" t="s">
        <v>3111</v>
      </c>
      <c r="AB134" s="28"/>
    </row>
    <row r="135" spans="1:28" ht="15.75" customHeight="1" thickTop="1">
      <c r="A135" s="284" t="s">
        <v>3127</v>
      </c>
      <c r="C135" s="25">
        <v>11</v>
      </c>
      <c r="D135" s="25">
        <v>18394</v>
      </c>
      <c r="E135" s="25" t="s">
        <v>3531</v>
      </c>
      <c r="F135" s="26">
        <v>29307310101378</v>
      </c>
      <c r="G135" s="25" t="s">
        <v>129</v>
      </c>
      <c r="H135" s="25" t="s">
        <v>3653</v>
      </c>
      <c r="I135" s="25" t="s">
        <v>66</v>
      </c>
      <c r="J135" s="27">
        <v>42854</v>
      </c>
      <c r="K135" s="25" t="s">
        <v>8</v>
      </c>
      <c r="L135" s="25" t="s">
        <v>12</v>
      </c>
      <c r="M135" s="25"/>
      <c r="N135" s="25"/>
      <c r="O135" s="224"/>
      <c r="P135" s="25"/>
      <c r="Q135" s="224"/>
      <c r="R135" s="25"/>
      <c r="S135" s="25"/>
      <c r="T135" s="25"/>
      <c r="U135" s="25"/>
      <c r="V135" s="25"/>
      <c r="W135" s="25" t="s">
        <v>60</v>
      </c>
      <c r="X135" s="25"/>
      <c r="Y135" s="27">
        <v>42880</v>
      </c>
      <c r="Z135" s="25" t="s">
        <v>66</v>
      </c>
      <c r="AA135" s="27" t="s">
        <v>3111</v>
      </c>
      <c r="AB135" s="25"/>
    </row>
    <row r="136" spans="1:28" ht="15" customHeight="1">
      <c r="A136" s="285"/>
      <c r="C136" s="16">
        <v>11</v>
      </c>
      <c r="D136" s="16">
        <v>18395</v>
      </c>
      <c r="E136" s="16" t="s">
        <v>3532</v>
      </c>
      <c r="F136" s="3">
        <v>29309242100336</v>
      </c>
      <c r="G136" s="16" t="s">
        <v>184</v>
      </c>
      <c r="H136" s="16" t="s">
        <v>3654</v>
      </c>
      <c r="I136" s="16" t="s">
        <v>66</v>
      </c>
      <c r="J136" s="45">
        <v>42854</v>
      </c>
      <c r="K136" s="16" t="s">
        <v>8</v>
      </c>
      <c r="L136" s="16" t="s">
        <v>12</v>
      </c>
      <c r="M136" s="16"/>
      <c r="N136" s="16"/>
      <c r="W136" s="16" t="s">
        <v>111</v>
      </c>
      <c r="X136" s="16"/>
      <c r="Y136" s="45">
        <v>42880</v>
      </c>
      <c r="Z136" s="25" t="s">
        <v>67</v>
      </c>
      <c r="AA136" s="45" t="s">
        <v>3111</v>
      </c>
      <c r="AB136" s="16"/>
    </row>
    <row r="137" spans="1:28" ht="15" customHeight="1">
      <c r="A137" s="285"/>
      <c r="C137" s="16">
        <v>11</v>
      </c>
      <c r="D137" s="16">
        <v>18396</v>
      </c>
      <c r="E137" s="16" t="s">
        <v>3533</v>
      </c>
      <c r="F137" s="3">
        <v>28612040101277</v>
      </c>
      <c r="G137" s="16" t="s">
        <v>129</v>
      </c>
      <c r="H137" s="16" t="s">
        <v>3655</v>
      </c>
      <c r="I137" s="16" t="s">
        <v>66</v>
      </c>
      <c r="J137" s="45">
        <v>42854</v>
      </c>
      <c r="K137" s="16" t="s">
        <v>8</v>
      </c>
      <c r="L137" s="16" t="s">
        <v>12</v>
      </c>
      <c r="M137" s="16"/>
      <c r="N137" s="16"/>
      <c r="W137" s="16" t="s">
        <v>111</v>
      </c>
      <c r="X137" s="16"/>
      <c r="Y137" s="45">
        <v>42880</v>
      </c>
      <c r="Z137" s="25" t="s">
        <v>67</v>
      </c>
      <c r="AA137" s="45" t="s">
        <v>3111</v>
      </c>
      <c r="AB137" s="16"/>
    </row>
    <row r="138" spans="1:28" ht="15" customHeight="1">
      <c r="A138" s="285"/>
      <c r="C138" s="16">
        <v>11</v>
      </c>
      <c r="D138" s="2">
        <v>18397</v>
      </c>
      <c r="E138" s="2" t="s">
        <v>3534</v>
      </c>
      <c r="F138" s="3">
        <v>27601212102852</v>
      </c>
      <c r="G138" s="2" t="s">
        <v>129</v>
      </c>
      <c r="H138" s="16" t="s">
        <v>3656</v>
      </c>
      <c r="I138" s="2" t="s">
        <v>66</v>
      </c>
      <c r="J138" s="4">
        <v>42854</v>
      </c>
      <c r="K138" s="16" t="s">
        <v>8</v>
      </c>
      <c r="L138" s="2" t="s">
        <v>12</v>
      </c>
      <c r="N138" s="16"/>
      <c r="W138" s="16" t="s">
        <v>111</v>
      </c>
      <c r="Y138" s="7">
        <v>42880</v>
      </c>
      <c r="Z138" s="25" t="s">
        <v>67</v>
      </c>
      <c r="AA138" s="7" t="s">
        <v>3111</v>
      </c>
    </row>
    <row r="139" spans="1:28" ht="15" customHeight="1">
      <c r="A139" s="285"/>
      <c r="C139" s="16">
        <v>11</v>
      </c>
      <c r="D139" s="2">
        <v>18398</v>
      </c>
      <c r="E139" s="2" t="s">
        <v>3535</v>
      </c>
      <c r="F139" s="3">
        <v>29205111401454</v>
      </c>
      <c r="G139" s="16" t="s">
        <v>3636</v>
      </c>
      <c r="H139" s="16" t="s">
        <v>3657</v>
      </c>
      <c r="I139" s="2" t="s">
        <v>66</v>
      </c>
      <c r="J139" s="4">
        <v>42854</v>
      </c>
      <c r="K139" s="16" t="s">
        <v>8</v>
      </c>
      <c r="L139" s="2" t="s">
        <v>12</v>
      </c>
      <c r="N139" s="16"/>
      <c r="W139" s="16" t="s">
        <v>60</v>
      </c>
      <c r="Y139" s="7">
        <v>42880</v>
      </c>
      <c r="Z139" s="25" t="s">
        <v>66</v>
      </c>
      <c r="AA139" s="7" t="s">
        <v>3111</v>
      </c>
    </row>
    <row r="140" spans="1:28" ht="15" customHeight="1">
      <c r="A140" s="285"/>
      <c r="C140" s="16">
        <v>11</v>
      </c>
      <c r="D140" s="2">
        <v>18399</v>
      </c>
      <c r="E140" s="2" t="s">
        <v>3536</v>
      </c>
      <c r="F140" s="3">
        <v>29403061401641</v>
      </c>
      <c r="G140" s="2" t="s">
        <v>129</v>
      </c>
      <c r="H140" s="16" t="s">
        <v>3658</v>
      </c>
      <c r="I140" s="2" t="s">
        <v>66</v>
      </c>
      <c r="J140" s="4">
        <v>42854</v>
      </c>
      <c r="K140" s="16" t="s">
        <v>8</v>
      </c>
      <c r="L140" s="2" t="s">
        <v>12</v>
      </c>
      <c r="N140" s="16"/>
      <c r="W140" s="16" t="s">
        <v>111</v>
      </c>
      <c r="Y140" s="7">
        <v>42880</v>
      </c>
      <c r="Z140" s="25" t="s">
        <v>67</v>
      </c>
      <c r="AA140" s="7" t="s">
        <v>3111</v>
      </c>
    </row>
    <row r="141" spans="1:28" ht="15" customHeight="1">
      <c r="A141" s="285"/>
      <c r="C141" s="16">
        <v>11</v>
      </c>
      <c r="D141" s="2">
        <v>18400</v>
      </c>
      <c r="E141" s="2" t="s">
        <v>3537</v>
      </c>
      <c r="F141" s="3">
        <v>28601112102697</v>
      </c>
      <c r="G141" s="2" t="s">
        <v>129</v>
      </c>
      <c r="H141" s="16" t="s">
        <v>3659</v>
      </c>
      <c r="I141" s="2" t="s">
        <v>66</v>
      </c>
      <c r="J141" s="4">
        <v>42854</v>
      </c>
      <c r="K141" s="16" t="s">
        <v>8</v>
      </c>
      <c r="L141" s="2" t="s">
        <v>12</v>
      </c>
      <c r="N141" s="16"/>
      <c r="W141" s="16" t="s">
        <v>61</v>
      </c>
      <c r="Y141" s="7">
        <v>42880</v>
      </c>
      <c r="Z141" s="25" t="s">
        <v>67</v>
      </c>
      <c r="AA141" s="7" t="s">
        <v>3111</v>
      </c>
    </row>
    <row r="142" spans="1:28" ht="15" customHeight="1">
      <c r="A142" s="285"/>
      <c r="C142" s="16">
        <v>11</v>
      </c>
      <c r="D142" s="16">
        <v>18401</v>
      </c>
      <c r="E142" s="16" t="s">
        <v>3044</v>
      </c>
      <c r="F142" s="3">
        <v>29509280101892</v>
      </c>
      <c r="G142" s="16" t="s">
        <v>184</v>
      </c>
      <c r="H142" s="16" t="s">
        <v>3061</v>
      </c>
      <c r="I142" s="16" t="s">
        <v>66</v>
      </c>
      <c r="J142" s="45">
        <v>42854</v>
      </c>
      <c r="K142" s="16" t="s">
        <v>8</v>
      </c>
      <c r="L142" s="16" t="s">
        <v>12</v>
      </c>
      <c r="M142" s="16"/>
      <c r="N142" s="16"/>
      <c r="W142" s="16" t="s">
        <v>111</v>
      </c>
      <c r="X142" s="16"/>
      <c r="Y142" s="45">
        <v>42880</v>
      </c>
      <c r="Z142" s="25" t="s">
        <v>67</v>
      </c>
      <c r="AA142" s="45" t="s">
        <v>3111</v>
      </c>
      <c r="AB142" s="16"/>
    </row>
    <row r="143" spans="1:28" ht="15" customHeight="1">
      <c r="A143" s="285"/>
      <c r="C143" s="16">
        <v>11</v>
      </c>
      <c r="D143" s="16">
        <v>18402</v>
      </c>
      <c r="E143" s="16" t="s">
        <v>3538</v>
      </c>
      <c r="F143" s="3">
        <v>29702062102741</v>
      </c>
      <c r="G143" s="16" t="s">
        <v>184</v>
      </c>
      <c r="H143" s="16" t="s">
        <v>3660</v>
      </c>
      <c r="I143" s="16" t="s">
        <v>66</v>
      </c>
      <c r="J143" s="45">
        <v>42854</v>
      </c>
      <c r="K143" s="16" t="s">
        <v>8</v>
      </c>
      <c r="L143" s="16" t="s">
        <v>12</v>
      </c>
      <c r="M143" s="16"/>
      <c r="N143" s="16"/>
      <c r="W143" s="16" t="s">
        <v>60</v>
      </c>
      <c r="X143" s="16"/>
      <c r="Y143" s="45">
        <v>42880</v>
      </c>
      <c r="Z143" s="25" t="s">
        <v>66</v>
      </c>
      <c r="AA143" s="45" t="s">
        <v>3111</v>
      </c>
      <c r="AB143" s="16"/>
    </row>
    <row r="144" spans="1:28" ht="15" customHeight="1">
      <c r="A144" s="285"/>
      <c r="C144" s="2">
        <v>11</v>
      </c>
      <c r="D144" s="2">
        <v>6162</v>
      </c>
      <c r="E144" s="2" t="s">
        <v>3539</v>
      </c>
      <c r="F144" s="3">
        <v>28911210103111</v>
      </c>
      <c r="G144" s="2" t="s">
        <v>129</v>
      </c>
      <c r="H144" s="16" t="s">
        <v>3661</v>
      </c>
      <c r="I144" s="2" t="s">
        <v>67</v>
      </c>
      <c r="J144" s="4">
        <v>42854</v>
      </c>
      <c r="K144" s="16" t="s">
        <v>8</v>
      </c>
      <c r="L144" s="2" t="s">
        <v>12</v>
      </c>
      <c r="N144" s="16"/>
      <c r="W144" s="16" t="s">
        <v>111</v>
      </c>
      <c r="Y144" s="7">
        <v>42880</v>
      </c>
      <c r="Z144" s="25" t="s">
        <v>67</v>
      </c>
      <c r="AA144" s="7" t="s">
        <v>3111</v>
      </c>
    </row>
    <row r="145" spans="1:34" ht="15.75" customHeight="1" thickBot="1">
      <c r="A145" s="286"/>
      <c r="C145" s="28">
        <v>11</v>
      </c>
      <c r="D145" s="28">
        <v>18403</v>
      </c>
      <c r="E145" s="28" t="s">
        <v>3540</v>
      </c>
      <c r="F145" s="29">
        <v>29405181900422</v>
      </c>
      <c r="G145" s="28" t="s">
        <v>129</v>
      </c>
      <c r="H145" s="28" t="s">
        <v>3662</v>
      </c>
      <c r="I145" s="28" t="s">
        <v>66</v>
      </c>
      <c r="J145" s="30">
        <v>42854</v>
      </c>
      <c r="K145" s="28" t="s">
        <v>8</v>
      </c>
      <c r="L145" s="28" t="s">
        <v>12</v>
      </c>
      <c r="M145" s="28"/>
      <c r="N145" s="28"/>
      <c r="O145" s="226"/>
      <c r="P145" s="28"/>
      <c r="Q145" s="226"/>
      <c r="R145" s="28"/>
      <c r="S145" s="28"/>
      <c r="T145" s="28"/>
      <c r="U145" s="28"/>
      <c r="V145" s="28"/>
      <c r="W145" s="28" t="s">
        <v>61</v>
      </c>
      <c r="X145" s="28"/>
      <c r="Y145" s="30">
        <v>42880</v>
      </c>
      <c r="Z145" s="28" t="s">
        <v>67</v>
      </c>
      <c r="AA145" s="30" t="s">
        <v>3111</v>
      </c>
      <c r="AB145" s="28"/>
    </row>
    <row r="146" spans="1:34" ht="15" customHeight="1" thickTop="1">
      <c r="A146" s="290" t="s">
        <v>1249</v>
      </c>
      <c r="C146" s="16">
        <v>12</v>
      </c>
      <c r="D146" s="16">
        <v>18404</v>
      </c>
      <c r="E146" s="16" t="s">
        <v>3086</v>
      </c>
      <c r="F146" s="3">
        <v>29212148800231</v>
      </c>
      <c r="G146" s="16" t="s">
        <v>184</v>
      </c>
      <c r="H146" s="16" t="s">
        <v>3097</v>
      </c>
      <c r="I146" s="16" t="s">
        <v>66</v>
      </c>
      <c r="J146" s="45">
        <v>42854</v>
      </c>
      <c r="K146" s="16" t="s">
        <v>8</v>
      </c>
      <c r="L146" s="16" t="s">
        <v>12</v>
      </c>
      <c r="M146" s="16"/>
      <c r="N146" s="16"/>
      <c r="W146" s="16" t="s">
        <v>111</v>
      </c>
      <c r="X146" s="16"/>
      <c r="Y146" s="45">
        <v>42880</v>
      </c>
      <c r="Z146" s="16" t="s">
        <v>67</v>
      </c>
      <c r="AA146" s="45"/>
      <c r="AB146" s="16"/>
    </row>
    <row r="147" spans="1:34" ht="15" customHeight="1">
      <c r="A147" s="290"/>
      <c r="C147" s="16">
        <v>12</v>
      </c>
      <c r="D147" s="2">
        <v>18405</v>
      </c>
      <c r="E147" s="2" t="s">
        <v>3087</v>
      </c>
      <c r="F147" s="3">
        <v>29706218800407</v>
      </c>
      <c r="G147" s="2" t="s">
        <v>184</v>
      </c>
      <c r="H147" s="2" t="s">
        <v>3098</v>
      </c>
      <c r="I147" s="2" t="s">
        <v>66</v>
      </c>
      <c r="J147" s="4">
        <v>42854</v>
      </c>
      <c r="K147" s="2" t="s">
        <v>8</v>
      </c>
      <c r="L147" s="2" t="s">
        <v>12</v>
      </c>
      <c r="W147" s="16" t="s">
        <v>60</v>
      </c>
      <c r="Y147" s="4">
        <v>42880</v>
      </c>
      <c r="Z147" s="16" t="s">
        <v>66</v>
      </c>
      <c r="AD147" s="307" t="s">
        <v>772</v>
      </c>
      <c r="AE147" s="307"/>
      <c r="AG147" s="313" t="s">
        <v>774</v>
      </c>
      <c r="AH147" s="313"/>
    </row>
    <row r="148" spans="1:34" ht="15" customHeight="1">
      <c r="A148" s="290"/>
      <c r="C148" s="16">
        <v>12</v>
      </c>
      <c r="D148" s="2">
        <v>18406</v>
      </c>
      <c r="E148" s="2" t="s">
        <v>3088</v>
      </c>
      <c r="F148" s="3">
        <v>28504010107915</v>
      </c>
      <c r="G148" s="2" t="s">
        <v>34</v>
      </c>
      <c r="H148" s="2" t="s">
        <v>3099</v>
      </c>
      <c r="I148" s="2" t="s">
        <v>66</v>
      </c>
      <c r="J148" s="4">
        <v>42854</v>
      </c>
      <c r="K148" s="2" t="s">
        <v>8</v>
      </c>
      <c r="L148" s="2" t="s">
        <v>12</v>
      </c>
      <c r="W148" s="16" t="s">
        <v>60</v>
      </c>
      <c r="Y148" s="7">
        <v>42880</v>
      </c>
      <c r="Z148" s="16" t="s">
        <v>66</v>
      </c>
      <c r="AD148" s="295">
        <f>COUNTIF(E2:E1048576,"*")</f>
        <v>3097</v>
      </c>
      <c r="AE148" s="295"/>
      <c r="AG148" s="295">
        <f>COUNTIF(W2:W1048576,"Resigned")+COUNTIF(W2:W1048576,"Dismissed")</f>
        <v>398</v>
      </c>
      <c r="AH148" s="295"/>
    </row>
    <row r="149" spans="1:34" ht="15" customHeight="1">
      <c r="A149" s="290"/>
      <c r="C149" s="16">
        <v>12</v>
      </c>
      <c r="D149" s="2">
        <v>18408</v>
      </c>
      <c r="E149" s="2" t="s">
        <v>3089</v>
      </c>
      <c r="F149" s="3">
        <v>28801010135492</v>
      </c>
      <c r="G149" s="2" t="s">
        <v>34</v>
      </c>
      <c r="H149" s="2" t="s">
        <v>3100</v>
      </c>
      <c r="I149" s="2" t="s">
        <v>66</v>
      </c>
      <c r="J149" s="4">
        <v>42854</v>
      </c>
      <c r="K149" s="2" t="s">
        <v>8</v>
      </c>
      <c r="L149" s="2" t="s">
        <v>12</v>
      </c>
      <c r="W149" s="16" t="s">
        <v>111</v>
      </c>
      <c r="Y149" s="7">
        <v>42880</v>
      </c>
      <c r="Z149" s="16" t="s">
        <v>67</v>
      </c>
    </row>
    <row r="150" spans="1:34" ht="15" customHeight="1">
      <c r="A150" s="290"/>
      <c r="B150" s="20"/>
      <c r="C150" s="16">
        <v>12</v>
      </c>
      <c r="D150" s="2">
        <v>18409</v>
      </c>
      <c r="E150" s="2" t="s">
        <v>3090</v>
      </c>
      <c r="F150" s="3">
        <v>28806198800244</v>
      </c>
      <c r="G150" s="2" t="s">
        <v>34</v>
      </c>
      <c r="H150" s="2" t="s">
        <v>3101</v>
      </c>
      <c r="I150" s="2" t="s">
        <v>66</v>
      </c>
      <c r="J150" s="4">
        <v>42854</v>
      </c>
      <c r="K150" s="2" t="s">
        <v>8</v>
      </c>
      <c r="L150" s="2" t="s">
        <v>12</v>
      </c>
      <c r="W150" s="16" t="s">
        <v>60</v>
      </c>
      <c r="Y150" s="7">
        <v>42880</v>
      </c>
      <c r="Z150" s="16" t="s">
        <v>67</v>
      </c>
      <c r="AC150" s="20"/>
      <c r="AE150" s="308" t="s">
        <v>4501</v>
      </c>
      <c r="AF150" s="309"/>
      <c r="AG150" s="319"/>
    </row>
    <row r="151" spans="1:34" ht="15" customHeight="1">
      <c r="A151" s="290"/>
      <c r="B151" s="20"/>
      <c r="C151" s="16">
        <v>12</v>
      </c>
      <c r="D151" s="2">
        <v>18410</v>
      </c>
      <c r="E151" s="2" t="s">
        <v>3091</v>
      </c>
      <c r="F151" s="3">
        <v>29211122102823</v>
      </c>
      <c r="G151" s="2" t="s">
        <v>184</v>
      </c>
      <c r="H151" s="2" t="s">
        <v>3102</v>
      </c>
      <c r="I151" s="2" t="s">
        <v>66</v>
      </c>
      <c r="J151" s="4">
        <v>42854</v>
      </c>
      <c r="K151" s="2" t="s">
        <v>8</v>
      </c>
      <c r="L151" s="2" t="s">
        <v>12</v>
      </c>
      <c r="W151" s="16" t="s">
        <v>60</v>
      </c>
      <c r="Y151" s="7">
        <v>42880</v>
      </c>
      <c r="Z151" s="16" t="s">
        <v>67</v>
      </c>
      <c r="AC151" s="20"/>
      <c r="AE151" s="320">
        <f>AD148-AG148</f>
        <v>2699</v>
      </c>
      <c r="AF151" s="321"/>
      <c r="AG151" s="322"/>
    </row>
    <row r="152" spans="1:34" ht="15" customHeight="1">
      <c r="A152" s="290"/>
      <c r="C152" s="16">
        <v>12</v>
      </c>
      <c r="D152" s="2">
        <v>18411</v>
      </c>
      <c r="E152" s="2" t="s">
        <v>3092</v>
      </c>
      <c r="F152" s="3">
        <v>29110010107597</v>
      </c>
      <c r="G152" s="2" t="s">
        <v>34</v>
      </c>
      <c r="H152" s="2" t="s">
        <v>3103</v>
      </c>
      <c r="I152" s="2" t="s">
        <v>66</v>
      </c>
      <c r="J152" s="4">
        <v>42854</v>
      </c>
      <c r="K152" s="2" t="s">
        <v>8</v>
      </c>
      <c r="L152" s="2" t="s">
        <v>12</v>
      </c>
      <c r="W152" s="16" t="s">
        <v>111</v>
      </c>
      <c r="Y152" s="7">
        <v>42880</v>
      </c>
      <c r="Z152" s="16" t="s">
        <v>67</v>
      </c>
    </row>
    <row r="153" spans="1:34" ht="15" customHeight="1">
      <c r="A153" s="290"/>
      <c r="C153" s="16">
        <v>12</v>
      </c>
      <c r="D153" s="2">
        <v>18412</v>
      </c>
      <c r="E153" s="2" t="s">
        <v>3093</v>
      </c>
      <c r="F153" s="3">
        <v>28112141303358</v>
      </c>
      <c r="G153" s="2" t="s">
        <v>34</v>
      </c>
      <c r="H153" s="2" t="s">
        <v>3104</v>
      </c>
      <c r="I153" s="2" t="s">
        <v>66</v>
      </c>
      <c r="J153" s="4">
        <v>42854</v>
      </c>
      <c r="K153" s="2" t="s">
        <v>8</v>
      </c>
      <c r="L153" s="2" t="s">
        <v>12</v>
      </c>
      <c r="W153" s="16" t="s">
        <v>60</v>
      </c>
      <c r="Y153" s="7">
        <v>42880</v>
      </c>
      <c r="Z153" s="16" t="s">
        <v>66</v>
      </c>
      <c r="AD153" s="308" t="s">
        <v>773</v>
      </c>
      <c r="AE153" s="309"/>
      <c r="AG153" s="313" t="s">
        <v>775</v>
      </c>
      <c r="AH153" s="313"/>
    </row>
    <row r="154" spans="1:34" ht="15" customHeight="1">
      <c r="A154" s="290"/>
      <c r="C154" s="16">
        <v>12</v>
      </c>
      <c r="D154" s="2">
        <v>18413</v>
      </c>
      <c r="E154" s="2" t="s">
        <v>3094</v>
      </c>
      <c r="F154" s="3">
        <v>29407152103079</v>
      </c>
      <c r="G154" s="2" t="s">
        <v>184</v>
      </c>
      <c r="H154" s="2" t="s">
        <v>3105</v>
      </c>
      <c r="I154" s="2" t="s">
        <v>66</v>
      </c>
      <c r="J154" s="4">
        <v>42854</v>
      </c>
      <c r="K154" s="2" t="s">
        <v>8</v>
      </c>
      <c r="L154" s="2" t="s">
        <v>12</v>
      </c>
      <c r="W154" s="16" t="s">
        <v>61</v>
      </c>
      <c r="Y154" s="7">
        <v>42880</v>
      </c>
      <c r="Z154" s="16" t="s">
        <v>67</v>
      </c>
      <c r="AB154" s="2" t="s">
        <v>5716</v>
      </c>
      <c r="AD154" s="295">
        <f>COUNTIF(Z2:Z1048576,"Yes")</f>
        <v>1870</v>
      </c>
      <c r="AE154" s="295"/>
      <c r="AG154" s="295">
        <f>AE151-AD154</f>
        <v>829</v>
      </c>
      <c r="AH154" s="295"/>
    </row>
    <row r="155" spans="1:34" ht="15" customHeight="1">
      <c r="A155" s="290"/>
      <c r="C155" s="16">
        <v>12</v>
      </c>
      <c r="D155" s="2">
        <v>18414</v>
      </c>
      <c r="E155" s="2" t="s">
        <v>3095</v>
      </c>
      <c r="F155" s="3">
        <v>27911090100372</v>
      </c>
      <c r="G155" s="2" t="s">
        <v>34</v>
      </c>
      <c r="H155" s="2" t="s">
        <v>3106</v>
      </c>
      <c r="I155" s="2" t="s">
        <v>66</v>
      </c>
      <c r="J155" s="4">
        <v>42854</v>
      </c>
      <c r="K155" s="2" t="s">
        <v>8</v>
      </c>
      <c r="L155" s="2" t="s">
        <v>12</v>
      </c>
      <c r="W155" s="16" t="s">
        <v>61</v>
      </c>
      <c r="X155" s="16"/>
      <c r="Y155" s="7">
        <v>42880</v>
      </c>
      <c r="Z155" s="16" t="s">
        <v>67</v>
      </c>
    </row>
    <row r="156" spans="1:34" ht="15.75" customHeight="1" thickBot="1">
      <c r="A156" s="291"/>
      <c r="C156" s="28">
        <v>12</v>
      </c>
      <c r="D156" s="28">
        <v>18415</v>
      </c>
      <c r="E156" s="28" t="s">
        <v>3096</v>
      </c>
      <c r="F156" s="29">
        <v>28910151507666</v>
      </c>
      <c r="G156" s="28" t="s">
        <v>34</v>
      </c>
      <c r="H156" s="28" t="s">
        <v>3107</v>
      </c>
      <c r="I156" s="28" t="s">
        <v>66</v>
      </c>
      <c r="J156" s="30">
        <v>42854</v>
      </c>
      <c r="K156" s="28" t="s">
        <v>8</v>
      </c>
      <c r="L156" s="28" t="s">
        <v>12</v>
      </c>
      <c r="M156" s="28"/>
      <c r="N156" s="28"/>
      <c r="O156" s="226"/>
      <c r="P156" s="28"/>
      <c r="Q156" s="226"/>
      <c r="R156" s="28"/>
      <c r="S156" s="28"/>
      <c r="T156" s="28"/>
      <c r="U156" s="28"/>
      <c r="V156" s="28"/>
      <c r="W156" s="28" t="s">
        <v>111</v>
      </c>
      <c r="X156" s="28"/>
      <c r="Y156" s="30">
        <v>42880</v>
      </c>
      <c r="Z156" s="28" t="s">
        <v>67</v>
      </c>
      <c r="AA156" s="30"/>
      <c r="AB156" s="28"/>
    </row>
    <row r="157" spans="1:34" ht="15.75" customHeight="1" thickTop="1">
      <c r="A157" s="289" t="s">
        <v>3118</v>
      </c>
      <c r="C157" s="25">
        <v>13</v>
      </c>
      <c r="D157" s="25">
        <v>18558</v>
      </c>
      <c r="E157" s="25" t="s">
        <v>3069</v>
      </c>
      <c r="F157" s="26">
        <v>29306011700081</v>
      </c>
      <c r="G157" s="25" t="s">
        <v>34</v>
      </c>
      <c r="H157" s="25" t="s">
        <v>3078</v>
      </c>
      <c r="I157" s="25" t="s">
        <v>66</v>
      </c>
      <c r="J157" s="27">
        <v>42866</v>
      </c>
      <c r="K157" s="25" t="s">
        <v>8</v>
      </c>
      <c r="L157" s="25" t="s">
        <v>12</v>
      </c>
      <c r="M157" s="25"/>
      <c r="N157" s="25"/>
      <c r="O157" s="224"/>
      <c r="P157" s="25"/>
      <c r="Q157" s="224"/>
      <c r="R157" s="25"/>
      <c r="S157" s="25"/>
      <c r="T157" s="25"/>
      <c r="U157" s="25"/>
      <c r="V157" s="25"/>
      <c r="W157" s="25" t="s">
        <v>60</v>
      </c>
      <c r="X157" s="25"/>
      <c r="Y157" s="27">
        <v>42894</v>
      </c>
      <c r="Z157" s="25" t="s">
        <v>66</v>
      </c>
      <c r="AA157" s="27">
        <v>42933</v>
      </c>
      <c r="AB157" s="25"/>
      <c r="AD157" s="310" t="s">
        <v>3130</v>
      </c>
      <c r="AE157" s="311"/>
      <c r="AF157" s="311"/>
      <c r="AG157" s="312"/>
    </row>
    <row r="158" spans="1:34" ht="15" customHeight="1">
      <c r="A158" s="290"/>
      <c r="C158" s="16">
        <v>13</v>
      </c>
      <c r="D158" s="2">
        <v>18559</v>
      </c>
      <c r="E158" s="2" t="s">
        <v>3070</v>
      </c>
      <c r="F158" s="3">
        <v>29302072100374</v>
      </c>
      <c r="G158" s="2" t="s">
        <v>34</v>
      </c>
      <c r="H158" s="2" t="s">
        <v>3079</v>
      </c>
      <c r="I158" s="2" t="s">
        <v>66</v>
      </c>
      <c r="J158" s="4">
        <v>42866</v>
      </c>
      <c r="K158" s="2" t="s">
        <v>8</v>
      </c>
      <c r="L158" s="2" t="s">
        <v>12</v>
      </c>
      <c r="W158" s="16" t="s">
        <v>111</v>
      </c>
      <c r="X158" s="16" t="s">
        <v>66</v>
      </c>
      <c r="Y158" s="7">
        <v>42894</v>
      </c>
      <c r="Z158" s="16" t="s">
        <v>66</v>
      </c>
      <c r="AA158" s="7">
        <v>42947</v>
      </c>
      <c r="AD158" s="24">
        <f>COUNTIF(A2:A1048576,"Megahed")</f>
        <v>18</v>
      </c>
      <c r="AE158" s="314" t="s">
        <v>3118</v>
      </c>
      <c r="AF158" s="314"/>
      <c r="AG158" s="314"/>
    </row>
    <row r="159" spans="1:34" ht="15" customHeight="1">
      <c r="A159" s="290"/>
      <c r="C159" s="16">
        <v>13</v>
      </c>
      <c r="D159" s="2">
        <v>18560</v>
      </c>
      <c r="E159" s="2" t="s">
        <v>3071</v>
      </c>
      <c r="F159" s="3">
        <v>27602152701791</v>
      </c>
      <c r="G159" s="2" t="s">
        <v>34</v>
      </c>
      <c r="H159" s="2" t="s">
        <v>3080</v>
      </c>
      <c r="I159" s="2" t="s">
        <v>66</v>
      </c>
      <c r="J159" s="4">
        <v>42866</v>
      </c>
      <c r="K159" s="2" t="s">
        <v>8</v>
      </c>
      <c r="L159" s="2" t="s">
        <v>12</v>
      </c>
      <c r="W159" s="16" t="s">
        <v>111</v>
      </c>
      <c r="X159" s="16"/>
      <c r="Y159" s="7">
        <v>42894</v>
      </c>
      <c r="Z159" s="16" t="s">
        <v>66</v>
      </c>
      <c r="AD159" s="24">
        <f>COUNTIF(A2:A1048576,"Peter")</f>
        <v>13</v>
      </c>
      <c r="AE159" s="314" t="s">
        <v>3119</v>
      </c>
      <c r="AF159" s="314"/>
      <c r="AG159" s="314"/>
    </row>
    <row r="160" spans="1:34" ht="15" customHeight="1">
      <c r="A160" s="290"/>
      <c r="C160" s="16">
        <v>13</v>
      </c>
      <c r="D160" s="16">
        <v>18561</v>
      </c>
      <c r="E160" s="16" t="s">
        <v>3072</v>
      </c>
      <c r="F160" s="3">
        <v>29503260100158</v>
      </c>
      <c r="G160" s="16" t="s">
        <v>184</v>
      </c>
      <c r="H160" s="16" t="s">
        <v>3081</v>
      </c>
      <c r="I160" s="16" t="s">
        <v>66</v>
      </c>
      <c r="J160" s="45">
        <v>42866</v>
      </c>
      <c r="K160" s="16" t="s">
        <v>8</v>
      </c>
      <c r="L160" s="16" t="s">
        <v>12</v>
      </c>
      <c r="M160" s="16"/>
      <c r="N160" s="16"/>
      <c r="W160" s="16" t="s">
        <v>111</v>
      </c>
      <c r="X160" s="16" t="s">
        <v>66</v>
      </c>
      <c r="Y160" s="45">
        <v>42894</v>
      </c>
      <c r="Z160" s="16" t="s">
        <v>67</v>
      </c>
      <c r="AA160" s="45"/>
      <c r="AB160" s="16"/>
      <c r="AD160" s="24">
        <f>COUNTIF(A2:A1048576,"Kurdi")</f>
        <v>5</v>
      </c>
      <c r="AE160" s="314" t="s">
        <v>3123</v>
      </c>
      <c r="AF160" s="314"/>
      <c r="AG160" s="314"/>
    </row>
    <row r="161" spans="1:34" ht="15" customHeight="1">
      <c r="A161" s="290"/>
      <c r="C161" s="16">
        <v>13</v>
      </c>
      <c r="D161" s="16">
        <v>18562</v>
      </c>
      <c r="E161" s="16" t="s">
        <v>3073</v>
      </c>
      <c r="F161" s="3">
        <v>29105270100053</v>
      </c>
      <c r="G161" s="16" t="s">
        <v>34</v>
      </c>
      <c r="H161" s="16" t="s">
        <v>3082</v>
      </c>
      <c r="I161" s="16" t="s">
        <v>66</v>
      </c>
      <c r="J161" s="45">
        <v>42866</v>
      </c>
      <c r="K161" s="16" t="s">
        <v>8</v>
      </c>
      <c r="L161" s="16" t="s">
        <v>12</v>
      </c>
      <c r="M161" s="16"/>
      <c r="N161" s="16"/>
      <c r="W161" s="16" t="s">
        <v>111</v>
      </c>
      <c r="X161" s="16"/>
      <c r="Y161" s="45">
        <v>42894</v>
      </c>
      <c r="Z161" s="16" t="s">
        <v>67</v>
      </c>
      <c r="AA161" s="45"/>
      <c r="AB161" s="16"/>
      <c r="AD161" s="24">
        <f>COUNTIF(A2:A1048576,"Hala")</f>
        <v>18</v>
      </c>
      <c r="AE161" s="314" t="s">
        <v>3127</v>
      </c>
      <c r="AF161" s="314"/>
      <c r="AG161" s="314"/>
    </row>
    <row r="162" spans="1:34" ht="15" customHeight="1">
      <c r="A162" s="290"/>
      <c r="C162" s="16">
        <v>13</v>
      </c>
      <c r="D162" s="16">
        <v>18563</v>
      </c>
      <c r="E162" s="16" t="s">
        <v>3074</v>
      </c>
      <c r="F162" s="3">
        <v>28801230105039</v>
      </c>
      <c r="G162" s="16"/>
      <c r="H162" s="16" t="s">
        <v>3083</v>
      </c>
      <c r="I162" s="16" t="s">
        <v>66</v>
      </c>
      <c r="J162" s="45">
        <v>42866</v>
      </c>
      <c r="K162" s="16" t="s">
        <v>8</v>
      </c>
      <c r="L162" s="16" t="s">
        <v>12</v>
      </c>
      <c r="M162" s="16"/>
      <c r="N162" s="16"/>
      <c r="W162" s="16" t="s">
        <v>111</v>
      </c>
      <c r="X162" s="16"/>
      <c r="Y162" s="45">
        <v>42894</v>
      </c>
      <c r="Z162" s="16" t="s">
        <v>67</v>
      </c>
      <c r="AA162" s="45"/>
      <c r="AB162" s="16"/>
      <c r="AD162" s="24">
        <f>COUNTIF(A2:A1048576,"Dalia")</f>
        <v>19</v>
      </c>
      <c r="AE162" s="314" t="s">
        <v>3124</v>
      </c>
      <c r="AF162" s="314"/>
      <c r="AG162" s="314"/>
    </row>
    <row r="163" spans="1:34" ht="15" customHeight="1">
      <c r="A163" s="290"/>
      <c r="C163" s="16">
        <v>13</v>
      </c>
      <c r="D163" s="2">
        <v>9723</v>
      </c>
      <c r="E163" s="2" t="s">
        <v>3075</v>
      </c>
      <c r="F163" s="3">
        <v>28109180100595</v>
      </c>
      <c r="G163" s="16" t="s">
        <v>34</v>
      </c>
      <c r="H163" s="2" t="s">
        <v>3084</v>
      </c>
      <c r="I163" s="2" t="s">
        <v>67</v>
      </c>
      <c r="J163" s="4">
        <v>42866</v>
      </c>
      <c r="K163" s="2" t="s">
        <v>8</v>
      </c>
      <c r="L163" s="2" t="s">
        <v>12</v>
      </c>
      <c r="W163" s="16" t="s">
        <v>111</v>
      </c>
      <c r="Y163" s="7">
        <v>42894</v>
      </c>
      <c r="Z163" s="16" t="s">
        <v>66</v>
      </c>
      <c r="AA163" s="7">
        <v>42942</v>
      </c>
      <c r="AD163" s="24">
        <f>COUNTIF(A2:A1048576,"Taghreed")</f>
        <v>6</v>
      </c>
      <c r="AE163" s="314" t="s">
        <v>3128</v>
      </c>
      <c r="AF163" s="314"/>
      <c r="AG163" s="314"/>
    </row>
    <row r="164" spans="1:34" ht="15.75" customHeight="1" thickBot="1">
      <c r="A164" s="291"/>
      <c r="C164" s="28">
        <v>13</v>
      </c>
      <c r="D164" s="28">
        <v>18564</v>
      </c>
      <c r="E164" s="28" t="s">
        <v>3076</v>
      </c>
      <c r="F164" s="29" t="s">
        <v>3077</v>
      </c>
      <c r="G164" s="28" t="s">
        <v>184</v>
      </c>
      <c r="H164" s="28" t="s">
        <v>3085</v>
      </c>
      <c r="I164" s="28" t="s">
        <v>66</v>
      </c>
      <c r="J164" s="30">
        <v>42866</v>
      </c>
      <c r="K164" s="28" t="s">
        <v>8</v>
      </c>
      <c r="L164" s="28" t="s">
        <v>12</v>
      </c>
      <c r="M164" s="28"/>
      <c r="N164" s="28"/>
      <c r="O164" s="226"/>
      <c r="P164" s="28"/>
      <c r="Q164" s="226"/>
      <c r="R164" s="28"/>
      <c r="S164" s="28"/>
      <c r="T164" s="28"/>
      <c r="U164" s="28"/>
      <c r="V164" s="28"/>
      <c r="W164" s="28" t="s">
        <v>60</v>
      </c>
      <c r="X164" s="28"/>
      <c r="Y164" s="30">
        <v>42894</v>
      </c>
      <c r="Z164" s="28" t="s">
        <v>66</v>
      </c>
      <c r="AA164" s="30">
        <v>42933</v>
      </c>
      <c r="AB164" s="28"/>
      <c r="AD164" s="24">
        <f>COUNTIF(A2:A1048576,"Asmaa")</f>
        <v>12</v>
      </c>
      <c r="AE164" s="314" t="s">
        <v>3125</v>
      </c>
      <c r="AF164" s="314"/>
      <c r="AG164" s="314"/>
    </row>
    <row r="165" spans="1:34" ht="15.75" customHeight="1" thickTop="1">
      <c r="A165" s="284" t="s">
        <v>3119</v>
      </c>
      <c r="C165" s="16">
        <v>14</v>
      </c>
      <c r="D165" s="2">
        <v>18565</v>
      </c>
      <c r="E165" s="2" t="s">
        <v>3035</v>
      </c>
      <c r="F165" s="3">
        <v>27801148800434</v>
      </c>
      <c r="G165" s="2" t="s">
        <v>34</v>
      </c>
      <c r="H165" s="2" t="s">
        <v>3052</v>
      </c>
      <c r="I165" s="2" t="s">
        <v>66</v>
      </c>
      <c r="J165" s="4">
        <v>42883</v>
      </c>
      <c r="K165" s="2" t="s">
        <v>8</v>
      </c>
      <c r="L165" s="2" t="s">
        <v>12</v>
      </c>
      <c r="W165" s="16" t="s">
        <v>63</v>
      </c>
      <c r="X165" s="16"/>
      <c r="Z165" s="16" t="s">
        <v>67</v>
      </c>
      <c r="AA165" s="7" t="s">
        <v>3111</v>
      </c>
      <c r="AD165" s="24">
        <f>COUNTIF(A2:A1048576,"Abanoob")</f>
        <v>26</v>
      </c>
      <c r="AE165" s="314" t="s">
        <v>3120</v>
      </c>
      <c r="AF165" s="314"/>
      <c r="AG165" s="314"/>
    </row>
    <row r="166" spans="1:34" ht="15" customHeight="1">
      <c r="A166" s="285"/>
      <c r="C166" s="16">
        <v>14</v>
      </c>
      <c r="D166" s="2">
        <v>18566</v>
      </c>
      <c r="E166" s="2" t="s">
        <v>3036</v>
      </c>
      <c r="F166" s="3">
        <v>29310010108401</v>
      </c>
      <c r="G166" s="2" t="s">
        <v>34</v>
      </c>
      <c r="H166" s="2" t="s">
        <v>3053</v>
      </c>
      <c r="I166" s="2" t="s">
        <v>66</v>
      </c>
      <c r="J166" s="4">
        <v>42883</v>
      </c>
      <c r="K166" s="2" t="s">
        <v>8</v>
      </c>
      <c r="L166" s="2" t="s">
        <v>12</v>
      </c>
      <c r="W166" s="16" t="s">
        <v>59</v>
      </c>
      <c r="X166" s="16" t="s">
        <v>66</v>
      </c>
      <c r="Y166" s="7">
        <v>42908</v>
      </c>
      <c r="Z166" s="16" t="s">
        <v>67</v>
      </c>
      <c r="AA166" s="7" t="s">
        <v>3111</v>
      </c>
      <c r="AD166" s="24">
        <f>COUNTIF(A2:A1048576,"Reem")</f>
        <v>10</v>
      </c>
      <c r="AE166" s="315" t="s">
        <v>1249</v>
      </c>
      <c r="AF166" s="316"/>
      <c r="AG166" s="317"/>
    </row>
    <row r="167" spans="1:34" ht="15" customHeight="1">
      <c r="A167" s="285"/>
      <c r="C167" s="16">
        <v>14</v>
      </c>
      <c r="D167" s="2">
        <v>18567</v>
      </c>
      <c r="E167" s="2" t="s">
        <v>3037</v>
      </c>
      <c r="F167" s="3">
        <v>28912168800252</v>
      </c>
      <c r="G167" s="16"/>
      <c r="H167" s="2" t="s">
        <v>3054</v>
      </c>
      <c r="I167" s="2" t="s">
        <v>66</v>
      </c>
      <c r="J167" s="4">
        <v>42883</v>
      </c>
      <c r="K167" s="2" t="s">
        <v>8</v>
      </c>
      <c r="L167" s="2" t="s">
        <v>12</v>
      </c>
      <c r="W167" s="16" t="s">
        <v>64</v>
      </c>
      <c r="X167" s="16"/>
      <c r="Z167" s="16" t="s">
        <v>67</v>
      </c>
      <c r="AA167" s="7" t="s">
        <v>3111</v>
      </c>
      <c r="AD167" s="24">
        <f>COUNTIF(A2:A1048576,"Shady")</f>
        <v>13</v>
      </c>
      <c r="AE167" s="315" t="s">
        <v>3122</v>
      </c>
      <c r="AF167" s="316"/>
      <c r="AG167" s="317"/>
    </row>
    <row r="168" spans="1:34" ht="15" customHeight="1">
      <c r="A168" s="285"/>
      <c r="C168" s="16">
        <v>14</v>
      </c>
      <c r="D168" s="2">
        <v>18568</v>
      </c>
      <c r="E168" s="2" t="s">
        <v>3038</v>
      </c>
      <c r="F168" s="3">
        <v>29401290103308</v>
      </c>
      <c r="G168" s="2" t="s">
        <v>184</v>
      </c>
      <c r="H168" s="2" t="s">
        <v>3055</v>
      </c>
      <c r="I168" s="2" t="s">
        <v>66</v>
      </c>
      <c r="J168" s="4">
        <v>42883</v>
      </c>
      <c r="K168" s="2" t="s">
        <v>8</v>
      </c>
      <c r="L168" s="2" t="s">
        <v>12</v>
      </c>
      <c r="W168" s="16" t="s">
        <v>60</v>
      </c>
      <c r="Y168" s="7">
        <v>42933</v>
      </c>
      <c r="Z168" s="16" t="s">
        <v>66</v>
      </c>
      <c r="AA168" s="7">
        <v>42933</v>
      </c>
      <c r="AD168" s="24">
        <f>COUNTIF(A2:A1048576,"Anwar")</f>
        <v>17</v>
      </c>
      <c r="AE168" s="314" t="s">
        <v>3129</v>
      </c>
      <c r="AF168" s="314"/>
      <c r="AG168" s="314"/>
    </row>
    <row r="169" spans="1:34" ht="15" customHeight="1">
      <c r="A169" s="285"/>
      <c r="C169" s="16">
        <v>14</v>
      </c>
      <c r="D169" s="2">
        <v>18569</v>
      </c>
      <c r="E169" s="2" t="s">
        <v>3039</v>
      </c>
      <c r="F169" s="3">
        <v>29404280101683</v>
      </c>
      <c r="G169" s="2" t="s">
        <v>34</v>
      </c>
      <c r="H169" s="2" t="s">
        <v>3056</v>
      </c>
      <c r="I169" s="2" t="s">
        <v>66</v>
      </c>
      <c r="J169" s="4">
        <v>42883</v>
      </c>
      <c r="K169" s="2" t="s">
        <v>8</v>
      </c>
      <c r="L169" s="2" t="s">
        <v>12</v>
      </c>
      <c r="W169" s="16" t="s">
        <v>61</v>
      </c>
      <c r="Y169" s="7">
        <v>42908</v>
      </c>
      <c r="Z169" s="16" t="s">
        <v>66</v>
      </c>
      <c r="AA169" s="7" t="s">
        <v>3111</v>
      </c>
      <c r="AD169" s="24">
        <f>COUNTIF(A2:A1048576,"AAA")</f>
        <v>3</v>
      </c>
      <c r="AE169" s="318" t="s">
        <v>3121</v>
      </c>
      <c r="AF169" s="318"/>
      <c r="AG169" s="318"/>
    </row>
    <row r="170" spans="1:34" ht="15" customHeight="1">
      <c r="A170" s="285"/>
      <c r="C170" s="16">
        <v>14</v>
      </c>
      <c r="D170" s="2">
        <v>18570</v>
      </c>
      <c r="E170" s="2" t="s">
        <v>3040</v>
      </c>
      <c r="F170" s="3">
        <v>29307280103532</v>
      </c>
      <c r="G170" s="2" t="s">
        <v>184</v>
      </c>
      <c r="H170" s="2" t="s">
        <v>3057</v>
      </c>
      <c r="I170" s="2" t="s">
        <v>66</v>
      </c>
      <c r="J170" s="4">
        <v>42883</v>
      </c>
      <c r="K170" s="2" t="s">
        <v>8</v>
      </c>
      <c r="L170" s="2" t="s">
        <v>12</v>
      </c>
      <c r="W170" s="16" t="s">
        <v>61</v>
      </c>
      <c r="Y170" s="7">
        <v>42908</v>
      </c>
      <c r="Z170" s="16" t="s">
        <v>66</v>
      </c>
      <c r="AA170" s="7" t="s">
        <v>3111</v>
      </c>
      <c r="AD170" s="24">
        <f>COUNTIF(A2:A1048576,"Hoda")</f>
        <v>5</v>
      </c>
      <c r="AE170" s="315" t="s">
        <v>3126</v>
      </c>
      <c r="AF170" s="316"/>
      <c r="AG170" s="317"/>
    </row>
    <row r="171" spans="1:34" ht="15" customHeight="1">
      <c r="A171" s="285"/>
      <c r="C171" s="16">
        <v>14</v>
      </c>
      <c r="D171" s="2">
        <v>18571</v>
      </c>
      <c r="E171" s="2" t="s">
        <v>3041</v>
      </c>
      <c r="F171" s="3">
        <v>28808130104773</v>
      </c>
      <c r="G171" s="2" t="s">
        <v>34</v>
      </c>
      <c r="H171" s="2" t="s">
        <v>3058</v>
      </c>
      <c r="I171" s="2" t="s">
        <v>66</v>
      </c>
      <c r="J171" s="4">
        <v>42883</v>
      </c>
      <c r="K171" s="2" t="s">
        <v>8</v>
      </c>
      <c r="L171" s="2" t="s">
        <v>12</v>
      </c>
      <c r="W171" s="16" t="s">
        <v>111</v>
      </c>
      <c r="X171" s="16"/>
      <c r="Y171" s="7">
        <v>43094</v>
      </c>
      <c r="Z171" s="16" t="s">
        <v>66</v>
      </c>
      <c r="AA171" s="7">
        <v>43094</v>
      </c>
    </row>
    <row r="172" spans="1:34" ht="15" customHeight="1">
      <c r="A172" s="285"/>
      <c r="C172" s="16">
        <v>14</v>
      </c>
      <c r="D172" s="2">
        <v>18572</v>
      </c>
      <c r="E172" s="2" t="s">
        <v>3042</v>
      </c>
      <c r="F172" s="3">
        <v>29411160104197</v>
      </c>
      <c r="G172" s="2" t="s">
        <v>184</v>
      </c>
      <c r="H172" s="2" t="s">
        <v>3059</v>
      </c>
      <c r="I172" s="2" t="s">
        <v>66</v>
      </c>
      <c r="J172" s="4">
        <v>42883</v>
      </c>
      <c r="K172" s="2" t="s">
        <v>8</v>
      </c>
      <c r="L172" s="2" t="s">
        <v>12</v>
      </c>
      <c r="W172" s="16" t="s">
        <v>63</v>
      </c>
      <c r="X172" s="16"/>
      <c r="Z172" s="16" t="s">
        <v>67</v>
      </c>
      <c r="AA172" s="7" t="s">
        <v>3111</v>
      </c>
      <c r="AD172" s="297" t="s">
        <v>4504</v>
      </c>
      <c r="AE172" s="297"/>
      <c r="AG172" s="298" t="s">
        <v>502</v>
      </c>
      <c r="AH172" s="298"/>
    </row>
    <row r="173" spans="1:34" ht="15" customHeight="1">
      <c r="A173" s="285"/>
      <c r="C173" s="16">
        <v>14</v>
      </c>
      <c r="D173" s="2">
        <v>18573</v>
      </c>
      <c r="E173" s="2" t="s">
        <v>3043</v>
      </c>
      <c r="F173" s="3">
        <v>29402288800251</v>
      </c>
      <c r="G173" s="2" t="s">
        <v>184</v>
      </c>
      <c r="H173" s="2" t="s">
        <v>3060</v>
      </c>
      <c r="I173" s="2" t="s">
        <v>66</v>
      </c>
      <c r="J173" s="4">
        <v>42883</v>
      </c>
      <c r="K173" s="2" t="s">
        <v>8</v>
      </c>
      <c r="L173" s="2" t="s">
        <v>12</v>
      </c>
      <c r="W173" s="16" t="s">
        <v>3108</v>
      </c>
      <c r="Y173" s="7">
        <v>42908</v>
      </c>
      <c r="Z173" s="16" t="s">
        <v>66</v>
      </c>
      <c r="AA173" s="7" t="s">
        <v>3111</v>
      </c>
      <c r="AD173" s="295">
        <f>COUNTIF(W2:W1048576,"Expedia")+COUNTIF(W2:W1048576,"Comp. Expedia")+COUNTIF(W2:W1048576,"Expedia OPM")</f>
        <v>705</v>
      </c>
      <c r="AE173" s="295"/>
      <c r="AG173" s="295">
        <f>COUNTIF(W2:W1048576,"WU")+COUNTIF(W2:W1048576,"Comp. WU")+COUNTIF(W2:W1048576,"Expedia/WU")</f>
        <v>102</v>
      </c>
      <c r="AH173" s="295"/>
    </row>
    <row r="174" spans="1:34" ht="15" customHeight="1">
      <c r="A174" s="285"/>
      <c r="C174" s="16">
        <v>14</v>
      </c>
      <c r="D174" s="16">
        <v>18574</v>
      </c>
      <c r="E174" s="16" t="s">
        <v>3045</v>
      </c>
      <c r="F174" s="3">
        <v>28204148800294</v>
      </c>
      <c r="G174" s="16" t="s">
        <v>34</v>
      </c>
      <c r="H174" s="16" t="s">
        <v>3062</v>
      </c>
      <c r="I174" s="16" t="s">
        <v>66</v>
      </c>
      <c r="J174" s="45">
        <v>42883</v>
      </c>
      <c r="K174" s="16" t="s">
        <v>8</v>
      </c>
      <c r="L174" s="16" t="s">
        <v>12</v>
      </c>
      <c r="M174" s="16"/>
      <c r="N174" s="16"/>
      <c r="W174" s="16" t="s">
        <v>61</v>
      </c>
      <c r="X174" s="16"/>
      <c r="Y174" s="45">
        <v>42908</v>
      </c>
      <c r="Z174" s="16" t="s">
        <v>66</v>
      </c>
      <c r="AA174" s="45" t="s">
        <v>3111</v>
      </c>
      <c r="AB174" s="16"/>
    </row>
    <row r="175" spans="1:34" ht="15" customHeight="1">
      <c r="A175" s="285"/>
      <c r="C175" s="16">
        <v>14</v>
      </c>
      <c r="D175" s="16">
        <v>18575</v>
      </c>
      <c r="E175" s="16" t="s">
        <v>3046</v>
      </c>
      <c r="F175" s="3">
        <v>29602058800324</v>
      </c>
      <c r="G175" s="16" t="s">
        <v>184</v>
      </c>
      <c r="H175" s="16" t="s">
        <v>3063</v>
      </c>
      <c r="I175" s="16" t="s">
        <v>66</v>
      </c>
      <c r="J175" s="45">
        <v>42883</v>
      </c>
      <c r="K175" s="16" t="s">
        <v>8</v>
      </c>
      <c r="L175" s="16" t="s">
        <v>12</v>
      </c>
      <c r="M175" s="16"/>
      <c r="N175" s="16"/>
      <c r="W175" s="16" t="s">
        <v>111</v>
      </c>
      <c r="X175" s="16"/>
      <c r="Y175" s="45">
        <v>42908</v>
      </c>
      <c r="Z175" s="16" t="s">
        <v>67</v>
      </c>
      <c r="AA175" s="45" t="s">
        <v>3111</v>
      </c>
      <c r="AB175" s="16"/>
      <c r="AD175" s="299" t="s">
        <v>4503</v>
      </c>
      <c r="AE175" s="299"/>
      <c r="AG175" s="300" t="s">
        <v>4502</v>
      </c>
      <c r="AH175" s="300"/>
    </row>
    <row r="176" spans="1:34" ht="15" customHeight="1">
      <c r="A176" s="285"/>
      <c r="C176" s="2">
        <v>14</v>
      </c>
      <c r="D176" s="2">
        <v>18576</v>
      </c>
      <c r="E176" s="2" t="s">
        <v>3047</v>
      </c>
      <c r="F176" s="3">
        <v>29709251600072</v>
      </c>
      <c r="G176" s="2" t="s">
        <v>184</v>
      </c>
      <c r="H176" s="2" t="s">
        <v>3064</v>
      </c>
      <c r="I176" s="2" t="s">
        <v>66</v>
      </c>
      <c r="J176" s="4">
        <v>42883</v>
      </c>
      <c r="K176" s="2" t="s">
        <v>8</v>
      </c>
      <c r="L176" s="2" t="s">
        <v>12</v>
      </c>
      <c r="W176" s="16" t="s">
        <v>59</v>
      </c>
      <c r="X176" s="2" t="s">
        <v>66</v>
      </c>
      <c r="Y176" s="7">
        <v>42908</v>
      </c>
      <c r="Z176" s="16" t="s">
        <v>67</v>
      </c>
      <c r="AD176" s="295">
        <f>COUNTIF(W2:W1048576,"Freedom")+COUNTIF(W2:W1048576,"Comp. Freedom")+COUNTIF(W2:W1048576,"Du Enterprise")+COUNTIF(W2:W1048576,"Comp. Du Enterprise")</f>
        <v>609</v>
      </c>
      <c r="AE176" s="295"/>
      <c r="AG176" s="295">
        <f>COUNTIF(W2:W1048576,"Nearshore")+COUNTIF(W2:W1048576,"Comp. Nearshore")</f>
        <v>613</v>
      </c>
      <c r="AH176" s="295"/>
    </row>
    <row r="177" spans="1:28" ht="15" customHeight="1">
      <c r="A177" s="285"/>
      <c r="C177" s="2">
        <v>14</v>
      </c>
      <c r="D177" s="2">
        <v>18577</v>
      </c>
      <c r="E177" s="2" t="s">
        <v>3048</v>
      </c>
      <c r="F177" s="3">
        <v>29603130101351</v>
      </c>
      <c r="G177" s="2" t="s">
        <v>184</v>
      </c>
      <c r="H177" s="2" t="s">
        <v>3065</v>
      </c>
      <c r="I177" s="2" t="s">
        <v>66</v>
      </c>
      <c r="J177" s="4">
        <v>42883</v>
      </c>
      <c r="K177" s="2" t="s">
        <v>8</v>
      </c>
      <c r="L177" s="2" t="s">
        <v>12</v>
      </c>
      <c r="W177" s="16" t="s">
        <v>111</v>
      </c>
      <c r="Y177" s="7">
        <v>42908</v>
      </c>
      <c r="Z177" s="16" t="s">
        <v>67</v>
      </c>
    </row>
    <row r="178" spans="1:28" ht="15" customHeight="1">
      <c r="A178" s="285"/>
      <c r="C178" s="2">
        <v>14</v>
      </c>
      <c r="D178" s="2">
        <v>18578</v>
      </c>
      <c r="E178" s="2" t="s">
        <v>3049</v>
      </c>
      <c r="F178" s="3">
        <v>29604022100213</v>
      </c>
      <c r="G178" s="2" t="s">
        <v>184</v>
      </c>
      <c r="H178" s="2" t="s">
        <v>3066</v>
      </c>
      <c r="I178" s="2" t="s">
        <v>66</v>
      </c>
      <c r="J178" s="4">
        <v>42883</v>
      </c>
      <c r="K178" s="2" t="s">
        <v>8</v>
      </c>
      <c r="L178" s="2" t="s">
        <v>12</v>
      </c>
      <c r="W178" s="16" t="s">
        <v>64</v>
      </c>
      <c r="Z178" s="16" t="s">
        <v>67</v>
      </c>
    </row>
    <row r="179" spans="1:28" ht="15" customHeight="1">
      <c r="A179" s="285"/>
      <c r="C179" s="16">
        <v>14</v>
      </c>
      <c r="D179" s="16">
        <v>18407</v>
      </c>
      <c r="E179" s="16" t="s">
        <v>3050</v>
      </c>
      <c r="F179" s="3">
        <v>29104120101136</v>
      </c>
      <c r="G179" s="16" t="s">
        <v>34</v>
      </c>
      <c r="H179" s="16" t="s">
        <v>3067</v>
      </c>
      <c r="I179" s="16" t="s">
        <v>67</v>
      </c>
      <c r="J179" s="45">
        <v>42883</v>
      </c>
      <c r="K179" s="16" t="s">
        <v>8</v>
      </c>
      <c r="L179" s="16" t="s">
        <v>12</v>
      </c>
      <c r="M179" s="16"/>
      <c r="N179" s="16"/>
      <c r="W179" s="16" t="s">
        <v>62</v>
      </c>
      <c r="X179" s="16"/>
      <c r="Y179" s="45"/>
      <c r="Z179" s="16" t="s">
        <v>66</v>
      </c>
      <c r="AA179" s="45">
        <v>42912</v>
      </c>
      <c r="AB179" s="16"/>
    </row>
    <row r="180" spans="1:28" ht="15.75" customHeight="1" thickBot="1">
      <c r="A180" s="286"/>
      <c r="C180" s="28">
        <v>14</v>
      </c>
      <c r="D180" s="28">
        <v>18598</v>
      </c>
      <c r="E180" s="28" t="s">
        <v>3051</v>
      </c>
      <c r="F180" s="29">
        <v>28411201700553</v>
      </c>
      <c r="G180" s="28" t="s">
        <v>34</v>
      </c>
      <c r="H180" s="28" t="s">
        <v>3068</v>
      </c>
      <c r="I180" s="28" t="s">
        <v>66</v>
      </c>
      <c r="J180" s="30">
        <v>42883</v>
      </c>
      <c r="K180" s="28" t="s">
        <v>8</v>
      </c>
      <c r="L180" s="28" t="s">
        <v>12</v>
      </c>
      <c r="M180" s="28"/>
      <c r="N180" s="28"/>
      <c r="O180" s="226"/>
      <c r="P180" s="28"/>
      <c r="Q180" s="226"/>
      <c r="R180" s="28"/>
      <c r="S180" s="28"/>
      <c r="T180" s="28"/>
      <c r="U180" s="28"/>
      <c r="V180" s="28"/>
      <c r="W180" s="28" t="s">
        <v>62</v>
      </c>
      <c r="X180" s="28"/>
      <c r="Y180" s="30">
        <v>42908</v>
      </c>
      <c r="Z180" s="28" t="s">
        <v>67</v>
      </c>
      <c r="AA180" s="30"/>
      <c r="AB180" s="28"/>
    </row>
    <row r="181" spans="1:28" ht="15.75" customHeight="1" thickTop="1">
      <c r="A181" s="289" t="s">
        <v>3120</v>
      </c>
      <c r="C181" s="2">
        <v>15</v>
      </c>
      <c r="D181" s="2">
        <v>16686</v>
      </c>
      <c r="E181" s="2" t="s">
        <v>3109</v>
      </c>
      <c r="F181" s="3">
        <v>28807011805252</v>
      </c>
      <c r="G181" s="2" t="s">
        <v>34</v>
      </c>
      <c r="H181" s="2" t="s">
        <v>3030</v>
      </c>
      <c r="I181" s="2" t="s">
        <v>67</v>
      </c>
      <c r="J181" s="4">
        <v>42883</v>
      </c>
      <c r="K181" s="2" t="s">
        <v>8</v>
      </c>
      <c r="L181" s="2" t="s">
        <v>12</v>
      </c>
      <c r="W181" s="16" t="s">
        <v>59</v>
      </c>
      <c r="X181" s="2" t="s">
        <v>66</v>
      </c>
      <c r="Z181" s="16" t="s">
        <v>67</v>
      </c>
    </row>
    <row r="182" spans="1:28" ht="15" customHeight="1">
      <c r="A182" s="290"/>
      <c r="C182" s="2">
        <v>15</v>
      </c>
      <c r="D182" s="2">
        <v>18579</v>
      </c>
      <c r="E182" s="2" t="s">
        <v>3006</v>
      </c>
      <c r="F182" s="3">
        <v>28607301200061</v>
      </c>
      <c r="G182" s="2" t="s">
        <v>34</v>
      </c>
      <c r="H182" s="2" t="s">
        <v>3025</v>
      </c>
      <c r="I182" s="2" t="s">
        <v>66</v>
      </c>
      <c r="J182" s="4">
        <v>42883</v>
      </c>
      <c r="K182" s="2" t="s">
        <v>8</v>
      </c>
      <c r="L182" s="2" t="s">
        <v>12</v>
      </c>
      <c r="W182" s="16" t="s">
        <v>111</v>
      </c>
      <c r="X182" s="2" t="s">
        <v>66</v>
      </c>
      <c r="Y182" s="7">
        <v>42908</v>
      </c>
      <c r="Z182" s="16" t="s">
        <v>67</v>
      </c>
    </row>
    <row r="183" spans="1:28" ht="15" customHeight="1">
      <c r="A183" s="290"/>
      <c r="C183" s="2">
        <v>15</v>
      </c>
      <c r="D183" s="2">
        <v>18580</v>
      </c>
      <c r="E183" s="2" t="s">
        <v>3011</v>
      </c>
      <c r="F183" s="3">
        <v>29710010107217</v>
      </c>
      <c r="G183" s="2" t="s">
        <v>184</v>
      </c>
      <c r="H183" s="2" t="s">
        <v>3031</v>
      </c>
      <c r="I183" s="2" t="s">
        <v>66</v>
      </c>
      <c r="J183" s="4">
        <v>42883</v>
      </c>
      <c r="K183" s="2" t="s">
        <v>8</v>
      </c>
      <c r="L183" s="2" t="s">
        <v>12</v>
      </c>
      <c r="W183" s="16" t="s">
        <v>61</v>
      </c>
      <c r="Y183" s="7">
        <v>42908</v>
      </c>
      <c r="Z183" s="16" t="s">
        <v>66</v>
      </c>
    </row>
    <row r="184" spans="1:28" ht="15" customHeight="1">
      <c r="A184" s="290"/>
      <c r="C184" s="2">
        <v>15</v>
      </c>
      <c r="D184" s="2">
        <v>18581</v>
      </c>
      <c r="E184" s="2" t="s">
        <v>2995</v>
      </c>
      <c r="F184" s="3">
        <v>29412291400359</v>
      </c>
      <c r="G184" s="2" t="s">
        <v>34</v>
      </c>
      <c r="H184" s="2" t="s">
        <v>3016</v>
      </c>
      <c r="I184" s="2" t="s">
        <v>66</v>
      </c>
      <c r="J184" s="4">
        <v>42883</v>
      </c>
      <c r="K184" s="2" t="s">
        <v>8</v>
      </c>
      <c r="L184" s="2" t="s">
        <v>12</v>
      </c>
      <c r="W184" s="16" t="s">
        <v>60</v>
      </c>
      <c r="Y184" s="7">
        <v>42908</v>
      </c>
      <c r="Z184" s="16" t="s">
        <v>66</v>
      </c>
      <c r="AB184" s="2" t="s">
        <v>3110</v>
      </c>
    </row>
    <row r="185" spans="1:28" ht="15" customHeight="1">
      <c r="A185" s="290"/>
      <c r="C185" s="2">
        <v>15</v>
      </c>
      <c r="D185" s="2">
        <v>18582</v>
      </c>
      <c r="E185" s="2" t="s">
        <v>3010</v>
      </c>
      <c r="F185" s="3">
        <v>29705081400272</v>
      </c>
      <c r="G185" s="2" t="s">
        <v>184</v>
      </c>
      <c r="H185" s="2" t="s">
        <v>3029</v>
      </c>
      <c r="I185" s="2" t="s">
        <v>66</v>
      </c>
      <c r="J185" s="4">
        <v>42883</v>
      </c>
      <c r="K185" s="2" t="s">
        <v>8</v>
      </c>
      <c r="L185" s="2" t="s">
        <v>12</v>
      </c>
      <c r="W185" s="16" t="s">
        <v>61</v>
      </c>
      <c r="Y185" s="7">
        <v>42908</v>
      </c>
      <c r="Z185" s="16" t="s">
        <v>66</v>
      </c>
    </row>
    <row r="186" spans="1:28" ht="15" customHeight="1">
      <c r="A186" s="290"/>
      <c r="C186" s="2">
        <v>15</v>
      </c>
      <c r="D186" s="2">
        <v>18583</v>
      </c>
      <c r="E186" s="2" t="s">
        <v>2997</v>
      </c>
      <c r="F186" s="3">
        <v>29302040105102</v>
      </c>
      <c r="G186" s="16" t="s">
        <v>34</v>
      </c>
      <c r="H186" s="2" t="s">
        <v>3018</v>
      </c>
      <c r="I186" s="2" t="s">
        <v>66</v>
      </c>
      <c r="J186" s="4">
        <v>42883</v>
      </c>
      <c r="K186" s="2" t="s">
        <v>8</v>
      </c>
      <c r="L186" s="2" t="s">
        <v>12</v>
      </c>
      <c r="W186" s="16" t="s">
        <v>111</v>
      </c>
      <c r="Y186" s="7">
        <v>42908</v>
      </c>
      <c r="Z186" s="16" t="s">
        <v>67</v>
      </c>
    </row>
    <row r="187" spans="1:28" ht="15" customHeight="1">
      <c r="A187" s="290"/>
      <c r="C187" s="16">
        <v>15</v>
      </c>
      <c r="D187" s="16">
        <v>18584</v>
      </c>
      <c r="E187" s="16" t="s">
        <v>3002</v>
      </c>
      <c r="F187" s="3">
        <v>29802160102312</v>
      </c>
      <c r="G187" s="16" t="s">
        <v>184</v>
      </c>
      <c r="H187" s="16" t="s">
        <v>3022</v>
      </c>
      <c r="I187" s="16" t="s">
        <v>66</v>
      </c>
      <c r="J187" s="45">
        <v>42883</v>
      </c>
      <c r="K187" s="16" t="s">
        <v>8</v>
      </c>
      <c r="L187" s="16" t="s">
        <v>12</v>
      </c>
      <c r="M187" s="16"/>
      <c r="N187" s="16"/>
      <c r="W187" s="16" t="s">
        <v>61</v>
      </c>
      <c r="X187" s="16"/>
      <c r="Y187" s="45">
        <v>42908</v>
      </c>
      <c r="Z187" s="16" t="s">
        <v>66</v>
      </c>
      <c r="AA187" s="45"/>
      <c r="AB187" s="16"/>
    </row>
    <row r="188" spans="1:28" ht="15" customHeight="1">
      <c r="A188" s="290"/>
      <c r="C188" s="16">
        <v>15</v>
      </c>
      <c r="D188" s="16">
        <v>18585</v>
      </c>
      <c r="E188" s="16" t="s">
        <v>2994</v>
      </c>
      <c r="F188" s="3">
        <v>29607270100971</v>
      </c>
      <c r="G188" s="16" t="s">
        <v>184</v>
      </c>
      <c r="H188" s="16" t="s">
        <v>3015</v>
      </c>
      <c r="I188" s="16" t="s">
        <v>66</v>
      </c>
      <c r="J188" s="45">
        <v>42883</v>
      </c>
      <c r="K188" s="16" t="s">
        <v>8</v>
      </c>
      <c r="L188" s="16" t="s">
        <v>12</v>
      </c>
      <c r="M188" s="16"/>
      <c r="N188" s="16"/>
      <c r="W188" s="16" t="s">
        <v>3108</v>
      </c>
      <c r="X188" s="16"/>
      <c r="Y188" s="45">
        <v>42908</v>
      </c>
      <c r="Z188" s="16" t="s">
        <v>66</v>
      </c>
      <c r="AA188" s="45"/>
      <c r="AB188" s="16" t="s">
        <v>6582</v>
      </c>
    </row>
    <row r="189" spans="1:28" ht="15" customHeight="1">
      <c r="A189" s="290"/>
      <c r="C189" s="2">
        <v>15</v>
      </c>
      <c r="D189" s="2">
        <v>18586</v>
      </c>
      <c r="E189" s="2" t="s">
        <v>3012</v>
      </c>
      <c r="F189" s="3">
        <v>29706230100909</v>
      </c>
      <c r="G189" s="2" t="s">
        <v>184</v>
      </c>
      <c r="H189" s="2" t="s">
        <v>3032</v>
      </c>
      <c r="I189" s="2" t="s">
        <v>66</v>
      </c>
      <c r="J189" s="4">
        <v>42883</v>
      </c>
      <c r="K189" s="2" t="s">
        <v>8</v>
      </c>
      <c r="L189" s="2" t="s">
        <v>12</v>
      </c>
      <c r="W189" s="16" t="s">
        <v>64</v>
      </c>
      <c r="Z189" s="16" t="s">
        <v>67</v>
      </c>
    </row>
    <row r="190" spans="1:28" ht="15" customHeight="1">
      <c r="A190" s="290"/>
      <c r="C190" s="2">
        <v>15</v>
      </c>
      <c r="D190" s="2">
        <v>18587</v>
      </c>
      <c r="E190" s="2" t="s">
        <v>3008</v>
      </c>
      <c r="F190" s="3">
        <v>29506090101893</v>
      </c>
      <c r="G190" s="2" t="s">
        <v>34</v>
      </c>
      <c r="H190" s="2" t="s">
        <v>3027</v>
      </c>
      <c r="I190" s="2" t="s">
        <v>66</v>
      </c>
      <c r="J190" s="4">
        <v>42883</v>
      </c>
      <c r="K190" s="2" t="s">
        <v>8</v>
      </c>
      <c r="L190" s="2" t="s">
        <v>12</v>
      </c>
      <c r="W190" s="16" t="s">
        <v>61</v>
      </c>
      <c r="X190" s="2" t="s">
        <v>66</v>
      </c>
      <c r="Y190" s="7">
        <v>42908</v>
      </c>
      <c r="Z190" s="16" t="s">
        <v>66</v>
      </c>
    </row>
    <row r="191" spans="1:28" ht="15" customHeight="1">
      <c r="A191" s="290"/>
      <c r="C191" s="2">
        <v>15</v>
      </c>
      <c r="D191" s="2">
        <v>18588</v>
      </c>
      <c r="E191" s="2" t="s">
        <v>3001</v>
      </c>
      <c r="F191" s="3">
        <v>29508160102911</v>
      </c>
      <c r="G191" s="2" t="s">
        <v>184</v>
      </c>
      <c r="H191" s="2" t="s">
        <v>3021</v>
      </c>
      <c r="I191" s="12" t="s">
        <v>66</v>
      </c>
      <c r="J191" s="7">
        <v>42883</v>
      </c>
      <c r="K191" s="2" t="s">
        <v>8</v>
      </c>
      <c r="L191" s="2" t="s">
        <v>12</v>
      </c>
      <c r="W191" s="16" t="s">
        <v>63</v>
      </c>
      <c r="Z191" s="16" t="s">
        <v>67</v>
      </c>
    </row>
    <row r="192" spans="1:28" ht="15" customHeight="1">
      <c r="A192" s="290"/>
      <c r="C192" s="12">
        <v>15</v>
      </c>
      <c r="D192" s="2">
        <v>18589</v>
      </c>
      <c r="E192" s="2" t="s">
        <v>3003</v>
      </c>
      <c r="F192" s="3">
        <v>29609112101091</v>
      </c>
      <c r="G192" s="2" t="s">
        <v>184</v>
      </c>
      <c r="H192" s="16" t="s">
        <v>3023</v>
      </c>
      <c r="I192" s="12" t="s">
        <v>66</v>
      </c>
      <c r="J192" s="7">
        <v>42883</v>
      </c>
      <c r="K192" s="2" t="s">
        <v>8</v>
      </c>
      <c r="L192" s="2" t="s">
        <v>12</v>
      </c>
      <c r="W192" s="16" t="s">
        <v>61</v>
      </c>
      <c r="Y192" s="7">
        <v>42908</v>
      </c>
      <c r="Z192" s="16" t="s">
        <v>66</v>
      </c>
    </row>
    <row r="193" spans="1:28" ht="15" customHeight="1">
      <c r="A193" s="290"/>
      <c r="C193" s="2">
        <v>15</v>
      </c>
      <c r="D193" s="2">
        <v>18590</v>
      </c>
      <c r="E193" s="2" t="s">
        <v>3013</v>
      </c>
      <c r="F193" s="3">
        <v>29411200102354</v>
      </c>
      <c r="G193" s="2" t="s">
        <v>184</v>
      </c>
      <c r="H193" s="16" t="s">
        <v>3033</v>
      </c>
      <c r="I193" s="12" t="s">
        <v>66</v>
      </c>
      <c r="J193" s="7">
        <v>42883</v>
      </c>
      <c r="K193" s="2" t="s">
        <v>8</v>
      </c>
      <c r="L193" s="2" t="s">
        <v>12</v>
      </c>
      <c r="W193" s="16" t="s">
        <v>60</v>
      </c>
      <c r="Y193" s="7">
        <v>42908</v>
      </c>
      <c r="Z193" s="16" t="s">
        <v>66</v>
      </c>
      <c r="AA193" s="7">
        <v>43114</v>
      </c>
      <c r="AB193" s="2" t="s">
        <v>3110</v>
      </c>
    </row>
    <row r="194" spans="1:28" ht="15" customHeight="1">
      <c r="A194" s="290"/>
      <c r="C194" s="16">
        <v>15</v>
      </c>
      <c r="D194" s="16">
        <v>18591</v>
      </c>
      <c r="E194" s="16" t="s">
        <v>3014</v>
      </c>
      <c r="F194" s="3">
        <v>29705102300427</v>
      </c>
      <c r="G194" s="16" t="s">
        <v>184</v>
      </c>
      <c r="H194" s="16" t="s">
        <v>3034</v>
      </c>
      <c r="I194" s="16" t="s">
        <v>66</v>
      </c>
      <c r="J194" s="45">
        <v>42883</v>
      </c>
      <c r="K194" s="16" t="s">
        <v>8</v>
      </c>
      <c r="L194" s="16" t="s">
        <v>12</v>
      </c>
      <c r="M194" s="16"/>
      <c r="N194" s="16"/>
      <c r="W194" s="16" t="s">
        <v>3108</v>
      </c>
      <c r="X194" s="16"/>
      <c r="Y194" s="45">
        <v>42908</v>
      </c>
      <c r="Z194" s="16" t="s">
        <v>66</v>
      </c>
      <c r="AA194" s="45"/>
      <c r="AB194" s="16"/>
    </row>
    <row r="195" spans="1:28" ht="15" customHeight="1">
      <c r="A195" s="290"/>
      <c r="C195" s="2">
        <v>15</v>
      </c>
      <c r="D195" s="2">
        <v>18592</v>
      </c>
      <c r="E195" s="2" t="s">
        <v>3000</v>
      </c>
      <c r="F195" s="3">
        <v>29811190100453</v>
      </c>
      <c r="G195" s="12" t="s">
        <v>184</v>
      </c>
      <c r="H195" s="16" t="s">
        <v>3020</v>
      </c>
      <c r="I195" s="12" t="s">
        <v>66</v>
      </c>
      <c r="J195" s="7">
        <v>42883</v>
      </c>
      <c r="K195" s="2" t="s">
        <v>8</v>
      </c>
      <c r="L195" s="2" t="s">
        <v>12</v>
      </c>
      <c r="W195" s="16" t="s">
        <v>61</v>
      </c>
      <c r="Y195" s="7">
        <v>42908</v>
      </c>
      <c r="Z195" s="16" t="s">
        <v>67</v>
      </c>
    </row>
    <row r="196" spans="1:28" ht="15" customHeight="1">
      <c r="A196" s="290"/>
      <c r="C196" s="12">
        <v>15</v>
      </c>
      <c r="D196" s="2">
        <v>18593</v>
      </c>
      <c r="E196" s="2" t="s">
        <v>2998</v>
      </c>
      <c r="F196" s="3" t="s">
        <v>2999</v>
      </c>
      <c r="G196" s="12" t="s">
        <v>184</v>
      </c>
      <c r="H196" s="16" t="s">
        <v>3019</v>
      </c>
      <c r="I196" s="12" t="s">
        <v>66</v>
      </c>
      <c r="J196" s="7">
        <v>42883</v>
      </c>
      <c r="K196" s="2" t="s">
        <v>8</v>
      </c>
      <c r="L196" s="2" t="s">
        <v>12</v>
      </c>
      <c r="M196" s="12"/>
      <c r="W196" s="16" t="s">
        <v>61</v>
      </c>
      <c r="Y196" s="7">
        <v>42908</v>
      </c>
      <c r="Z196" s="16" t="s">
        <v>66</v>
      </c>
    </row>
    <row r="197" spans="1:28" ht="15" customHeight="1">
      <c r="A197" s="290"/>
      <c r="C197" s="16">
        <v>15</v>
      </c>
      <c r="D197" s="16">
        <v>18594</v>
      </c>
      <c r="E197" s="16" t="s">
        <v>3007</v>
      </c>
      <c r="F197" s="3">
        <v>29009302107013</v>
      </c>
      <c r="G197" s="16" t="s">
        <v>34</v>
      </c>
      <c r="H197" s="16" t="s">
        <v>3026</v>
      </c>
      <c r="I197" s="16" t="s">
        <v>66</v>
      </c>
      <c r="J197" s="45">
        <v>42883</v>
      </c>
      <c r="K197" s="16" t="s">
        <v>8</v>
      </c>
      <c r="L197" s="16" t="s">
        <v>12</v>
      </c>
      <c r="M197" s="16"/>
      <c r="N197" s="16"/>
      <c r="W197" s="16" t="s">
        <v>111</v>
      </c>
      <c r="X197" s="16"/>
      <c r="Y197" s="45">
        <v>42908</v>
      </c>
      <c r="Z197" s="16" t="s">
        <v>67</v>
      </c>
      <c r="AA197" s="45"/>
      <c r="AB197" s="16"/>
    </row>
    <row r="198" spans="1:28" ht="15" customHeight="1">
      <c r="A198" s="290"/>
      <c r="C198" s="12">
        <v>15</v>
      </c>
      <c r="D198" s="2">
        <v>18595</v>
      </c>
      <c r="E198" s="2" t="s">
        <v>2996</v>
      </c>
      <c r="F198" s="3">
        <v>29609290110975</v>
      </c>
      <c r="G198" s="12" t="s">
        <v>184</v>
      </c>
      <c r="H198" s="16" t="s">
        <v>3017</v>
      </c>
      <c r="I198" s="12" t="s">
        <v>66</v>
      </c>
      <c r="J198" s="7">
        <v>42883</v>
      </c>
      <c r="K198" s="2" t="s">
        <v>8</v>
      </c>
      <c r="L198" s="2" t="s">
        <v>12</v>
      </c>
      <c r="M198" s="12"/>
      <c r="W198" s="16" t="s">
        <v>60</v>
      </c>
      <c r="Y198" s="7">
        <v>42908</v>
      </c>
      <c r="Z198" s="16" t="s">
        <v>67</v>
      </c>
    </row>
    <row r="199" spans="1:28" ht="15" customHeight="1">
      <c r="A199" s="290"/>
      <c r="C199" s="12">
        <v>15</v>
      </c>
      <c r="D199" s="2">
        <v>18596</v>
      </c>
      <c r="E199" s="2" t="s">
        <v>3009</v>
      </c>
      <c r="F199" s="3">
        <v>29401270100531</v>
      </c>
      <c r="G199" s="12" t="s">
        <v>34</v>
      </c>
      <c r="H199" s="16" t="s">
        <v>3028</v>
      </c>
      <c r="I199" s="12" t="s">
        <v>66</v>
      </c>
      <c r="J199" s="7">
        <v>42883</v>
      </c>
      <c r="K199" s="2" t="s">
        <v>8</v>
      </c>
      <c r="L199" s="2" t="s">
        <v>12</v>
      </c>
      <c r="M199" s="12"/>
      <c r="W199" s="16" t="s">
        <v>63</v>
      </c>
      <c r="Z199" s="16" t="s">
        <v>67</v>
      </c>
      <c r="AB199" s="16"/>
    </row>
    <row r="200" spans="1:28" ht="15.75" customHeight="1" thickBot="1">
      <c r="A200" s="291"/>
      <c r="C200" s="28">
        <v>15</v>
      </c>
      <c r="D200" s="28">
        <v>18597</v>
      </c>
      <c r="E200" s="28" t="s">
        <v>3004</v>
      </c>
      <c r="F200" s="29" t="s">
        <v>3005</v>
      </c>
      <c r="G200" s="28" t="s">
        <v>184</v>
      </c>
      <c r="H200" s="28" t="s">
        <v>3024</v>
      </c>
      <c r="I200" s="28" t="s">
        <v>66</v>
      </c>
      <c r="J200" s="30">
        <v>42883</v>
      </c>
      <c r="K200" s="28" t="s">
        <v>8</v>
      </c>
      <c r="L200" s="28" t="s">
        <v>12</v>
      </c>
      <c r="M200" s="28"/>
      <c r="N200" s="28"/>
      <c r="O200" s="226"/>
      <c r="P200" s="28"/>
      <c r="Q200" s="226"/>
      <c r="R200" s="28"/>
      <c r="S200" s="28"/>
      <c r="T200" s="28"/>
      <c r="U200" s="28"/>
      <c r="V200" s="28"/>
      <c r="W200" s="28" t="s">
        <v>111</v>
      </c>
      <c r="X200" s="28"/>
      <c r="Y200" s="30">
        <v>42908</v>
      </c>
      <c r="Z200" s="28" t="s">
        <v>67</v>
      </c>
      <c r="AA200" s="30"/>
      <c r="AB200" s="28"/>
    </row>
    <row r="201" spans="1:28" ht="15.75" customHeight="1" thickTop="1">
      <c r="A201" s="289" t="s">
        <v>3118</v>
      </c>
      <c r="C201" s="2">
        <v>16</v>
      </c>
      <c r="D201" s="2">
        <v>18601</v>
      </c>
      <c r="E201" s="2" t="s">
        <v>2973</v>
      </c>
      <c r="F201" s="3">
        <v>29005258800363</v>
      </c>
      <c r="G201" s="2" t="s">
        <v>34</v>
      </c>
      <c r="H201" s="2" t="s">
        <v>2991</v>
      </c>
      <c r="I201" s="2" t="s">
        <v>66</v>
      </c>
      <c r="J201" s="4">
        <v>42896</v>
      </c>
      <c r="K201" s="2" t="s">
        <v>8</v>
      </c>
      <c r="L201" s="2" t="s">
        <v>12</v>
      </c>
      <c r="W201" s="16" t="s">
        <v>62</v>
      </c>
      <c r="X201" s="2" t="s">
        <v>66</v>
      </c>
      <c r="Y201" s="7">
        <v>42922</v>
      </c>
      <c r="Z201" s="16" t="s">
        <v>66</v>
      </c>
    </row>
    <row r="202" spans="1:28" ht="15" customHeight="1">
      <c r="A202" s="290"/>
      <c r="C202" s="2">
        <v>16</v>
      </c>
      <c r="D202" s="2">
        <v>18602</v>
      </c>
      <c r="E202" s="2" t="s">
        <v>2974</v>
      </c>
      <c r="F202" s="3">
        <v>28510288800077</v>
      </c>
      <c r="G202" s="2" t="s">
        <v>34</v>
      </c>
      <c r="H202" s="2" t="s">
        <v>2992</v>
      </c>
      <c r="I202" s="2" t="s">
        <v>66</v>
      </c>
      <c r="J202" s="4">
        <v>42896</v>
      </c>
      <c r="K202" s="2" t="s">
        <v>8</v>
      </c>
      <c r="L202" s="2" t="s">
        <v>12</v>
      </c>
      <c r="W202" s="16" t="s">
        <v>64</v>
      </c>
      <c r="Z202" s="16" t="s">
        <v>67</v>
      </c>
    </row>
    <row r="203" spans="1:28" ht="15" customHeight="1">
      <c r="A203" s="290"/>
      <c r="C203" s="2">
        <v>16</v>
      </c>
      <c r="D203" s="2">
        <v>18603</v>
      </c>
      <c r="E203" s="2" t="s">
        <v>2959</v>
      </c>
      <c r="F203" s="3">
        <v>29604218800647</v>
      </c>
      <c r="G203" s="2" t="s">
        <v>184</v>
      </c>
      <c r="H203" s="2" t="s">
        <v>2978</v>
      </c>
      <c r="I203" s="2" t="s">
        <v>66</v>
      </c>
      <c r="J203" s="4">
        <v>42896</v>
      </c>
      <c r="K203" s="2" t="s">
        <v>8</v>
      </c>
      <c r="L203" s="2" t="s">
        <v>12</v>
      </c>
      <c r="W203" s="16" t="s">
        <v>59</v>
      </c>
      <c r="X203" s="2" t="s">
        <v>66</v>
      </c>
      <c r="Y203" s="7">
        <v>42922</v>
      </c>
      <c r="Z203" s="16" t="s">
        <v>67</v>
      </c>
    </row>
    <row r="204" spans="1:28" ht="15" customHeight="1">
      <c r="A204" s="290"/>
      <c r="C204" s="2">
        <v>16</v>
      </c>
      <c r="D204" s="2">
        <v>18604</v>
      </c>
      <c r="E204" s="2" t="s">
        <v>2972</v>
      </c>
      <c r="F204" s="3">
        <v>29606092100809</v>
      </c>
      <c r="G204" s="2" t="s">
        <v>184</v>
      </c>
      <c r="H204" s="2" t="s">
        <v>2990</v>
      </c>
      <c r="I204" s="2" t="s">
        <v>66</v>
      </c>
      <c r="J204" s="4">
        <v>42896</v>
      </c>
      <c r="K204" s="2" t="s">
        <v>8</v>
      </c>
      <c r="L204" s="2" t="s">
        <v>12</v>
      </c>
      <c r="W204" s="16" t="s">
        <v>64</v>
      </c>
      <c r="Z204" s="16" t="s">
        <v>67</v>
      </c>
    </row>
    <row r="205" spans="1:28" ht="15" customHeight="1">
      <c r="A205" s="290"/>
      <c r="C205" s="2">
        <v>16</v>
      </c>
      <c r="D205" s="2">
        <v>18605</v>
      </c>
      <c r="E205" s="2" t="s">
        <v>2966</v>
      </c>
      <c r="F205" s="3">
        <v>29110020200374</v>
      </c>
      <c r="G205" s="2" t="s">
        <v>34</v>
      </c>
      <c r="H205" s="2" t="s">
        <v>2984</v>
      </c>
      <c r="I205" s="2" t="s">
        <v>66</v>
      </c>
      <c r="J205" s="4">
        <v>42896</v>
      </c>
      <c r="K205" s="2" t="s">
        <v>8</v>
      </c>
      <c r="L205" s="2" t="s">
        <v>12</v>
      </c>
      <c r="W205" s="16" t="s">
        <v>62</v>
      </c>
      <c r="Y205" s="7">
        <v>42922</v>
      </c>
      <c r="Z205" s="16" t="s">
        <v>66</v>
      </c>
    </row>
    <row r="206" spans="1:28" ht="15" customHeight="1">
      <c r="A206" s="290"/>
      <c r="C206" s="16">
        <v>16</v>
      </c>
      <c r="D206" s="16">
        <v>18606</v>
      </c>
      <c r="E206" s="16" t="s">
        <v>2975</v>
      </c>
      <c r="F206" s="3">
        <v>29509290110172</v>
      </c>
      <c r="G206" s="16" t="s">
        <v>184</v>
      </c>
      <c r="H206" s="16" t="s">
        <v>2993</v>
      </c>
      <c r="I206" s="16" t="s">
        <v>66</v>
      </c>
      <c r="J206" s="45">
        <v>42896</v>
      </c>
      <c r="K206" s="16" t="s">
        <v>8</v>
      </c>
      <c r="L206" s="16" t="s">
        <v>12</v>
      </c>
      <c r="M206" s="16"/>
      <c r="N206" s="16"/>
      <c r="W206" s="16" t="s">
        <v>64</v>
      </c>
      <c r="X206" s="16"/>
      <c r="Y206" s="45"/>
      <c r="Z206" s="16" t="s">
        <v>67</v>
      </c>
      <c r="AA206" s="45"/>
      <c r="AB206" s="16"/>
    </row>
    <row r="207" spans="1:28" ht="15" customHeight="1">
      <c r="A207" s="290"/>
      <c r="C207" s="16">
        <v>16</v>
      </c>
      <c r="D207" s="16">
        <v>18607</v>
      </c>
      <c r="E207" s="16" t="s">
        <v>2964</v>
      </c>
      <c r="F207" s="3">
        <v>29809212100911</v>
      </c>
      <c r="G207" s="16" t="s">
        <v>184</v>
      </c>
      <c r="H207" s="16" t="s">
        <v>2982</v>
      </c>
      <c r="I207" s="16" t="s">
        <v>66</v>
      </c>
      <c r="J207" s="45">
        <v>42896</v>
      </c>
      <c r="K207" s="16" t="s">
        <v>8</v>
      </c>
      <c r="L207" s="16" t="s">
        <v>12</v>
      </c>
      <c r="M207" s="16"/>
      <c r="N207" s="16"/>
      <c r="W207" s="16" t="s">
        <v>62</v>
      </c>
      <c r="X207" s="16"/>
      <c r="Y207" s="45">
        <v>42922</v>
      </c>
      <c r="Z207" s="16" t="s">
        <v>67</v>
      </c>
      <c r="AA207" s="45"/>
      <c r="AB207" s="16"/>
    </row>
    <row r="208" spans="1:28" ht="15" customHeight="1">
      <c r="A208" s="290"/>
      <c r="C208" s="16">
        <v>16</v>
      </c>
      <c r="D208" s="2">
        <v>18608</v>
      </c>
      <c r="E208" s="2" t="s">
        <v>2971</v>
      </c>
      <c r="F208" s="3">
        <v>29806020103241</v>
      </c>
      <c r="G208" s="2" t="s">
        <v>184</v>
      </c>
      <c r="H208" s="2" t="s">
        <v>2989</v>
      </c>
      <c r="I208" s="2" t="s">
        <v>66</v>
      </c>
      <c r="J208" s="4">
        <v>42896</v>
      </c>
      <c r="K208" s="2" t="s">
        <v>8</v>
      </c>
      <c r="L208" s="2" t="s">
        <v>12</v>
      </c>
      <c r="W208" s="16" t="s">
        <v>60</v>
      </c>
      <c r="Y208" s="7">
        <v>42922</v>
      </c>
      <c r="Z208" s="16" t="s">
        <v>66</v>
      </c>
    </row>
    <row r="209" spans="1:28" ht="15" customHeight="1">
      <c r="A209" s="290"/>
      <c r="C209" s="16">
        <v>16</v>
      </c>
      <c r="D209" s="2">
        <v>18609</v>
      </c>
      <c r="E209" s="2" t="s">
        <v>2967</v>
      </c>
      <c r="F209" s="3">
        <v>29511180103272</v>
      </c>
      <c r="G209" s="2" t="s">
        <v>184</v>
      </c>
      <c r="H209" s="2" t="s">
        <v>2985</v>
      </c>
      <c r="I209" s="2" t="s">
        <v>66</v>
      </c>
      <c r="J209" s="4">
        <v>42896</v>
      </c>
      <c r="K209" s="2" t="s">
        <v>8</v>
      </c>
      <c r="L209" s="2" t="s">
        <v>12</v>
      </c>
      <c r="W209" s="16" t="s">
        <v>61</v>
      </c>
      <c r="Y209" s="7">
        <v>42922</v>
      </c>
      <c r="Z209" s="16" t="s">
        <v>66</v>
      </c>
      <c r="AB209" s="2" t="s">
        <v>5341</v>
      </c>
    </row>
    <row r="210" spans="1:28" ht="15" customHeight="1">
      <c r="A210" s="290"/>
      <c r="C210" s="16">
        <v>16</v>
      </c>
      <c r="D210" s="2">
        <v>18610</v>
      </c>
      <c r="E210" s="2" t="s">
        <v>2968</v>
      </c>
      <c r="F210" s="3">
        <v>29604090103352</v>
      </c>
      <c r="G210" s="2" t="s">
        <v>184</v>
      </c>
      <c r="H210" s="2" t="s">
        <v>2986</v>
      </c>
      <c r="I210" s="2" t="s">
        <v>66</v>
      </c>
      <c r="J210" s="4">
        <v>42896</v>
      </c>
      <c r="K210" s="2" t="s">
        <v>8</v>
      </c>
      <c r="L210" s="2" t="s">
        <v>12</v>
      </c>
      <c r="W210" s="16" t="s">
        <v>61</v>
      </c>
      <c r="Y210" s="7">
        <v>42922</v>
      </c>
      <c r="Z210" s="16" t="s">
        <v>66</v>
      </c>
    </row>
    <row r="211" spans="1:28" ht="15" customHeight="1">
      <c r="A211" s="290"/>
      <c r="C211" s="16">
        <v>16</v>
      </c>
      <c r="D211" s="2">
        <v>18611</v>
      </c>
      <c r="E211" s="2" t="s">
        <v>2963</v>
      </c>
      <c r="F211" s="3">
        <v>29706010107007</v>
      </c>
      <c r="G211" s="2" t="s">
        <v>184</v>
      </c>
      <c r="H211" s="2" t="s">
        <v>2981</v>
      </c>
      <c r="I211" s="2" t="s">
        <v>66</v>
      </c>
      <c r="J211" s="4">
        <v>42896</v>
      </c>
      <c r="K211" s="2" t="s">
        <v>8</v>
      </c>
      <c r="L211" s="2" t="s">
        <v>12</v>
      </c>
      <c r="W211" s="16" t="s">
        <v>111</v>
      </c>
      <c r="X211" s="16" t="s">
        <v>66</v>
      </c>
      <c r="Y211" s="7">
        <v>42922</v>
      </c>
      <c r="Z211" s="16" t="s">
        <v>66</v>
      </c>
    </row>
    <row r="212" spans="1:28" ht="15" customHeight="1">
      <c r="A212" s="290"/>
      <c r="C212" s="16">
        <v>16</v>
      </c>
      <c r="D212" s="2">
        <v>18612</v>
      </c>
      <c r="E212" s="2" t="s">
        <v>2961</v>
      </c>
      <c r="F212" s="3">
        <v>29602290100681</v>
      </c>
      <c r="G212" s="2" t="s">
        <v>34</v>
      </c>
      <c r="H212" s="2" t="s">
        <v>2976</v>
      </c>
      <c r="I212" s="2" t="s">
        <v>66</v>
      </c>
      <c r="J212" s="7">
        <v>42896</v>
      </c>
      <c r="K212" s="2" t="s">
        <v>8</v>
      </c>
      <c r="L212" s="2" t="s">
        <v>12</v>
      </c>
      <c r="W212" s="16" t="s">
        <v>61</v>
      </c>
      <c r="X212" s="16" t="s">
        <v>66</v>
      </c>
      <c r="Y212" s="7">
        <v>42922</v>
      </c>
      <c r="Z212" s="16" t="s">
        <v>66</v>
      </c>
    </row>
    <row r="213" spans="1:28" ht="15" customHeight="1">
      <c r="A213" s="290"/>
      <c r="C213" s="16">
        <v>16</v>
      </c>
      <c r="D213" s="2">
        <v>18613</v>
      </c>
      <c r="E213" s="2" t="s">
        <v>2958</v>
      </c>
      <c r="F213" s="3">
        <v>29208171600099</v>
      </c>
      <c r="G213" s="2" t="s">
        <v>184</v>
      </c>
      <c r="H213" s="2" t="s">
        <v>2977</v>
      </c>
      <c r="I213" s="2" t="s">
        <v>66</v>
      </c>
      <c r="J213" s="7">
        <v>42896</v>
      </c>
      <c r="K213" s="2" t="s">
        <v>8</v>
      </c>
      <c r="L213" s="2" t="s">
        <v>12</v>
      </c>
      <c r="W213" s="16" t="s">
        <v>502</v>
      </c>
      <c r="X213" s="16" t="s">
        <v>66</v>
      </c>
      <c r="Y213" s="7">
        <v>42922</v>
      </c>
      <c r="Z213" s="16" t="s">
        <v>66</v>
      </c>
      <c r="AA213" s="7">
        <v>43283</v>
      </c>
      <c r="AB213" s="2" t="s">
        <v>802</v>
      </c>
    </row>
    <row r="214" spans="1:28" ht="15" customHeight="1">
      <c r="A214" s="290"/>
      <c r="C214" s="16">
        <v>16</v>
      </c>
      <c r="D214" s="2">
        <v>18614</v>
      </c>
      <c r="E214" s="2" t="s">
        <v>2960</v>
      </c>
      <c r="F214" s="3">
        <v>29602020101406</v>
      </c>
      <c r="G214" s="2" t="s">
        <v>34</v>
      </c>
      <c r="H214" s="2" t="s">
        <v>2979</v>
      </c>
      <c r="I214" s="2" t="s">
        <v>66</v>
      </c>
      <c r="J214" s="7">
        <v>42896</v>
      </c>
      <c r="K214" s="2" t="s">
        <v>8</v>
      </c>
      <c r="L214" s="2" t="s">
        <v>12</v>
      </c>
      <c r="W214" s="16" t="s">
        <v>61</v>
      </c>
      <c r="X214" s="16" t="s">
        <v>66</v>
      </c>
      <c r="Y214" s="7">
        <v>42922</v>
      </c>
      <c r="Z214" s="16" t="s">
        <v>66</v>
      </c>
    </row>
    <row r="215" spans="1:28" ht="15" customHeight="1">
      <c r="A215" s="290"/>
      <c r="C215" s="16">
        <v>16</v>
      </c>
      <c r="D215" s="2">
        <v>18615</v>
      </c>
      <c r="E215" s="2" t="s">
        <v>2962</v>
      </c>
      <c r="F215" s="3">
        <v>28511042103772</v>
      </c>
      <c r="G215" s="2" t="s">
        <v>34</v>
      </c>
      <c r="H215" s="2" t="s">
        <v>2980</v>
      </c>
      <c r="I215" s="2" t="s">
        <v>66</v>
      </c>
      <c r="J215" s="7">
        <v>42896</v>
      </c>
      <c r="K215" s="2" t="s">
        <v>8</v>
      </c>
      <c r="L215" s="2" t="s">
        <v>12</v>
      </c>
      <c r="W215" s="16" t="s">
        <v>61</v>
      </c>
      <c r="X215" s="16" t="s">
        <v>66</v>
      </c>
      <c r="Y215" s="7">
        <v>42922</v>
      </c>
      <c r="Z215" s="16" t="s">
        <v>66</v>
      </c>
    </row>
    <row r="216" spans="1:28" ht="15" customHeight="1">
      <c r="A216" s="290"/>
      <c r="C216" s="16">
        <v>16</v>
      </c>
      <c r="D216" s="16">
        <v>18616</v>
      </c>
      <c r="E216" s="16" t="s">
        <v>2970</v>
      </c>
      <c r="F216" s="3">
        <v>29411178800891</v>
      </c>
      <c r="G216" s="16" t="s">
        <v>34</v>
      </c>
      <c r="H216" s="16" t="s">
        <v>2988</v>
      </c>
      <c r="I216" s="16" t="s">
        <v>66</v>
      </c>
      <c r="J216" s="45">
        <v>42896</v>
      </c>
      <c r="K216" s="16" t="s">
        <v>8</v>
      </c>
      <c r="L216" s="16" t="s">
        <v>12</v>
      </c>
      <c r="M216" s="16"/>
      <c r="N216" s="16"/>
      <c r="W216" s="16" t="s">
        <v>111</v>
      </c>
      <c r="X216" s="16"/>
      <c r="Y216" s="45">
        <v>42922</v>
      </c>
      <c r="Z216" s="16" t="s">
        <v>66</v>
      </c>
      <c r="AA216" s="45"/>
      <c r="AB216" s="16"/>
    </row>
    <row r="217" spans="1:28" ht="15" customHeight="1">
      <c r="A217" s="290"/>
      <c r="C217" s="16">
        <v>16</v>
      </c>
      <c r="D217" s="2">
        <v>18617</v>
      </c>
      <c r="E217" s="2" t="s">
        <v>2965</v>
      </c>
      <c r="F217" s="3">
        <v>29612202101547</v>
      </c>
      <c r="G217" s="2" t="s">
        <v>184</v>
      </c>
      <c r="H217" s="2" t="s">
        <v>2983</v>
      </c>
      <c r="I217" s="2" t="s">
        <v>66</v>
      </c>
      <c r="J217" s="7">
        <v>42896</v>
      </c>
      <c r="K217" s="2" t="s">
        <v>8</v>
      </c>
      <c r="L217" s="2" t="s">
        <v>12</v>
      </c>
      <c r="W217" s="16" t="s">
        <v>60</v>
      </c>
      <c r="Y217" s="7">
        <v>42922</v>
      </c>
      <c r="Z217" s="16" t="s">
        <v>66</v>
      </c>
    </row>
    <row r="218" spans="1:28" ht="15" customHeight="1">
      <c r="A218" s="290"/>
      <c r="C218" s="16">
        <v>16</v>
      </c>
      <c r="D218" s="2">
        <v>18618</v>
      </c>
      <c r="E218" s="2" t="s">
        <v>2956</v>
      </c>
      <c r="F218" s="3" t="s">
        <v>2957</v>
      </c>
      <c r="G218" s="2" t="s">
        <v>184</v>
      </c>
      <c r="H218" s="2" t="s">
        <v>2976</v>
      </c>
      <c r="I218" s="2" t="s">
        <v>66</v>
      </c>
      <c r="J218" s="7">
        <v>42896</v>
      </c>
      <c r="K218" s="2" t="s">
        <v>8</v>
      </c>
      <c r="L218" s="2" t="s">
        <v>12</v>
      </c>
      <c r="W218" s="16" t="s">
        <v>111</v>
      </c>
      <c r="Y218" s="7">
        <v>42922</v>
      </c>
      <c r="Z218" s="16" t="s">
        <v>67</v>
      </c>
    </row>
    <row r="219" spans="1:28" ht="15.75" customHeight="1" thickBot="1">
      <c r="A219" s="291"/>
      <c r="C219" s="28">
        <v>16</v>
      </c>
      <c r="D219" s="28">
        <v>18619</v>
      </c>
      <c r="E219" s="28" t="s">
        <v>2969</v>
      </c>
      <c r="F219" s="29">
        <v>29001161202075</v>
      </c>
      <c r="G219" s="28" t="s">
        <v>34</v>
      </c>
      <c r="H219" s="28" t="s">
        <v>2987</v>
      </c>
      <c r="I219" s="28" t="s">
        <v>66</v>
      </c>
      <c r="J219" s="30">
        <v>42896</v>
      </c>
      <c r="K219" s="28" t="s">
        <v>8</v>
      </c>
      <c r="L219" s="28" t="s">
        <v>12</v>
      </c>
      <c r="M219" s="28"/>
      <c r="N219" s="28"/>
      <c r="O219" s="226"/>
      <c r="P219" s="28"/>
      <c r="Q219" s="226"/>
      <c r="R219" s="28"/>
      <c r="S219" s="28"/>
      <c r="T219" s="28"/>
      <c r="U219" s="28"/>
      <c r="V219" s="28"/>
      <c r="W219" s="28" t="s">
        <v>59</v>
      </c>
      <c r="X219" s="28" t="s">
        <v>66</v>
      </c>
      <c r="Y219" s="30">
        <v>42922</v>
      </c>
      <c r="Z219" s="28" t="s">
        <v>67</v>
      </c>
      <c r="AA219" s="30"/>
      <c r="AB219" s="28"/>
    </row>
    <row r="220" spans="1:28" ht="15.75" customHeight="1" thickTop="1">
      <c r="A220" s="289" t="s">
        <v>3127</v>
      </c>
      <c r="C220" s="16">
        <v>17</v>
      </c>
      <c r="D220" s="2">
        <v>18622</v>
      </c>
      <c r="E220" s="2" t="s">
        <v>2932</v>
      </c>
      <c r="F220" s="3">
        <v>29603302100263</v>
      </c>
      <c r="G220" s="2" t="s">
        <v>34</v>
      </c>
      <c r="H220" s="2" t="s">
        <v>2944</v>
      </c>
      <c r="I220" s="2" t="s">
        <v>66</v>
      </c>
      <c r="J220" s="7">
        <v>42904</v>
      </c>
      <c r="K220" s="2" t="s">
        <v>8</v>
      </c>
      <c r="L220" s="2" t="s">
        <v>12</v>
      </c>
      <c r="W220" s="16" t="s">
        <v>60</v>
      </c>
      <c r="Y220" s="7">
        <v>42929</v>
      </c>
      <c r="Z220" s="16" t="s">
        <v>66</v>
      </c>
    </row>
    <row r="221" spans="1:28" ht="15" customHeight="1">
      <c r="A221" s="290"/>
      <c r="C221" s="16">
        <v>17</v>
      </c>
      <c r="D221" s="2">
        <v>18623</v>
      </c>
      <c r="E221" s="2" t="s">
        <v>2933</v>
      </c>
      <c r="F221" s="3">
        <v>29302140400331</v>
      </c>
      <c r="G221" s="2" t="s">
        <v>34</v>
      </c>
      <c r="H221" s="2" t="s">
        <v>2945</v>
      </c>
      <c r="I221" s="2" t="s">
        <v>66</v>
      </c>
      <c r="J221" s="7">
        <v>42904</v>
      </c>
      <c r="K221" s="2" t="s">
        <v>8</v>
      </c>
      <c r="L221" s="2" t="s">
        <v>12</v>
      </c>
      <c r="W221" s="16" t="s">
        <v>60</v>
      </c>
      <c r="Y221" s="7">
        <v>42929</v>
      </c>
      <c r="Z221" s="16" t="s">
        <v>66</v>
      </c>
    </row>
    <row r="222" spans="1:28" ht="15" customHeight="1">
      <c r="A222" s="290"/>
      <c r="C222" s="16">
        <v>17</v>
      </c>
      <c r="D222" s="16">
        <v>18624</v>
      </c>
      <c r="E222" s="16" t="s">
        <v>2934</v>
      </c>
      <c r="F222" s="3">
        <v>28810281700151</v>
      </c>
      <c r="G222" s="16" t="s">
        <v>34</v>
      </c>
      <c r="H222" s="16" t="s">
        <v>2946</v>
      </c>
      <c r="I222" s="16" t="s">
        <v>66</v>
      </c>
      <c r="J222" s="45">
        <v>42904</v>
      </c>
      <c r="K222" s="16" t="s">
        <v>8</v>
      </c>
      <c r="L222" s="16" t="s">
        <v>12</v>
      </c>
      <c r="M222" s="16"/>
      <c r="N222" s="16"/>
      <c r="W222" s="16" t="s">
        <v>60</v>
      </c>
      <c r="X222" s="16"/>
      <c r="Y222" s="45">
        <v>42929</v>
      </c>
      <c r="Z222" s="16" t="s">
        <v>66</v>
      </c>
      <c r="AA222" s="45"/>
      <c r="AB222" s="16"/>
    </row>
    <row r="223" spans="1:28" ht="15" customHeight="1">
      <c r="A223" s="290"/>
      <c r="C223" s="16">
        <v>17</v>
      </c>
      <c r="D223" s="16">
        <v>18625</v>
      </c>
      <c r="E223" s="16" t="s">
        <v>2935</v>
      </c>
      <c r="F223" s="3">
        <v>29508240101079</v>
      </c>
      <c r="G223" s="16" t="s">
        <v>34</v>
      </c>
      <c r="H223" s="16" t="s">
        <v>2947</v>
      </c>
      <c r="I223" s="16" t="s">
        <v>66</v>
      </c>
      <c r="J223" s="45">
        <v>42904</v>
      </c>
      <c r="K223" s="16" t="s">
        <v>8</v>
      </c>
      <c r="L223" s="16" t="s">
        <v>12</v>
      </c>
      <c r="M223" s="16"/>
      <c r="N223" s="16"/>
      <c r="W223" s="16" t="s">
        <v>111</v>
      </c>
      <c r="X223" s="16" t="s">
        <v>66</v>
      </c>
      <c r="Y223" s="45">
        <v>42929</v>
      </c>
      <c r="Z223" s="16" t="s">
        <v>66</v>
      </c>
      <c r="AA223" s="45"/>
      <c r="AB223" s="16"/>
    </row>
    <row r="224" spans="1:28" ht="15" customHeight="1">
      <c r="A224" s="290"/>
      <c r="C224" s="2">
        <v>17</v>
      </c>
      <c r="D224" s="2">
        <v>18626</v>
      </c>
      <c r="E224" s="2" t="s">
        <v>2936</v>
      </c>
      <c r="F224" s="3">
        <v>29703052104661</v>
      </c>
      <c r="G224" s="2" t="s">
        <v>184</v>
      </c>
      <c r="H224" s="2" t="s">
        <v>2948</v>
      </c>
      <c r="I224" s="2" t="s">
        <v>66</v>
      </c>
      <c r="J224" s="7">
        <v>42904</v>
      </c>
      <c r="K224" s="2" t="s">
        <v>8</v>
      </c>
      <c r="L224" s="2" t="s">
        <v>12</v>
      </c>
      <c r="W224" s="16" t="s">
        <v>60</v>
      </c>
      <c r="Y224" s="7">
        <v>42929</v>
      </c>
      <c r="Z224" s="16" t="s">
        <v>67</v>
      </c>
    </row>
    <row r="225" spans="1:28" ht="15" customHeight="1">
      <c r="A225" s="290"/>
      <c r="C225" s="2">
        <v>17</v>
      </c>
      <c r="D225" s="2">
        <v>18627</v>
      </c>
      <c r="E225" s="2" t="s">
        <v>2937</v>
      </c>
      <c r="F225" s="3">
        <v>29406030101834</v>
      </c>
      <c r="G225" s="2" t="s">
        <v>34</v>
      </c>
      <c r="H225" s="2" t="s">
        <v>2949</v>
      </c>
      <c r="I225" s="2" t="s">
        <v>66</v>
      </c>
      <c r="J225" s="7">
        <v>42904</v>
      </c>
      <c r="K225" s="2" t="s">
        <v>8</v>
      </c>
      <c r="L225" s="2" t="s">
        <v>12</v>
      </c>
      <c r="W225" s="16" t="s">
        <v>61</v>
      </c>
      <c r="Y225" s="7">
        <v>42929</v>
      </c>
      <c r="Z225" s="16" t="s">
        <v>66</v>
      </c>
    </row>
    <row r="226" spans="1:28" ht="15" customHeight="1">
      <c r="A226" s="290"/>
      <c r="C226" s="2">
        <v>17</v>
      </c>
      <c r="D226" s="2">
        <v>18628</v>
      </c>
      <c r="E226" s="2" t="s">
        <v>2938</v>
      </c>
      <c r="F226" s="3">
        <v>29512160102985</v>
      </c>
      <c r="G226" s="2" t="s">
        <v>34</v>
      </c>
      <c r="H226" s="2" t="s">
        <v>2950</v>
      </c>
      <c r="I226" s="2" t="s">
        <v>66</v>
      </c>
      <c r="J226" s="4">
        <v>42904</v>
      </c>
      <c r="K226" s="2" t="s">
        <v>8</v>
      </c>
      <c r="L226" s="2" t="s">
        <v>12</v>
      </c>
      <c r="W226" s="16" t="s">
        <v>61</v>
      </c>
      <c r="Y226" s="7">
        <v>42929</v>
      </c>
      <c r="Z226" s="16" t="s">
        <v>66</v>
      </c>
    </row>
    <row r="227" spans="1:28" ht="15" customHeight="1">
      <c r="A227" s="290"/>
      <c r="C227" s="2">
        <v>17</v>
      </c>
      <c r="D227" s="2">
        <v>18629</v>
      </c>
      <c r="E227" s="2" t="s">
        <v>2939</v>
      </c>
      <c r="F227" s="3">
        <v>29507090100056</v>
      </c>
      <c r="G227" s="2" t="s">
        <v>34</v>
      </c>
      <c r="H227" s="2" t="s">
        <v>2951</v>
      </c>
      <c r="I227" s="2" t="s">
        <v>66</v>
      </c>
      <c r="J227" s="4">
        <v>42904</v>
      </c>
      <c r="K227" s="2" t="s">
        <v>8</v>
      </c>
      <c r="L227" s="2" t="s">
        <v>12</v>
      </c>
      <c r="W227" s="16" t="s">
        <v>111</v>
      </c>
      <c r="Y227" s="7">
        <v>42929</v>
      </c>
      <c r="Z227" s="16" t="s">
        <v>66</v>
      </c>
    </row>
    <row r="228" spans="1:28" ht="15" customHeight="1">
      <c r="A228" s="290"/>
      <c r="C228" s="2">
        <v>17</v>
      </c>
      <c r="D228" s="2">
        <v>18630</v>
      </c>
      <c r="E228" s="2" t="s">
        <v>2940</v>
      </c>
      <c r="F228" s="3">
        <v>29211208800558</v>
      </c>
      <c r="G228" s="2" t="s">
        <v>184</v>
      </c>
      <c r="H228" s="2" t="s">
        <v>2952</v>
      </c>
      <c r="I228" s="2" t="s">
        <v>66</v>
      </c>
      <c r="J228" s="4">
        <v>42904</v>
      </c>
      <c r="K228" s="2" t="s">
        <v>8</v>
      </c>
      <c r="L228" s="2" t="s">
        <v>12</v>
      </c>
      <c r="W228" s="16" t="s">
        <v>502</v>
      </c>
      <c r="Y228" s="7">
        <v>42929</v>
      </c>
      <c r="Z228" s="16" t="s">
        <v>66</v>
      </c>
      <c r="AA228" s="7">
        <v>43240</v>
      </c>
      <c r="AB228" s="2" t="s">
        <v>3112</v>
      </c>
    </row>
    <row r="229" spans="1:28" s="44" customFormat="1" ht="15" customHeight="1">
      <c r="A229" s="290"/>
      <c r="C229" s="16">
        <v>17</v>
      </c>
      <c r="D229" s="2">
        <v>18631</v>
      </c>
      <c r="E229" s="2" t="s">
        <v>2838</v>
      </c>
      <c r="F229" s="3">
        <v>29503200103271</v>
      </c>
      <c r="G229" s="16" t="s">
        <v>184</v>
      </c>
      <c r="H229" s="2" t="s">
        <v>2857</v>
      </c>
      <c r="I229" s="16" t="s">
        <v>67</v>
      </c>
      <c r="J229" s="45">
        <v>42932</v>
      </c>
      <c r="K229" s="16" t="s">
        <v>8</v>
      </c>
      <c r="L229" s="16" t="s">
        <v>12</v>
      </c>
      <c r="M229" s="16"/>
      <c r="N229" s="16"/>
      <c r="O229" s="225"/>
      <c r="P229" s="103"/>
      <c r="Q229" s="225"/>
      <c r="R229" s="16"/>
      <c r="S229" s="16"/>
      <c r="T229" s="16"/>
      <c r="U229" s="16"/>
      <c r="V229" s="16"/>
      <c r="W229" s="16" t="s">
        <v>59</v>
      </c>
      <c r="X229" s="2" t="s">
        <v>66</v>
      </c>
      <c r="Y229" s="45">
        <v>42929</v>
      </c>
      <c r="Z229" s="16" t="s">
        <v>67</v>
      </c>
      <c r="AA229" s="7"/>
      <c r="AB229" s="2"/>
    </row>
    <row r="230" spans="1:28" s="44" customFormat="1" ht="15" customHeight="1">
      <c r="A230" s="290"/>
      <c r="C230" s="16">
        <v>17</v>
      </c>
      <c r="D230" s="16">
        <v>18632</v>
      </c>
      <c r="E230" s="16" t="s">
        <v>2941</v>
      </c>
      <c r="F230" s="3">
        <v>29408140103584</v>
      </c>
      <c r="G230" s="2" t="s">
        <v>34</v>
      </c>
      <c r="H230" s="16" t="s">
        <v>2953</v>
      </c>
      <c r="I230" s="2" t="s">
        <v>66</v>
      </c>
      <c r="J230" s="7">
        <v>42904</v>
      </c>
      <c r="K230" s="2" t="s">
        <v>8</v>
      </c>
      <c r="L230" s="2" t="s">
        <v>12</v>
      </c>
      <c r="M230" s="2"/>
      <c r="N230" s="16"/>
      <c r="O230" s="225"/>
      <c r="P230" s="103"/>
      <c r="Q230" s="225"/>
      <c r="R230" s="16"/>
      <c r="S230" s="16"/>
      <c r="T230" s="16"/>
      <c r="U230" s="16"/>
      <c r="V230" s="16"/>
      <c r="W230" s="16" t="s">
        <v>111</v>
      </c>
      <c r="X230" s="16"/>
      <c r="Y230" s="45">
        <v>42929</v>
      </c>
      <c r="Z230" s="16" t="s">
        <v>66</v>
      </c>
      <c r="AA230" s="45"/>
      <c r="AB230" s="16"/>
    </row>
    <row r="231" spans="1:28" s="44" customFormat="1" ht="15" customHeight="1">
      <c r="A231" s="290"/>
      <c r="C231" s="16">
        <v>17</v>
      </c>
      <c r="D231" s="16">
        <v>18633</v>
      </c>
      <c r="E231" s="16" t="s">
        <v>2858</v>
      </c>
      <c r="F231" s="3">
        <v>29707318800257</v>
      </c>
      <c r="G231" s="16" t="s">
        <v>184</v>
      </c>
      <c r="H231" s="16" t="s">
        <v>2877</v>
      </c>
      <c r="I231" s="16" t="s">
        <v>67</v>
      </c>
      <c r="J231" s="45">
        <v>42932</v>
      </c>
      <c r="K231" s="16" t="s">
        <v>8</v>
      </c>
      <c r="L231" s="16" t="s">
        <v>12</v>
      </c>
      <c r="M231" s="16"/>
      <c r="N231" s="16"/>
      <c r="O231" s="225"/>
      <c r="P231" s="103"/>
      <c r="Q231" s="225"/>
      <c r="R231" s="16"/>
      <c r="S231" s="16"/>
      <c r="T231" s="16"/>
      <c r="U231" s="16"/>
      <c r="V231" s="16"/>
      <c r="W231" s="16" t="s">
        <v>60</v>
      </c>
      <c r="X231" s="16" t="s">
        <v>66</v>
      </c>
      <c r="Y231" s="45">
        <v>42929</v>
      </c>
      <c r="Z231" s="16" t="s">
        <v>66</v>
      </c>
      <c r="AA231" s="45"/>
      <c r="AB231" s="16"/>
    </row>
    <row r="232" spans="1:28" ht="15" customHeight="1">
      <c r="A232" s="290"/>
      <c r="C232" s="2">
        <v>17</v>
      </c>
      <c r="D232" s="25">
        <v>18634</v>
      </c>
      <c r="E232" s="25" t="s">
        <v>2819</v>
      </c>
      <c r="F232" s="26">
        <v>29507052101677</v>
      </c>
      <c r="G232" s="16" t="s">
        <v>34</v>
      </c>
      <c r="H232" s="16" t="s">
        <v>2839</v>
      </c>
      <c r="I232" s="16" t="s">
        <v>67</v>
      </c>
      <c r="J232" s="45">
        <v>42932</v>
      </c>
      <c r="K232" s="16" t="s">
        <v>8</v>
      </c>
      <c r="L232" s="16" t="s">
        <v>12</v>
      </c>
      <c r="M232" s="16"/>
      <c r="N232" s="16"/>
      <c r="W232" s="25" t="s">
        <v>60</v>
      </c>
      <c r="X232" s="25" t="s">
        <v>66</v>
      </c>
      <c r="Y232" s="27">
        <v>42929</v>
      </c>
      <c r="Z232" s="25" t="s">
        <v>66</v>
      </c>
      <c r="AA232" s="27"/>
      <c r="AB232" s="25"/>
    </row>
    <row r="233" spans="1:28" ht="15" customHeight="1" thickBot="1">
      <c r="A233" s="291"/>
      <c r="C233" s="28">
        <v>17</v>
      </c>
      <c r="D233" s="28">
        <v>18635</v>
      </c>
      <c r="E233" s="28" t="s">
        <v>2942</v>
      </c>
      <c r="F233" s="29">
        <v>29602072103164</v>
      </c>
      <c r="G233" s="28" t="s">
        <v>184</v>
      </c>
      <c r="H233" s="28" t="s">
        <v>2954</v>
      </c>
      <c r="I233" s="28" t="s">
        <v>66</v>
      </c>
      <c r="J233" s="30">
        <v>42904</v>
      </c>
      <c r="K233" s="28" t="s">
        <v>8</v>
      </c>
      <c r="L233" s="28" t="s">
        <v>12</v>
      </c>
      <c r="M233" s="28"/>
      <c r="N233" s="28"/>
      <c r="O233" s="226"/>
      <c r="P233" s="28"/>
      <c r="Q233" s="226"/>
      <c r="R233" s="28"/>
      <c r="S233" s="28"/>
      <c r="T233" s="28"/>
      <c r="U233" s="28"/>
      <c r="V233" s="28"/>
      <c r="W233" s="28" t="s">
        <v>111</v>
      </c>
      <c r="X233" s="28"/>
      <c r="Y233" s="30">
        <v>42929</v>
      </c>
      <c r="Z233" s="28" t="s">
        <v>66</v>
      </c>
      <c r="AA233" s="30"/>
      <c r="AB233" s="28"/>
    </row>
    <row r="234" spans="1:28" ht="15.75" customHeight="1" thickTop="1">
      <c r="A234" s="289" t="s">
        <v>3120</v>
      </c>
      <c r="C234" s="25">
        <v>18</v>
      </c>
      <c r="D234" s="25">
        <v>18636</v>
      </c>
      <c r="E234" s="25" t="s">
        <v>2896</v>
      </c>
      <c r="F234" s="26">
        <v>29806022102901</v>
      </c>
      <c r="G234" s="25" t="s">
        <v>184</v>
      </c>
      <c r="H234" s="25" t="s">
        <v>2914</v>
      </c>
      <c r="I234" s="25" t="s">
        <v>66</v>
      </c>
      <c r="J234" s="27">
        <v>42918</v>
      </c>
      <c r="K234" s="25" t="s">
        <v>8</v>
      </c>
      <c r="L234" s="25" t="s">
        <v>12</v>
      </c>
      <c r="M234" s="25"/>
      <c r="N234" s="25"/>
      <c r="O234" s="224"/>
      <c r="P234" s="25"/>
      <c r="Q234" s="224"/>
      <c r="R234" s="25"/>
      <c r="S234" s="25"/>
      <c r="T234" s="25"/>
      <c r="U234" s="25"/>
      <c r="V234" s="25"/>
      <c r="W234" s="25" t="s">
        <v>111</v>
      </c>
      <c r="X234" s="25"/>
      <c r="Y234" s="27">
        <v>42943</v>
      </c>
      <c r="Z234" s="25" t="s">
        <v>67</v>
      </c>
      <c r="AA234" s="27" t="s">
        <v>3111</v>
      </c>
      <c r="AB234" s="25"/>
    </row>
    <row r="235" spans="1:28" ht="15" customHeight="1">
      <c r="A235" s="290"/>
      <c r="C235" s="16">
        <v>18</v>
      </c>
      <c r="D235" s="16">
        <v>18637</v>
      </c>
      <c r="E235" s="16" t="s">
        <v>2897</v>
      </c>
      <c r="F235" s="3">
        <v>28212228800859</v>
      </c>
      <c r="G235" s="16" t="s">
        <v>184</v>
      </c>
      <c r="H235" s="16" t="s">
        <v>2915</v>
      </c>
      <c r="I235" s="16" t="s">
        <v>66</v>
      </c>
      <c r="J235" s="45">
        <v>42918</v>
      </c>
      <c r="K235" s="16" t="s">
        <v>8</v>
      </c>
      <c r="L235" s="16" t="s">
        <v>12</v>
      </c>
      <c r="M235" s="16"/>
      <c r="N235" s="16"/>
      <c r="W235" s="16" t="s">
        <v>61</v>
      </c>
      <c r="X235" s="16"/>
      <c r="Y235" s="45">
        <v>42943</v>
      </c>
      <c r="Z235" s="16" t="s">
        <v>67</v>
      </c>
      <c r="AA235" s="45" t="s">
        <v>3111</v>
      </c>
      <c r="AB235" s="16"/>
    </row>
    <row r="236" spans="1:28" ht="15" customHeight="1">
      <c r="A236" s="290"/>
      <c r="C236" s="16">
        <v>18</v>
      </c>
      <c r="D236" s="16">
        <v>18638</v>
      </c>
      <c r="E236" s="16" t="s">
        <v>2898</v>
      </c>
      <c r="F236" s="3">
        <v>28911188800295</v>
      </c>
      <c r="G236" s="16" t="s">
        <v>184</v>
      </c>
      <c r="H236" s="16" t="s">
        <v>2916</v>
      </c>
      <c r="I236" s="16" t="s">
        <v>66</v>
      </c>
      <c r="J236" s="45">
        <v>42918</v>
      </c>
      <c r="K236" s="16" t="s">
        <v>8</v>
      </c>
      <c r="L236" s="16" t="s">
        <v>12</v>
      </c>
      <c r="M236" s="16"/>
      <c r="N236" s="16"/>
      <c r="W236" s="16" t="s">
        <v>59</v>
      </c>
      <c r="X236" s="16" t="s">
        <v>66</v>
      </c>
      <c r="Y236" s="45">
        <v>42943</v>
      </c>
      <c r="Z236" s="16" t="s">
        <v>67</v>
      </c>
      <c r="AA236" s="45" t="s">
        <v>3111</v>
      </c>
      <c r="AB236" s="16"/>
    </row>
    <row r="237" spans="1:28" ht="15" customHeight="1">
      <c r="A237" s="290"/>
      <c r="C237" s="2">
        <v>18</v>
      </c>
      <c r="D237" s="2">
        <v>18639</v>
      </c>
      <c r="E237" s="2" t="s">
        <v>2899</v>
      </c>
      <c r="F237" s="3">
        <v>29702151208715</v>
      </c>
      <c r="G237" s="2" t="s">
        <v>184</v>
      </c>
      <c r="H237" s="2" t="s">
        <v>2917</v>
      </c>
      <c r="I237" s="2" t="s">
        <v>66</v>
      </c>
      <c r="J237" s="4">
        <v>42918</v>
      </c>
      <c r="K237" s="2" t="s">
        <v>8</v>
      </c>
      <c r="L237" s="2" t="s">
        <v>12</v>
      </c>
      <c r="W237" s="16" t="s">
        <v>61</v>
      </c>
      <c r="Y237" s="7">
        <v>42943</v>
      </c>
      <c r="Z237" s="16" t="s">
        <v>67</v>
      </c>
      <c r="AA237" s="7" t="s">
        <v>3111</v>
      </c>
    </row>
    <row r="238" spans="1:28" ht="15" customHeight="1">
      <c r="A238" s="290"/>
      <c r="C238" s="2">
        <v>18</v>
      </c>
      <c r="D238" s="2">
        <v>18640</v>
      </c>
      <c r="E238" s="2" t="s">
        <v>2900</v>
      </c>
      <c r="F238" s="3">
        <v>29512110103891</v>
      </c>
      <c r="G238" s="2" t="s">
        <v>34</v>
      </c>
      <c r="H238" s="2" t="s">
        <v>2918</v>
      </c>
      <c r="I238" s="2" t="s">
        <v>66</v>
      </c>
      <c r="J238" s="4">
        <v>42918</v>
      </c>
      <c r="K238" s="2" t="s">
        <v>8</v>
      </c>
      <c r="L238" s="2" t="s">
        <v>12</v>
      </c>
      <c r="W238" s="16" t="s">
        <v>61</v>
      </c>
      <c r="Y238" s="7">
        <v>42943</v>
      </c>
      <c r="Z238" s="16" t="s">
        <v>66</v>
      </c>
      <c r="AA238" s="7" t="s">
        <v>3111</v>
      </c>
    </row>
    <row r="239" spans="1:28" ht="15" customHeight="1">
      <c r="A239" s="290"/>
      <c r="C239" s="2">
        <v>18</v>
      </c>
      <c r="D239" s="2">
        <v>18641</v>
      </c>
      <c r="E239" s="2" t="s">
        <v>2901</v>
      </c>
      <c r="F239" s="3">
        <v>29209010100297</v>
      </c>
      <c r="G239" s="2" t="s">
        <v>34</v>
      </c>
      <c r="H239" s="2" t="s">
        <v>2919</v>
      </c>
      <c r="I239" s="2" t="s">
        <v>66</v>
      </c>
      <c r="J239" s="4">
        <v>42918</v>
      </c>
      <c r="K239" s="2" t="s">
        <v>8</v>
      </c>
      <c r="L239" s="2" t="s">
        <v>12</v>
      </c>
      <c r="W239" s="16" t="s">
        <v>64</v>
      </c>
      <c r="Z239" s="16" t="s">
        <v>67</v>
      </c>
      <c r="AA239" s="7" t="s">
        <v>3111</v>
      </c>
    </row>
    <row r="240" spans="1:28" ht="15" customHeight="1">
      <c r="A240" s="290"/>
      <c r="C240" s="2">
        <v>18</v>
      </c>
      <c r="D240" s="2">
        <v>18642</v>
      </c>
      <c r="E240" s="2" t="s">
        <v>2902</v>
      </c>
      <c r="F240" s="3">
        <v>28701020102261</v>
      </c>
      <c r="G240" s="2" t="s">
        <v>34</v>
      </c>
      <c r="H240" s="2" t="s">
        <v>2920</v>
      </c>
      <c r="I240" s="2" t="s">
        <v>66</v>
      </c>
      <c r="J240" s="4">
        <v>42918</v>
      </c>
      <c r="K240" s="2" t="s">
        <v>8</v>
      </c>
      <c r="L240" s="2" t="s">
        <v>12</v>
      </c>
      <c r="W240" s="16" t="s">
        <v>59</v>
      </c>
      <c r="X240" s="2" t="s">
        <v>66</v>
      </c>
      <c r="Y240" s="7">
        <v>42943</v>
      </c>
      <c r="Z240" s="16" t="s">
        <v>67</v>
      </c>
      <c r="AA240" s="7" t="s">
        <v>3111</v>
      </c>
    </row>
    <row r="241" spans="1:28" ht="15" customHeight="1">
      <c r="A241" s="290"/>
      <c r="C241" s="2">
        <v>18</v>
      </c>
      <c r="D241" s="2">
        <v>18643</v>
      </c>
      <c r="E241" s="2" t="s">
        <v>2903</v>
      </c>
      <c r="F241" s="3">
        <v>27703090201932</v>
      </c>
      <c r="G241" s="2" t="s">
        <v>34</v>
      </c>
      <c r="H241" s="2" t="s">
        <v>2921</v>
      </c>
      <c r="I241" s="2" t="s">
        <v>66</v>
      </c>
      <c r="J241" s="4">
        <v>42918</v>
      </c>
      <c r="K241" s="2" t="s">
        <v>8</v>
      </c>
      <c r="L241" s="2" t="s">
        <v>12</v>
      </c>
      <c r="W241" s="16" t="s">
        <v>111</v>
      </c>
      <c r="Y241" s="7">
        <v>42943</v>
      </c>
      <c r="Z241" s="16" t="s">
        <v>67</v>
      </c>
      <c r="AA241" s="7" t="s">
        <v>3111</v>
      </c>
    </row>
    <row r="242" spans="1:28" ht="15" customHeight="1">
      <c r="A242" s="290"/>
      <c r="C242" s="2">
        <v>18</v>
      </c>
      <c r="D242" s="2">
        <v>18644</v>
      </c>
      <c r="E242" s="2" t="s">
        <v>2904</v>
      </c>
      <c r="F242" s="3">
        <v>29701132103493</v>
      </c>
      <c r="G242" s="2" t="s">
        <v>184</v>
      </c>
      <c r="H242" s="2" t="s">
        <v>2922</v>
      </c>
      <c r="I242" s="2" t="s">
        <v>66</v>
      </c>
      <c r="J242" s="4">
        <v>42918</v>
      </c>
      <c r="K242" s="2" t="s">
        <v>8</v>
      </c>
      <c r="L242" s="2" t="s">
        <v>12</v>
      </c>
      <c r="W242" s="16" t="s">
        <v>60</v>
      </c>
      <c r="Y242" s="7">
        <v>42943</v>
      </c>
      <c r="Z242" s="16" t="s">
        <v>66</v>
      </c>
      <c r="AA242" s="7" t="s">
        <v>3111</v>
      </c>
    </row>
    <row r="243" spans="1:28" ht="15" customHeight="1">
      <c r="A243" s="290"/>
      <c r="C243" s="2">
        <v>18</v>
      </c>
      <c r="D243" s="2">
        <v>18645</v>
      </c>
      <c r="E243" s="2" t="s">
        <v>2905</v>
      </c>
      <c r="F243" s="3">
        <v>29706210102816</v>
      </c>
      <c r="G243" s="2" t="s">
        <v>184</v>
      </c>
      <c r="H243" s="2" t="s">
        <v>2923</v>
      </c>
      <c r="I243" s="2" t="s">
        <v>66</v>
      </c>
      <c r="J243" s="4">
        <v>42918</v>
      </c>
      <c r="K243" s="2" t="s">
        <v>8</v>
      </c>
      <c r="L243" s="2" t="s">
        <v>12</v>
      </c>
      <c r="W243" s="16" t="s">
        <v>61</v>
      </c>
      <c r="Y243" s="7">
        <v>42943</v>
      </c>
      <c r="Z243" s="16" t="s">
        <v>66</v>
      </c>
      <c r="AA243" s="7" t="s">
        <v>3111</v>
      </c>
    </row>
    <row r="244" spans="1:28" ht="15" customHeight="1">
      <c r="A244" s="290"/>
      <c r="C244" s="2">
        <v>18</v>
      </c>
      <c r="D244" s="2">
        <v>18646</v>
      </c>
      <c r="E244" s="2" t="s">
        <v>2906</v>
      </c>
      <c r="F244" s="3">
        <v>29504090101827</v>
      </c>
      <c r="G244" s="2" t="s">
        <v>34</v>
      </c>
      <c r="H244" s="2" t="s">
        <v>2924</v>
      </c>
      <c r="I244" s="2" t="s">
        <v>66</v>
      </c>
      <c r="J244" s="4">
        <v>42918</v>
      </c>
      <c r="K244" s="2" t="s">
        <v>8</v>
      </c>
      <c r="L244" s="2" t="s">
        <v>12</v>
      </c>
      <c r="W244" s="16" t="s">
        <v>59</v>
      </c>
      <c r="X244" s="2" t="s">
        <v>66</v>
      </c>
      <c r="Y244" s="7">
        <v>42943</v>
      </c>
      <c r="Z244" s="16" t="s">
        <v>67</v>
      </c>
      <c r="AA244" s="7" t="s">
        <v>3111</v>
      </c>
    </row>
    <row r="245" spans="1:28" ht="15" customHeight="1">
      <c r="A245" s="290"/>
      <c r="C245" s="2">
        <v>18</v>
      </c>
      <c r="D245" s="2">
        <v>18647</v>
      </c>
      <c r="E245" s="2" t="s">
        <v>2907</v>
      </c>
      <c r="F245" s="3">
        <v>28901012136008</v>
      </c>
      <c r="G245" s="2" t="s">
        <v>34</v>
      </c>
      <c r="H245" s="2" t="s">
        <v>2925</v>
      </c>
      <c r="I245" s="2" t="s">
        <v>66</v>
      </c>
      <c r="J245" s="4">
        <v>42918</v>
      </c>
      <c r="K245" s="2" t="s">
        <v>8</v>
      </c>
      <c r="L245" s="2" t="s">
        <v>12</v>
      </c>
      <c r="W245" s="16" t="s">
        <v>63</v>
      </c>
      <c r="Z245" s="16" t="s">
        <v>67</v>
      </c>
      <c r="AA245" s="7" t="s">
        <v>3111</v>
      </c>
    </row>
    <row r="246" spans="1:28" ht="15" customHeight="1">
      <c r="A246" s="290"/>
      <c r="C246" s="2">
        <v>18</v>
      </c>
      <c r="D246" s="2">
        <v>18648</v>
      </c>
      <c r="E246" s="2" t="s">
        <v>2908</v>
      </c>
      <c r="F246" s="3">
        <v>29306180103172</v>
      </c>
      <c r="H246" s="2" t="s">
        <v>2926</v>
      </c>
      <c r="I246" s="2" t="s">
        <v>66</v>
      </c>
      <c r="J246" s="4">
        <v>42918</v>
      </c>
      <c r="K246" s="2" t="s">
        <v>8</v>
      </c>
      <c r="L246" s="2" t="s">
        <v>12</v>
      </c>
      <c r="W246" s="16" t="s">
        <v>61</v>
      </c>
      <c r="Y246" s="7">
        <v>42943</v>
      </c>
      <c r="Z246" s="16" t="s">
        <v>66</v>
      </c>
      <c r="AA246" s="7" t="s">
        <v>3111</v>
      </c>
    </row>
    <row r="247" spans="1:28" ht="15" customHeight="1">
      <c r="A247" s="290"/>
      <c r="C247" s="2">
        <v>18</v>
      </c>
      <c r="D247" s="2">
        <v>18649</v>
      </c>
      <c r="E247" s="2" t="s">
        <v>2909</v>
      </c>
      <c r="F247" s="3">
        <v>29603170102091</v>
      </c>
      <c r="G247" s="2" t="s">
        <v>184</v>
      </c>
      <c r="H247" s="2" t="s">
        <v>2927</v>
      </c>
      <c r="I247" s="2" t="s">
        <v>66</v>
      </c>
      <c r="J247" s="4">
        <v>42918</v>
      </c>
      <c r="K247" s="2" t="s">
        <v>8</v>
      </c>
      <c r="L247" s="2" t="s">
        <v>12</v>
      </c>
      <c r="W247" s="16" t="s">
        <v>60</v>
      </c>
      <c r="X247" s="2" t="s">
        <v>66</v>
      </c>
      <c r="Y247" s="7">
        <v>42943</v>
      </c>
      <c r="Z247" s="16" t="s">
        <v>66</v>
      </c>
      <c r="AA247" s="7">
        <v>42990</v>
      </c>
    </row>
    <row r="248" spans="1:28" ht="15" customHeight="1">
      <c r="A248" s="290"/>
      <c r="C248" s="16">
        <v>18</v>
      </c>
      <c r="D248" s="16">
        <v>18650</v>
      </c>
      <c r="E248" s="16" t="s">
        <v>2910</v>
      </c>
      <c r="F248" s="3">
        <v>29404250101549</v>
      </c>
      <c r="G248" s="16" t="s">
        <v>34</v>
      </c>
      <c r="H248" s="16" t="s">
        <v>2928</v>
      </c>
      <c r="I248" s="16" t="s">
        <v>66</v>
      </c>
      <c r="J248" s="45">
        <v>42918</v>
      </c>
      <c r="K248" s="16" t="s">
        <v>8</v>
      </c>
      <c r="L248" s="16" t="s">
        <v>12</v>
      </c>
      <c r="M248" s="16"/>
      <c r="N248" s="16"/>
      <c r="W248" s="16" t="s">
        <v>111</v>
      </c>
      <c r="X248" s="16"/>
      <c r="Y248" s="45">
        <v>42943</v>
      </c>
      <c r="Z248" s="16" t="s">
        <v>67</v>
      </c>
      <c r="AA248" s="45" t="s">
        <v>3111</v>
      </c>
      <c r="AB248" s="16"/>
    </row>
    <row r="249" spans="1:28" ht="15" customHeight="1">
      <c r="A249" s="290"/>
      <c r="C249" s="16">
        <v>18</v>
      </c>
      <c r="D249" s="16">
        <v>18651</v>
      </c>
      <c r="E249" s="16" t="s">
        <v>2911</v>
      </c>
      <c r="F249" s="3">
        <v>29811050105137</v>
      </c>
      <c r="G249" s="16" t="s">
        <v>184</v>
      </c>
      <c r="H249" s="16" t="s">
        <v>2929</v>
      </c>
      <c r="I249" s="16" t="s">
        <v>66</v>
      </c>
      <c r="J249" s="45">
        <v>42918</v>
      </c>
      <c r="K249" s="16" t="s">
        <v>8</v>
      </c>
      <c r="L249" s="16" t="s">
        <v>12</v>
      </c>
      <c r="M249" s="16"/>
      <c r="N249" s="16"/>
      <c r="W249" s="16" t="s">
        <v>60</v>
      </c>
      <c r="X249" s="16" t="s">
        <v>66</v>
      </c>
      <c r="Y249" s="45">
        <v>42943</v>
      </c>
      <c r="Z249" s="16" t="s">
        <v>66</v>
      </c>
      <c r="AA249" s="45">
        <v>43290</v>
      </c>
      <c r="AB249" s="16"/>
    </row>
    <row r="250" spans="1:28" ht="15" customHeight="1">
      <c r="A250" s="290"/>
      <c r="C250" s="2">
        <v>18</v>
      </c>
      <c r="D250" s="2">
        <v>18652</v>
      </c>
      <c r="E250" s="2" t="s">
        <v>2912</v>
      </c>
      <c r="F250" s="3">
        <v>29212300100038</v>
      </c>
      <c r="G250" s="2" t="s">
        <v>184</v>
      </c>
      <c r="H250" s="2" t="s">
        <v>2930</v>
      </c>
      <c r="I250" s="2" t="s">
        <v>66</v>
      </c>
      <c r="J250" s="4">
        <v>42918</v>
      </c>
      <c r="K250" s="2" t="s">
        <v>8</v>
      </c>
      <c r="L250" s="2" t="s">
        <v>12</v>
      </c>
      <c r="W250" s="16" t="s">
        <v>111</v>
      </c>
      <c r="Y250" s="7">
        <v>42943</v>
      </c>
      <c r="Z250" s="16" t="s">
        <v>67</v>
      </c>
      <c r="AA250" s="7" t="s">
        <v>3111</v>
      </c>
    </row>
    <row r="251" spans="1:28" ht="15.75" customHeight="1" thickBot="1">
      <c r="A251" s="291"/>
      <c r="C251" s="28">
        <v>18</v>
      </c>
      <c r="D251" s="28">
        <v>14762</v>
      </c>
      <c r="E251" s="28" t="s">
        <v>2913</v>
      </c>
      <c r="F251" s="29">
        <v>29305240103847</v>
      </c>
      <c r="G251" s="28" t="s">
        <v>34</v>
      </c>
      <c r="H251" s="28" t="s">
        <v>2931</v>
      </c>
      <c r="I251" s="28" t="s">
        <v>67</v>
      </c>
      <c r="J251" s="30">
        <v>42918</v>
      </c>
      <c r="K251" s="28" t="s">
        <v>8</v>
      </c>
      <c r="L251" s="28" t="s">
        <v>12</v>
      </c>
      <c r="M251" s="28"/>
      <c r="N251" s="28"/>
      <c r="O251" s="226"/>
      <c r="P251" s="28"/>
      <c r="Q251" s="226"/>
      <c r="R251" s="28"/>
      <c r="S251" s="28"/>
      <c r="T251" s="28"/>
      <c r="U251" s="28"/>
      <c r="V251" s="28"/>
      <c r="W251" s="28" t="s">
        <v>111</v>
      </c>
      <c r="X251" s="28"/>
      <c r="Y251" s="30">
        <v>42943</v>
      </c>
      <c r="Z251" s="28" t="s">
        <v>66</v>
      </c>
      <c r="AA251" s="30">
        <v>42989</v>
      </c>
      <c r="AB251" s="28"/>
    </row>
    <row r="252" spans="1:28" ht="15.75" customHeight="1" thickTop="1">
      <c r="A252" s="289" t="s">
        <v>3118</v>
      </c>
      <c r="C252" s="2">
        <v>19</v>
      </c>
      <c r="D252" s="2">
        <v>14792</v>
      </c>
      <c r="E252" s="2" t="s">
        <v>2860</v>
      </c>
      <c r="F252" s="3">
        <v>27802200100043</v>
      </c>
      <c r="G252" s="2" t="s">
        <v>34</v>
      </c>
      <c r="H252" s="2" t="s">
        <v>2879</v>
      </c>
      <c r="I252" s="2" t="s">
        <v>67</v>
      </c>
      <c r="J252" s="4">
        <v>42932</v>
      </c>
      <c r="K252" s="2" t="s">
        <v>8</v>
      </c>
      <c r="L252" s="2" t="s">
        <v>12</v>
      </c>
      <c r="W252" s="16" t="s">
        <v>60</v>
      </c>
      <c r="Y252" s="7">
        <v>42957</v>
      </c>
      <c r="Z252" s="16" t="s">
        <v>66</v>
      </c>
      <c r="AA252" s="7">
        <v>43220</v>
      </c>
      <c r="AB252" s="12"/>
    </row>
    <row r="253" spans="1:28" ht="15" customHeight="1">
      <c r="A253" s="290"/>
      <c r="C253" s="2">
        <v>19</v>
      </c>
      <c r="D253" s="2">
        <v>18621</v>
      </c>
      <c r="E253" s="2" t="s">
        <v>2863</v>
      </c>
      <c r="F253" s="3">
        <v>29510180101834</v>
      </c>
      <c r="G253" s="2" t="s">
        <v>184</v>
      </c>
      <c r="H253" s="2" t="s">
        <v>2882</v>
      </c>
      <c r="I253" s="2" t="s">
        <v>67</v>
      </c>
      <c r="J253" s="4">
        <v>42932</v>
      </c>
      <c r="K253" s="2" t="s">
        <v>8</v>
      </c>
      <c r="L253" s="2" t="s">
        <v>12</v>
      </c>
      <c r="W253" s="16" t="s">
        <v>64</v>
      </c>
      <c r="X253" s="16"/>
      <c r="Z253" s="16" t="s">
        <v>67</v>
      </c>
    </row>
    <row r="254" spans="1:28" ht="15" customHeight="1">
      <c r="A254" s="290"/>
      <c r="C254" s="2">
        <v>19</v>
      </c>
      <c r="D254" s="2">
        <v>18924</v>
      </c>
      <c r="E254" s="2" t="s">
        <v>2859</v>
      </c>
      <c r="F254" s="3">
        <v>27909092103933</v>
      </c>
      <c r="G254" s="2" t="s">
        <v>184</v>
      </c>
      <c r="H254" s="2" t="s">
        <v>2878</v>
      </c>
      <c r="I254" s="2" t="s">
        <v>66</v>
      </c>
      <c r="J254" s="4">
        <v>42932</v>
      </c>
      <c r="K254" s="2" t="s">
        <v>8</v>
      </c>
      <c r="L254" s="2" t="s">
        <v>12</v>
      </c>
      <c r="W254" s="16" t="s">
        <v>59</v>
      </c>
      <c r="X254" s="2" t="s">
        <v>66</v>
      </c>
      <c r="Y254" s="7">
        <v>42957</v>
      </c>
      <c r="Z254" s="16" t="s">
        <v>67</v>
      </c>
    </row>
    <row r="255" spans="1:28" ht="15" customHeight="1">
      <c r="A255" s="290"/>
      <c r="C255" s="2">
        <v>19</v>
      </c>
      <c r="D255" s="2">
        <v>18925</v>
      </c>
      <c r="E255" s="2" t="s">
        <v>2861</v>
      </c>
      <c r="F255" s="3">
        <v>29511210102195</v>
      </c>
      <c r="G255" s="2" t="s">
        <v>34</v>
      </c>
      <c r="H255" s="2" t="s">
        <v>2880</v>
      </c>
      <c r="I255" s="2" t="s">
        <v>66</v>
      </c>
      <c r="J255" s="4">
        <v>42932</v>
      </c>
      <c r="K255" s="2" t="s">
        <v>8</v>
      </c>
      <c r="L255" s="2" t="s">
        <v>12</v>
      </c>
      <c r="W255" s="16" t="s">
        <v>62</v>
      </c>
      <c r="X255" s="2" t="s">
        <v>66</v>
      </c>
      <c r="Y255" s="7">
        <v>42957</v>
      </c>
      <c r="Z255" s="16" t="s">
        <v>67</v>
      </c>
    </row>
    <row r="256" spans="1:28" ht="15" customHeight="1">
      <c r="A256" s="290"/>
      <c r="C256" s="2">
        <v>19</v>
      </c>
      <c r="D256" s="2">
        <v>18926</v>
      </c>
      <c r="E256" s="2" t="s">
        <v>2862</v>
      </c>
      <c r="F256" s="3">
        <v>29408091201028</v>
      </c>
      <c r="G256" s="2" t="s">
        <v>34</v>
      </c>
      <c r="H256" s="2" t="s">
        <v>2881</v>
      </c>
      <c r="I256" s="2" t="s">
        <v>66</v>
      </c>
      <c r="J256" s="4">
        <v>42932</v>
      </c>
      <c r="K256" s="2" t="s">
        <v>8</v>
      </c>
      <c r="L256" s="2" t="s">
        <v>12</v>
      </c>
      <c r="W256" s="16" t="s">
        <v>60</v>
      </c>
      <c r="Y256" s="7">
        <v>42957</v>
      </c>
      <c r="Z256" s="16" t="s">
        <v>66</v>
      </c>
    </row>
    <row r="257" spans="1:28" ht="15" customHeight="1">
      <c r="A257" s="290"/>
      <c r="C257" s="2">
        <v>19</v>
      </c>
      <c r="D257" s="2">
        <v>18927</v>
      </c>
      <c r="E257" s="2" t="s">
        <v>2864</v>
      </c>
      <c r="F257" s="3">
        <v>28904010108693</v>
      </c>
      <c r="G257" s="2" t="s">
        <v>184</v>
      </c>
      <c r="H257" s="2" t="s">
        <v>2883</v>
      </c>
      <c r="I257" s="2" t="s">
        <v>66</v>
      </c>
      <c r="J257" s="7">
        <v>42932</v>
      </c>
      <c r="K257" s="2" t="s">
        <v>8</v>
      </c>
      <c r="L257" s="2" t="s">
        <v>12</v>
      </c>
      <c r="W257" s="16" t="s">
        <v>60</v>
      </c>
      <c r="Y257" s="7">
        <v>42957</v>
      </c>
      <c r="Z257" s="16" t="s">
        <v>66</v>
      </c>
    </row>
    <row r="258" spans="1:28" ht="15" customHeight="1">
      <c r="A258" s="290"/>
      <c r="C258" s="2">
        <v>19</v>
      </c>
      <c r="D258" s="2">
        <v>18928</v>
      </c>
      <c r="E258" s="2" t="s">
        <v>2866</v>
      </c>
      <c r="F258" s="3">
        <v>28910012124319</v>
      </c>
      <c r="G258" s="2" t="s">
        <v>34</v>
      </c>
      <c r="H258" s="2" t="s">
        <v>2885</v>
      </c>
      <c r="I258" s="2" t="s">
        <v>66</v>
      </c>
      <c r="J258" s="7">
        <v>42932</v>
      </c>
      <c r="K258" s="2" t="s">
        <v>8</v>
      </c>
      <c r="L258" s="2" t="s">
        <v>12</v>
      </c>
      <c r="W258" s="16" t="s">
        <v>61</v>
      </c>
      <c r="Y258" s="7">
        <v>42957</v>
      </c>
      <c r="Z258" s="16" t="s">
        <v>66</v>
      </c>
      <c r="AA258" s="7">
        <v>43094</v>
      </c>
      <c r="AB258" s="12" t="s">
        <v>802</v>
      </c>
    </row>
    <row r="259" spans="1:28" ht="15" customHeight="1">
      <c r="A259" s="290"/>
      <c r="C259" s="2">
        <v>19</v>
      </c>
      <c r="D259" s="2">
        <v>18929</v>
      </c>
      <c r="E259" s="2" t="s">
        <v>2865</v>
      </c>
      <c r="F259" s="3">
        <v>29210011245319</v>
      </c>
      <c r="G259" s="2" t="s">
        <v>34</v>
      </c>
      <c r="H259" s="2" t="s">
        <v>2884</v>
      </c>
      <c r="I259" s="2" t="s">
        <v>66</v>
      </c>
      <c r="J259" s="7">
        <v>42932</v>
      </c>
      <c r="K259" s="2" t="s">
        <v>8</v>
      </c>
      <c r="L259" s="2" t="s">
        <v>12</v>
      </c>
      <c r="W259" s="16" t="s">
        <v>60</v>
      </c>
      <c r="Y259" s="7">
        <v>42957</v>
      </c>
      <c r="Z259" s="16" t="s">
        <v>66</v>
      </c>
    </row>
    <row r="260" spans="1:28" ht="15" customHeight="1">
      <c r="A260" s="290"/>
      <c r="C260" s="16">
        <v>19</v>
      </c>
      <c r="D260" s="16">
        <v>18930</v>
      </c>
      <c r="E260" s="16" t="s">
        <v>2870</v>
      </c>
      <c r="F260" s="3">
        <v>29409148800451</v>
      </c>
      <c r="G260" s="16" t="s">
        <v>184</v>
      </c>
      <c r="H260" s="16" t="s">
        <v>2889</v>
      </c>
      <c r="I260" s="16" t="s">
        <v>66</v>
      </c>
      <c r="J260" s="45">
        <v>42932</v>
      </c>
      <c r="K260" s="16" t="s">
        <v>8</v>
      </c>
      <c r="L260" s="16" t="s">
        <v>12</v>
      </c>
      <c r="M260" s="16"/>
      <c r="N260" s="16"/>
      <c r="W260" s="16" t="s">
        <v>60</v>
      </c>
      <c r="X260" s="16"/>
      <c r="Y260" s="45">
        <v>42957</v>
      </c>
      <c r="Z260" s="16" t="s">
        <v>66</v>
      </c>
      <c r="AA260" s="45">
        <v>43283</v>
      </c>
      <c r="AB260" s="16" t="s">
        <v>6271</v>
      </c>
    </row>
    <row r="261" spans="1:28" ht="15" customHeight="1">
      <c r="A261" s="290"/>
      <c r="C261" s="16">
        <v>19</v>
      </c>
      <c r="D261" s="16">
        <v>18931</v>
      </c>
      <c r="E261" s="16" t="s">
        <v>2867</v>
      </c>
      <c r="F261" s="3">
        <v>28403300201833</v>
      </c>
      <c r="G261" s="16" t="s">
        <v>34</v>
      </c>
      <c r="H261" s="16" t="s">
        <v>2886</v>
      </c>
      <c r="I261" s="16" t="s">
        <v>66</v>
      </c>
      <c r="J261" s="45">
        <v>42932</v>
      </c>
      <c r="K261" s="16" t="s">
        <v>8</v>
      </c>
      <c r="L261" s="16" t="s">
        <v>12</v>
      </c>
      <c r="M261" s="16"/>
      <c r="N261" s="16"/>
      <c r="W261" s="16" t="s">
        <v>61</v>
      </c>
      <c r="X261" s="16"/>
      <c r="Y261" s="45">
        <v>42957</v>
      </c>
      <c r="Z261" s="16" t="s">
        <v>66</v>
      </c>
      <c r="AA261" s="45">
        <v>42985</v>
      </c>
      <c r="AB261" s="16"/>
    </row>
    <row r="262" spans="1:28" ht="15" customHeight="1">
      <c r="A262" s="290"/>
      <c r="C262" s="2">
        <v>19</v>
      </c>
      <c r="D262" s="2">
        <v>18932</v>
      </c>
      <c r="E262" s="2" t="s">
        <v>2868</v>
      </c>
      <c r="F262" s="3">
        <v>29311300102454</v>
      </c>
      <c r="G262" s="2" t="s">
        <v>184</v>
      </c>
      <c r="H262" s="2" t="s">
        <v>2887</v>
      </c>
      <c r="I262" s="2" t="s">
        <v>66</v>
      </c>
      <c r="J262" s="7">
        <v>42932</v>
      </c>
      <c r="K262" s="2" t="s">
        <v>8</v>
      </c>
      <c r="L262" s="2" t="s">
        <v>12</v>
      </c>
      <c r="W262" s="16" t="s">
        <v>61</v>
      </c>
      <c r="Y262" s="7">
        <v>42957</v>
      </c>
      <c r="Z262" s="16" t="s">
        <v>66</v>
      </c>
      <c r="AA262" s="7">
        <v>42985</v>
      </c>
    </row>
    <row r="263" spans="1:28" ht="15" customHeight="1">
      <c r="A263" s="290"/>
      <c r="C263" s="2">
        <v>19</v>
      </c>
      <c r="D263" s="2">
        <v>18933</v>
      </c>
      <c r="E263" s="2" t="s">
        <v>2869</v>
      </c>
      <c r="F263" s="3">
        <v>28710290200973</v>
      </c>
      <c r="G263" s="2" t="s">
        <v>34</v>
      </c>
      <c r="H263" s="2" t="s">
        <v>2888</v>
      </c>
      <c r="I263" s="2" t="s">
        <v>66</v>
      </c>
      <c r="J263" s="7">
        <v>42932</v>
      </c>
      <c r="K263" s="2" t="s">
        <v>8</v>
      </c>
      <c r="L263" s="2" t="s">
        <v>12</v>
      </c>
      <c r="W263" s="16" t="s">
        <v>60</v>
      </c>
      <c r="Y263" s="7">
        <v>42957</v>
      </c>
      <c r="Z263" s="16" t="s">
        <v>66</v>
      </c>
      <c r="AA263" s="7">
        <v>43220</v>
      </c>
    </row>
    <row r="264" spans="1:28" ht="15" customHeight="1">
      <c r="A264" s="290"/>
      <c r="C264" s="16">
        <v>19</v>
      </c>
      <c r="D264" s="16">
        <v>18934</v>
      </c>
      <c r="E264" s="16" t="s">
        <v>2871</v>
      </c>
      <c r="F264" s="3">
        <v>28601108800533</v>
      </c>
      <c r="G264" s="16" t="s">
        <v>34</v>
      </c>
      <c r="H264" s="16" t="s">
        <v>2890</v>
      </c>
      <c r="I264" s="16" t="s">
        <v>66</v>
      </c>
      <c r="J264" s="45">
        <v>42932</v>
      </c>
      <c r="K264" s="16" t="s">
        <v>8</v>
      </c>
      <c r="L264" s="16" t="s">
        <v>12</v>
      </c>
      <c r="M264" s="16"/>
      <c r="N264" s="16"/>
      <c r="W264" s="16" t="s">
        <v>111</v>
      </c>
      <c r="X264" s="16"/>
      <c r="Y264" s="45">
        <v>42957</v>
      </c>
      <c r="Z264" s="16" t="s">
        <v>67</v>
      </c>
      <c r="AA264" s="45" t="s">
        <v>3111</v>
      </c>
      <c r="AB264" s="16"/>
    </row>
    <row r="265" spans="1:28" ht="15" customHeight="1">
      <c r="A265" s="290"/>
      <c r="C265" s="2">
        <v>19</v>
      </c>
      <c r="D265" s="2">
        <v>18935</v>
      </c>
      <c r="E265" s="2" t="s">
        <v>2873</v>
      </c>
      <c r="F265" s="3">
        <v>29504061700126</v>
      </c>
      <c r="G265" s="2" t="s">
        <v>34</v>
      </c>
      <c r="H265" s="2" t="s">
        <v>2892</v>
      </c>
      <c r="I265" s="2" t="s">
        <v>66</v>
      </c>
      <c r="J265" s="7">
        <v>42932</v>
      </c>
      <c r="K265" s="2" t="s">
        <v>8</v>
      </c>
      <c r="L265" s="2" t="s">
        <v>12</v>
      </c>
      <c r="W265" s="16" t="s">
        <v>61</v>
      </c>
      <c r="Y265" s="7">
        <v>42957</v>
      </c>
      <c r="Z265" s="16" t="s">
        <v>66</v>
      </c>
      <c r="AA265" s="7">
        <v>43416</v>
      </c>
      <c r="AB265" s="2" t="s">
        <v>3218</v>
      </c>
    </row>
    <row r="266" spans="1:28" ht="15" customHeight="1">
      <c r="A266" s="290"/>
      <c r="C266" s="2">
        <v>19</v>
      </c>
      <c r="D266" s="2">
        <v>18936</v>
      </c>
      <c r="E266" s="2" t="s">
        <v>2874</v>
      </c>
      <c r="F266" s="3">
        <v>29509220101826</v>
      </c>
      <c r="G266" s="2" t="s">
        <v>184</v>
      </c>
      <c r="H266" s="2" t="s">
        <v>2893</v>
      </c>
      <c r="I266" s="2" t="s">
        <v>66</v>
      </c>
      <c r="J266" s="7">
        <v>42932</v>
      </c>
      <c r="K266" s="2" t="s">
        <v>8</v>
      </c>
      <c r="L266" s="2" t="s">
        <v>12</v>
      </c>
      <c r="W266" s="16" t="s">
        <v>61</v>
      </c>
      <c r="Y266" s="7">
        <v>42957</v>
      </c>
      <c r="Z266" s="16" t="s">
        <v>66</v>
      </c>
      <c r="AA266" s="7" t="s">
        <v>3111</v>
      </c>
    </row>
    <row r="267" spans="1:28" ht="15" customHeight="1">
      <c r="A267" s="290"/>
      <c r="C267" s="16">
        <v>19</v>
      </c>
      <c r="D267" s="16">
        <v>18937</v>
      </c>
      <c r="E267" s="16" t="s">
        <v>2875</v>
      </c>
      <c r="F267" s="3">
        <v>29501072103546</v>
      </c>
      <c r="G267" s="16" t="s">
        <v>34</v>
      </c>
      <c r="H267" s="16" t="s">
        <v>2894</v>
      </c>
      <c r="I267" s="16" t="s">
        <v>66</v>
      </c>
      <c r="J267" s="45">
        <v>42932</v>
      </c>
      <c r="K267" s="16" t="s">
        <v>8</v>
      </c>
      <c r="L267" s="16" t="s">
        <v>12</v>
      </c>
      <c r="M267" s="16"/>
      <c r="N267" s="16"/>
      <c r="W267" s="16" t="s">
        <v>61</v>
      </c>
      <c r="X267" s="16"/>
      <c r="Y267" s="45">
        <v>42957</v>
      </c>
      <c r="Z267" s="16" t="s">
        <v>66</v>
      </c>
      <c r="AA267" s="45">
        <v>42990</v>
      </c>
      <c r="AB267" s="16"/>
    </row>
    <row r="268" spans="1:28" ht="15" customHeight="1">
      <c r="A268" s="290"/>
      <c r="C268" s="16">
        <v>19</v>
      </c>
      <c r="D268" s="16">
        <v>18938</v>
      </c>
      <c r="E268" s="16" t="s">
        <v>2876</v>
      </c>
      <c r="F268" s="3">
        <v>29501010140623</v>
      </c>
      <c r="G268" s="16" t="s">
        <v>34</v>
      </c>
      <c r="H268" s="16" t="s">
        <v>2895</v>
      </c>
      <c r="I268" s="16" t="s">
        <v>66</v>
      </c>
      <c r="J268" s="45">
        <v>42932</v>
      </c>
      <c r="K268" s="16" t="s">
        <v>8</v>
      </c>
      <c r="L268" s="16" t="s">
        <v>12</v>
      </c>
      <c r="M268" s="16"/>
      <c r="N268" s="16"/>
      <c r="W268" s="16" t="s">
        <v>63</v>
      </c>
      <c r="X268" s="16"/>
      <c r="Y268" s="45"/>
      <c r="Z268" s="16" t="s">
        <v>67</v>
      </c>
      <c r="AA268" s="45" t="s">
        <v>3111</v>
      </c>
      <c r="AB268" s="16"/>
    </row>
    <row r="269" spans="1:28" ht="15.75" customHeight="1" thickBot="1">
      <c r="A269" s="291"/>
      <c r="C269" s="28">
        <v>19</v>
      </c>
      <c r="D269" s="28">
        <v>18993</v>
      </c>
      <c r="E269" s="28" t="s">
        <v>2872</v>
      </c>
      <c r="F269" s="29">
        <v>29501011406244</v>
      </c>
      <c r="G269" s="28" t="s">
        <v>34</v>
      </c>
      <c r="H269" s="28" t="s">
        <v>2891</v>
      </c>
      <c r="I269" s="28" t="s">
        <v>66</v>
      </c>
      <c r="J269" s="30">
        <v>42932</v>
      </c>
      <c r="K269" s="28" t="s">
        <v>8</v>
      </c>
      <c r="L269" s="28" t="s">
        <v>12</v>
      </c>
      <c r="M269" s="28"/>
      <c r="N269" s="28"/>
      <c r="O269" s="226"/>
      <c r="P269" s="28"/>
      <c r="Q269" s="226"/>
      <c r="R269" s="28"/>
      <c r="S269" s="28"/>
      <c r="T269" s="28"/>
      <c r="U269" s="28"/>
      <c r="V269" s="28"/>
      <c r="W269" s="28"/>
      <c r="X269" s="28"/>
      <c r="Y269" s="30"/>
      <c r="Z269" s="28"/>
      <c r="AA269" s="30"/>
      <c r="AB269" s="28"/>
    </row>
    <row r="270" spans="1:28" ht="15" customHeight="1" thickTop="1">
      <c r="A270" s="290"/>
      <c r="C270" s="12">
        <v>20</v>
      </c>
      <c r="D270" s="2">
        <v>18939</v>
      </c>
      <c r="E270" s="2" t="s">
        <v>2820</v>
      </c>
      <c r="F270" s="3">
        <v>29101131100906</v>
      </c>
      <c r="G270" s="2" t="s">
        <v>34</v>
      </c>
      <c r="H270" s="16" t="s">
        <v>2840</v>
      </c>
      <c r="I270" s="2" t="s">
        <v>66</v>
      </c>
      <c r="J270" s="7">
        <v>42932</v>
      </c>
      <c r="K270" s="2" t="s">
        <v>8</v>
      </c>
      <c r="L270" s="2" t="s">
        <v>12</v>
      </c>
      <c r="N270" s="16"/>
      <c r="W270" s="16" t="s">
        <v>60</v>
      </c>
      <c r="Y270" s="7">
        <v>42957</v>
      </c>
      <c r="Z270" s="16" t="s">
        <v>66</v>
      </c>
    </row>
    <row r="271" spans="1:28" ht="15" customHeight="1">
      <c r="A271" s="290"/>
      <c r="C271" s="12">
        <v>20</v>
      </c>
      <c r="D271" s="2">
        <v>18940</v>
      </c>
      <c r="E271" s="2" t="s">
        <v>2821</v>
      </c>
      <c r="F271" s="3">
        <v>29404140100041</v>
      </c>
      <c r="G271" s="2" t="s">
        <v>34</v>
      </c>
      <c r="H271" s="16" t="s">
        <v>2841</v>
      </c>
      <c r="I271" s="2" t="s">
        <v>66</v>
      </c>
      <c r="J271" s="7">
        <v>42932</v>
      </c>
      <c r="K271" s="2" t="s">
        <v>8</v>
      </c>
      <c r="L271" s="2" t="s">
        <v>12</v>
      </c>
      <c r="N271" s="16"/>
      <c r="W271" s="16" t="s">
        <v>60</v>
      </c>
      <c r="Y271" s="7">
        <v>42957</v>
      </c>
      <c r="Z271" s="16" t="s">
        <v>66</v>
      </c>
    </row>
    <row r="272" spans="1:28" ht="15" customHeight="1">
      <c r="A272" s="290"/>
      <c r="C272" s="12">
        <v>20</v>
      </c>
      <c r="D272" s="2">
        <v>18941</v>
      </c>
      <c r="E272" s="2" t="s">
        <v>2822</v>
      </c>
      <c r="F272" s="3">
        <v>29509090101241</v>
      </c>
      <c r="G272" s="2" t="s">
        <v>34</v>
      </c>
      <c r="H272" s="16" t="s">
        <v>2842</v>
      </c>
      <c r="I272" s="2" t="s">
        <v>66</v>
      </c>
      <c r="J272" s="7">
        <v>42932</v>
      </c>
      <c r="K272" s="2" t="s">
        <v>8</v>
      </c>
      <c r="L272" s="2" t="s">
        <v>12</v>
      </c>
      <c r="N272" s="16"/>
      <c r="W272" s="16" t="s">
        <v>64</v>
      </c>
      <c r="Z272" s="16" t="s">
        <v>67</v>
      </c>
    </row>
    <row r="273" spans="1:28" ht="15" customHeight="1">
      <c r="A273" s="290"/>
      <c r="C273" s="12">
        <v>20</v>
      </c>
      <c r="D273" s="2">
        <v>18942</v>
      </c>
      <c r="E273" s="2" t="s">
        <v>2823</v>
      </c>
      <c r="F273" s="3">
        <v>29507150101821</v>
      </c>
      <c r="G273" s="2" t="s">
        <v>34</v>
      </c>
      <c r="H273" s="16" t="s">
        <v>2843</v>
      </c>
      <c r="I273" s="2" t="s">
        <v>66</v>
      </c>
      <c r="J273" s="7">
        <v>42932</v>
      </c>
      <c r="K273" s="2" t="s">
        <v>8</v>
      </c>
      <c r="L273" s="2" t="s">
        <v>12</v>
      </c>
      <c r="N273" s="16"/>
      <c r="W273" s="16" t="s">
        <v>61</v>
      </c>
      <c r="Y273" s="7">
        <v>42957</v>
      </c>
      <c r="Z273" s="16" t="s">
        <v>66</v>
      </c>
    </row>
    <row r="274" spans="1:28" ht="15" customHeight="1">
      <c r="A274" s="290"/>
      <c r="C274" s="2">
        <v>20</v>
      </c>
      <c r="D274" s="2">
        <v>18943</v>
      </c>
      <c r="E274" s="2" t="s">
        <v>2824</v>
      </c>
      <c r="F274" s="3">
        <v>28710280101837</v>
      </c>
      <c r="G274" s="2" t="s">
        <v>34</v>
      </c>
      <c r="H274" s="16" t="s">
        <v>2844</v>
      </c>
      <c r="I274" s="2" t="s">
        <v>66</v>
      </c>
      <c r="J274" s="7">
        <v>42932</v>
      </c>
      <c r="K274" s="2" t="s">
        <v>8</v>
      </c>
      <c r="L274" s="2" t="s">
        <v>12</v>
      </c>
      <c r="N274" s="16"/>
      <c r="W274" s="16" t="s">
        <v>61</v>
      </c>
      <c r="Y274" s="7">
        <v>42957</v>
      </c>
      <c r="Z274" s="16" t="s">
        <v>66</v>
      </c>
    </row>
    <row r="275" spans="1:28" ht="15" customHeight="1">
      <c r="A275" s="290"/>
      <c r="C275" s="12">
        <v>20</v>
      </c>
      <c r="D275" s="2">
        <v>18944</v>
      </c>
      <c r="E275" s="2" t="s">
        <v>2825</v>
      </c>
      <c r="F275" s="3">
        <v>29307200105858</v>
      </c>
      <c r="G275" s="2" t="s">
        <v>34</v>
      </c>
      <c r="H275" s="16" t="s">
        <v>2845</v>
      </c>
      <c r="I275" s="2" t="s">
        <v>66</v>
      </c>
      <c r="J275" s="7">
        <v>42932</v>
      </c>
      <c r="K275" s="2" t="s">
        <v>8</v>
      </c>
      <c r="L275" s="2" t="s">
        <v>12</v>
      </c>
      <c r="N275" s="16"/>
      <c r="W275" s="16" t="s">
        <v>60</v>
      </c>
      <c r="X275" s="2" t="s">
        <v>66</v>
      </c>
      <c r="Y275" s="7">
        <v>42957</v>
      </c>
      <c r="Z275" s="16" t="s">
        <v>66</v>
      </c>
      <c r="AB275" s="2" t="s">
        <v>3110</v>
      </c>
    </row>
    <row r="276" spans="1:28" ht="15" customHeight="1">
      <c r="A276" s="290"/>
      <c r="C276" s="2">
        <v>20</v>
      </c>
      <c r="D276" s="2">
        <v>18945</v>
      </c>
      <c r="E276" s="2" t="s">
        <v>2826</v>
      </c>
      <c r="F276" s="3">
        <v>29603280101996</v>
      </c>
      <c r="G276" s="2" t="s">
        <v>34</v>
      </c>
      <c r="H276" s="16" t="s">
        <v>2846</v>
      </c>
      <c r="I276" s="2" t="s">
        <v>66</v>
      </c>
      <c r="J276" s="7">
        <v>42932</v>
      </c>
      <c r="K276" s="2" t="s">
        <v>8</v>
      </c>
      <c r="L276" s="2" t="s">
        <v>12</v>
      </c>
      <c r="W276" s="16" t="s">
        <v>111</v>
      </c>
      <c r="Y276" s="7">
        <v>42957</v>
      </c>
      <c r="Z276" s="16" t="s">
        <v>67</v>
      </c>
    </row>
    <row r="277" spans="1:28" ht="15" customHeight="1">
      <c r="A277" s="290"/>
      <c r="C277" s="2">
        <v>20</v>
      </c>
      <c r="D277" s="2">
        <v>18946</v>
      </c>
      <c r="E277" s="2" t="s">
        <v>2827</v>
      </c>
      <c r="F277" s="3">
        <v>29512051400739</v>
      </c>
      <c r="G277" s="2" t="s">
        <v>184</v>
      </c>
      <c r="H277" s="2" t="s">
        <v>2847</v>
      </c>
      <c r="I277" s="2" t="s">
        <v>66</v>
      </c>
      <c r="J277" s="7">
        <v>42932</v>
      </c>
      <c r="K277" s="2" t="s">
        <v>8</v>
      </c>
      <c r="L277" s="2" t="s">
        <v>12</v>
      </c>
      <c r="W277" s="16" t="s">
        <v>64</v>
      </c>
      <c r="Z277" s="16" t="s">
        <v>67</v>
      </c>
    </row>
    <row r="278" spans="1:28" ht="15" customHeight="1">
      <c r="A278" s="290"/>
      <c r="C278" s="16">
        <v>20</v>
      </c>
      <c r="D278" s="16">
        <v>18947</v>
      </c>
      <c r="E278" s="16" t="s">
        <v>2828</v>
      </c>
      <c r="F278" s="3">
        <v>29312188800425</v>
      </c>
      <c r="G278" s="16" t="s">
        <v>34</v>
      </c>
      <c r="H278" s="16" t="s">
        <v>2848</v>
      </c>
      <c r="I278" s="16" t="s">
        <v>66</v>
      </c>
      <c r="J278" s="45">
        <v>42932</v>
      </c>
      <c r="K278" s="16" t="s">
        <v>8</v>
      </c>
      <c r="L278" s="16" t="s">
        <v>12</v>
      </c>
      <c r="M278" s="16"/>
      <c r="N278" s="16"/>
      <c r="W278" s="16" t="s">
        <v>61</v>
      </c>
      <c r="X278" s="16"/>
      <c r="Y278" s="45">
        <v>42957</v>
      </c>
      <c r="Z278" s="16" t="s">
        <v>66</v>
      </c>
      <c r="AA278" s="45"/>
      <c r="AB278" s="16"/>
    </row>
    <row r="279" spans="1:28" ht="15" customHeight="1">
      <c r="A279" s="290"/>
      <c r="C279" s="16">
        <v>20</v>
      </c>
      <c r="D279" s="16">
        <v>18948</v>
      </c>
      <c r="E279" s="16" t="s">
        <v>2829</v>
      </c>
      <c r="F279" s="3">
        <v>29803140101201</v>
      </c>
      <c r="G279" s="16" t="s">
        <v>184</v>
      </c>
      <c r="H279" s="16" t="s">
        <v>2849</v>
      </c>
      <c r="I279" s="16" t="s">
        <v>66</v>
      </c>
      <c r="J279" s="45">
        <v>42932</v>
      </c>
      <c r="K279" s="16" t="s">
        <v>8</v>
      </c>
      <c r="L279" s="16" t="s">
        <v>12</v>
      </c>
      <c r="M279" s="16"/>
      <c r="N279" s="16"/>
      <c r="W279" s="16" t="s">
        <v>64</v>
      </c>
      <c r="X279" s="16"/>
      <c r="Y279" s="45"/>
      <c r="Z279" s="16" t="s">
        <v>67</v>
      </c>
      <c r="AA279" s="45"/>
      <c r="AB279" s="16"/>
    </row>
    <row r="280" spans="1:28" ht="15" customHeight="1">
      <c r="A280" s="290"/>
      <c r="C280" s="2">
        <v>20</v>
      </c>
      <c r="D280" s="2">
        <v>18949</v>
      </c>
      <c r="E280" s="2" t="s">
        <v>2830</v>
      </c>
      <c r="F280" s="3">
        <v>29003090101313</v>
      </c>
      <c r="G280" s="2" t="s">
        <v>34</v>
      </c>
      <c r="H280" s="16" t="s">
        <v>2850</v>
      </c>
      <c r="I280" s="2" t="s">
        <v>66</v>
      </c>
      <c r="J280" s="7">
        <v>42932</v>
      </c>
      <c r="K280" s="2" t="s">
        <v>8</v>
      </c>
      <c r="L280" s="2" t="s">
        <v>12</v>
      </c>
      <c r="W280" s="16" t="s">
        <v>60</v>
      </c>
      <c r="Y280" s="7">
        <v>42957</v>
      </c>
      <c r="Z280" s="16" t="s">
        <v>66</v>
      </c>
    </row>
    <row r="281" spans="1:28" ht="15" customHeight="1">
      <c r="A281" s="290"/>
      <c r="C281" s="2">
        <v>20</v>
      </c>
      <c r="D281" s="2">
        <v>18950</v>
      </c>
      <c r="E281" s="2" t="s">
        <v>2831</v>
      </c>
      <c r="F281" s="3">
        <v>29002100300038</v>
      </c>
      <c r="G281" s="2" t="s">
        <v>34</v>
      </c>
      <c r="H281" s="2" t="s">
        <v>2851</v>
      </c>
      <c r="I281" s="2" t="s">
        <v>66</v>
      </c>
      <c r="J281" s="7">
        <v>42932</v>
      </c>
      <c r="K281" s="2" t="s">
        <v>8</v>
      </c>
      <c r="L281" s="2" t="s">
        <v>12</v>
      </c>
      <c r="W281" s="16" t="s">
        <v>61</v>
      </c>
      <c r="Y281" s="7">
        <v>42957</v>
      </c>
      <c r="Z281" s="16" t="s">
        <v>66</v>
      </c>
    </row>
    <row r="282" spans="1:28" ht="15" customHeight="1">
      <c r="A282" s="290"/>
      <c r="C282" s="2">
        <v>20</v>
      </c>
      <c r="D282" s="2">
        <v>18951</v>
      </c>
      <c r="E282" s="2" t="s">
        <v>2832</v>
      </c>
      <c r="F282" s="3">
        <v>29403241400677</v>
      </c>
      <c r="G282" s="2" t="s">
        <v>34</v>
      </c>
      <c r="H282" s="2" t="s">
        <v>2852</v>
      </c>
      <c r="I282" s="2" t="s">
        <v>66</v>
      </c>
      <c r="J282" s="7">
        <v>42932</v>
      </c>
      <c r="K282" s="2" t="s">
        <v>8</v>
      </c>
      <c r="L282" s="2" t="s">
        <v>12</v>
      </c>
      <c r="W282" s="16" t="s">
        <v>59</v>
      </c>
      <c r="X282" s="2" t="s">
        <v>66</v>
      </c>
      <c r="Y282" s="7">
        <v>42957</v>
      </c>
      <c r="Z282" s="16" t="s">
        <v>67</v>
      </c>
    </row>
    <row r="283" spans="1:28" ht="15" customHeight="1">
      <c r="A283" s="290"/>
      <c r="C283" s="16">
        <v>20</v>
      </c>
      <c r="D283" s="16">
        <v>18952</v>
      </c>
      <c r="E283" s="16" t="s">
        <v>2833</v>
      </c>
      <c r="F283" s="3">
        <v>29801022102518</v>
      </c>
      <c r="G283" s="16" t="s">
        <v>184</v>
      </c>
      <c r="H283" s="16" t="s">
        <v>2853</v>
      </c>
      <c r="I283" s="16" t="s">
        <v>66</v>
      </c>
      <c r="J283" s="45">
        <v>42932</v>
      </c>
      <c r="K283" s="16" t="s">
        <v>8</v>
      </c>
      <c r="L283" s="16" t="s">
        <v>12</v>
      </c>
      <c r="M283" s="16"/>
      <c r="N283" s="16"/>
      <c r="W283" s="16" t="s">
        <v>111</v>
      </c>
      <c r="X283" s="16"/>
      <c r="Y283" s="45">
        <v>42957</v>
      </c>
      <c r="Z283" s="16" t="s">
        <v>67</v>
      </c>
      <c r="AA283" s="45"/>
      <c r="AB283" s="16"/>
    </row>
    <row r="284" spans="1:28" ht="15" customHeight="1">
      <c r="A284" s="290"/>
      <c r="C284" s="2">
        <v>20</v>
      </c>
      <c r="D284" s="2">
        <v>18953</v>
      </c>
      <c r="E284" s="2" t="s">
        <v>2834</v>
      </c>
      <c r="F284" s="3">
        <v>29811040101699</v>
      </c>
      <c r="G284" s="2" t="s">
        <v>184</v>
      </c>
      <c r="H284" s="2" t="s">
        <v>2854</v>
      </c>
      <c r="I284" s="2" t="s">
        <v>66</v>
      </c>
      <c r="J284" s="7">
        <v>42932</v>
      </c>
      <c r="K284" s="2" t="s">
        <v>8</v>
      </c>
      <c r="L284" s="2" t="s">
        <v>12</v>
      </c>
      <c r="W284" s="16" t="s">
        <v>111</v>
      </c>
      <c r="Y284" s="7">
        <v>42957</v>
      </c>
      <c r="Z284" s="16" t="s">
        <v>67</v>
      </c>
    </row>
    <row r="285" spans="1:28" ht="15" customHeight="1">
      <c r="A285" s="290"/>
      <c r="C285" s="2">
        <v>20</v>
      </c>
      <c r="D285" s="2">
        <v>18954</v>
      </c>
      <c r="E285" s="2" t="s">
        <v>2835</v>
      </c>
      <c r="F285" s="3" t="s">
        <v>2836</v>
      </c>
      <c r="G285" s="2" t="s">
        <v>34</v>
      </c>
      <c r="H285" s="2" t="s">
        <v>2855</v>
      </c>
      <c r="I285" s="2" t="s">
        <v>66</v>
      </c>
      <c r="J285" s="7">
        <v>42932</v>
      </c>
      <c r="K285" s="2" t="s">
        <v>8</v>
      </c>
      <c r="L285" s="2" t="s">
        <v>12</v>
      </c>
      <c r="W285" s="16" t="s">
        <v>60</v>
      </c>
      <c r="Y285" s="7">
        <v>42957</v>
      </c>
      <c r="Z285" s="16" t="s">
        <v>66</v>
      </c>
    </row>
    <row r="286" spans="1:28" ht="15" customHeight="1" thickBot="1">
      <c r="A286" s="290"/>
      <c r="C286" s="28">
        <v>20</v>
      </c>
      <c r="D286" s="28">
        <v>18955</v>
      </c>
      <c r="E286" s="28" t="s">
        <v>2837</v>
      </c>
      <c r="F286" s="29">
        <v>29405251200334</v>
      </c>
      <c r="G286" s="28" t="s">
        <v>34</v>
      </c>
      <c r="H286" s="28" t="s">
        <v>2856</v>
      </c>
      <c r="I286" s="28" t="s">
        <v>66</v>
      </c>
      <c r="J286" s="30">
        <v>42932</v>
      </c>
      <c r="K286" s="28" t="s">
        <v>8</v>
      </c>
      <c r="L286" s="28" t="s">
        <v>12</v>
      </c>
      <c r="M286" s="28"/>
      <c r="N286" s="28"/>
      <c r="O286" s="226"/>
      <c r="P286" s="28"/>
      <c r="Q286" s="226"/>
      <c r="R286" s="28"/>
      <c r="S286" s="28"/>
      <c r="T286" s="28"/>
      <c r="U286" s="28"/>
      <c r="V286" s="28"/>
      <c r="W286" s="28" t="s">
        <v>61</v>
      </c>
      <c r="X286" s="28"/>
      <c r="Y286" s="30">
        <v>42957</v>
      </c>
      <c r="Z286" s="28" t="s">
        <v>66</v>
      </c>
      <c r="AA286" s="30"/>
      <c r="AB286" s="28"/>
    </row>
    <row r="287" spans="1:28" ht="15.75" customHeight="1" thickTop="1">
      <c r="A287" s="289" t="s">
        <v>3119</v>
      </c>
      <c r="C287" s="25">
        <v>21</v>
      </c>
      <c r="D287" s="25">
        <v>18956</v>
      </c>
      <c r="E287" s="25" t="s">
        <v>2783</v>
      </c>
      <c r="F287" s="26">
        <v>29504082201561</v>
      </c>
      <c r="G287" s="25" t="s">
        <v>34</v>
      </c>
      <c r="H287" s="25" t="s">
        <v>2801</v>
      </c>
      <c r="I287" s="25" t="s">
        <v>66</v>
      </c>
      <c r="J287" s="27">
        <v>42945</v>
      </c>
      <c r="K287" s="25" t="s">
        <v>8</v>
      </c>
      <c r="L287" s="25" t="s">
        <v>12</v>
      </c>
      <c r="M287" s="25"/>
      <c r="N287" s="25"/>
      <c r="O287" s="224"/>
      <c r="P287" s="25"/>
      <c r="Q287" s="224"/>
      <c r="R287" s="25"/>
      <c r="S287" s="25"/>
      <c r="T287" s="25"/>
      <c r="U287" s="25"/>
      <c r="V287" s="25"/>
      <c r="W287" s="25" t="s">
        <v>61</v>
      </c>
      <c r="X287" s="25"/>
      <c r="Y287" s="27">
        <v>42971</v>
      </c>
      <c r="Z287" s="25" t="s">
        <v>66</v>
      </c>
      <c r="AA287" s="27" t="s">
        <v>3111</v>
      </c>
      <c r="AB287" s="25"/>
    </row>
    <row r="288" spans="1:28" ht="15" customHeight="1">
      <c r="A288" s="290"/>
      <c r="C288" s="2">
        <v>21</v>
      </c>
      <c r="D288" s="2">
        <v>18957</v>
      </c>
      <c r="E288" s="2" t="s">
        <v>2784</v>
      </c>
      <c r="F288" s="3">
        <v>29510080102019</v>
      </c>
      <c r="G288" s="2" t="s">
        <v>34</v>
      </c>
      <c r="H288" s="2" t="s">
        <v>2802</v>
      </c>
      <c r="I288" s="2" t="s">
        <v>66</v>
      </c>
      <c r="J288" s="7">
        <v>42945</v>
      </c>
      <c r="K288" s="2" t="s">
        <v>8</v>
      </c>
      <c r="L288" s="2" t="s">
        <v>12</v>
      </c>
      <c r="W288" s="16" t="s">
        <v>61</v>
      </c>
      <c r="Y288" s="7">
        <v>42971</v>
      </c>
      <c r="Z288" s="16" t="s">
        <v>66</v>
      </c>
      <c r="AA288" s="7" t="s">
        <v>3111</v>
      </c>
    </row>
    <row r="289" spans="1:28" ht="15" customHeight="1">
      <c r="A289" s="290"/>
      <c r="C289" s="16">
        <v>21</v>
      </c>
      <c r="D289" s="16">
        <v>18958</v>
      </c>
      <c r="E289" s="16" t="s">
        <v>2785</v>
      </c>
      <c r="F289" s="3">
        <v>29506010104866</v>
      </c>
      <c r="G289" s="16" t="s">
        <v>34</v>
      </c>
      <c r="H289" s="16" t="s">
        <v>2803</v>
      </c>
      <c r="I289" s="16" t="s">
        <v>66</v>
      </c>
      <c r="J289" s="45">
        <v>42945</v>
      </c>
      <c r="K289" s="16" t="s">
        <v>8</v>
      </c>
      <c r="L289" s="16" t="s">
        <v>12</v>
      </c>
      <c r="M289" s="16"/>
      <c r="N289" s="16"/>
      <c r="W289" s="16" t="s">
        <v>60</v>
      </c>
      <c r="X289" s="16" t="s">
        <v>66</v>
      </c>
      <c r="Y289" s="45">
        <v>42971</v>
      </c>
      <c r="Z289" s="16" t="s">
        <v>66</v>
      </c>
      <c r="AA289" s="45">
        <v>42990</v>
      </c>
      <c r="AB289" s="16"/>
    </row>
    <row r="290" spans="1:28" ht="15" customHeight="1">
      <c r="A290" s="290"/>
      <c r="C290" s="2">
        <v>21</v>
      </c>
      <c r="D290" s="2">
        <v>18959</v>
      </c>
      <c r="E290" s="2" t="s">
        <v>2786</v>
      </c>
      <c r="F290" s="3">
        <v>29608090100405</v>
      </c>
      <c r="G290" s="2" t="s">
        <v>184</v>
      </c>
      <c r="H290" s="2" t="s">
        <v>2804</v>
      </c>
      <c r="I290" s="2" t="s">
        <v>66</v>
      </c>
      <c r="J290" s="7">
        <v>42945</v>
      </c>
      <c r="K290" s="2" t="s">
        <v>8</v>
      </c>
      <c r="L290" s="2" t="s">
        <v>12</v>
      </c>
      <c r="W290" s="16" t="s">
        <v>60</v>
      </c>
      <c r="Y290" s="7">
        <v>42971</v>
      </c>
      <c r="Z290" s="16" t="s">
        <v>66</v>
      </c>
      <c r="AA290" s="7" t="s">
        <v>3111</v>
      </c>
    </row>
    <row r="291" spans="1:28" ht="15" customHeight="1">
      <c r="A291" s="290"/>
      <c r="C291" s="2">
        <v>21</v>
      </c>
      <c r="D291" s="2">
        <v>18960</v>
      </c>
      <c r="E291" s="2" t="s">
        <v>2787</v>
      </c>
      <c r="F291" s="3">
        <v>29602032104044</v>
      </c>
      <c r="G291" s="2" t="s">
        <v>34</v>
      </c>
      <c r="H291" s="2" t="s">
        <v>2805</v>
      </c>
      <c r="I291" s="2" t="s">
        <v>66</v>
      </c>
      <c r="J291" s="7">
        <v>42945</v>
      </c>
      <c r="K291" s="2" t="s">
        <v>8</v>
      </c>
      <c r="L291" s="2" t="s">
        <v>12</v>
      </c>
      <c r="W291" s="16" t="s">
        <v>60</v>
      </c>
      <c r="Y291" s="7">
        <v>42971</v>
      </c>
      <c r="Z291" s="16" t="s">
        <v>66</v>
      </c>
      <c r="AA291" s="7">
        <v>43304</v>
      </c>
    </row>
    <row r="292" spans="1:28" ht="15" customHeight="1">
      <c r="A292" s="290"/>
      <c r="C292" s="2">
        <v>21</v>
      </c>
      <c r="D292" s="2">
        <v>18961</v>
      </c>
      <c r="E292" s="2" t="s">
        <v>2788</v>
      </c>
      <c r="F292" s="3">
        <v>29211112103562</v>
      </c>
      <c r="G292" s="2" t="s">
        <v>34</v>
      </c>
      <c r="H292" s="2" t="s">
        <v>2806</v>
      </c>
      <c r="I292" s="2" t="s">
        <v>66</v>
      </c>
      <c r="J292" s="4">
        <v>42945</v>
      </c>
      <c r="K292" s="2" t="s">
        <v>8</v>
      </c>
      <c r="L292" s="2" t="s">
        <v>12</v>
      </c>
      <c r="W292" s="16" t="s">
        <v>61</v>
      </c>
      <c r="Y292" s="7">
        <v>42971</v>
      </c>
      <c r="Z292" s="16" t="s">
        <v>66</v>
      </c>
      <c r="AA292" s="7" t="s">
        <v>3111</v>
      </c>
    </row>
    <row r="293" spans="1:28" ht="15" customHeight="1">
      <c r="A293" s="290"/>
      <c r="C293" s="2">
        <v>21</v>
      </c>
      <c r="D293" s="2">
        <v>18962</v>
      </c>
      <c r="E293" s="2" t="s">
        <v>2789</v>
      </c>
      <c r="F293" s="3">
        <v>28908142102657</v>
      </c>
      <c r="G293" s="2" t="s">
        <v>34</v>
      </c>
      <c r="H293" s="2" t="s">
        <v>2807</v>
      </c>
      <c r="I293" s="2" t="s">
        <v>66</v>
      </c>
      <c r="J293" s="4">
        <v>42945</v>
      </c>
      <c r="K293" s="2" t="s">
        <v>8</v>
      </c>
      <c r="L293" s="2" t="s">
        <v>12</v>
      </c>
      <c r="W293" s="16" t="s">
        <v>61</v>
      </c>
      <c r="X293" s="16" t="s">
        <v>66</v>
      </c>
      <c r="Y293" s="7">
        <v>42971</v>
      </c>
      <c r="Z293" s="16" t="s">
        <v>66</v>
      </c>
      <c r="AA293" s="7">
        <v>43023</v>
      </c>
    </row>
    <row r="294" spans="1:28" ht="15" customHeight="1">
      <c r="A294" s="290"/>
      <c r="C294" s="2">
        <v>21</v>
      </c>
      <c r="D294" s="2">
        <v>18963</v>
      </c>
      <c r="E294" s="2" t="s">
        <v>2790</v>
      </c>
      <c r="F294" s="3">
        <v>29601100106143</v>
      </c>
      <c r="G294" s="2" t="s">
        <v>34</v>
      </c>
      <c r="H294" s="2" t="s">
        <v>2808</v>
      </c>
      <c r="I294" s="2" t="s">
        <v>66</v>
      </c>
      <c r="J294" s="4">
        <v>42945</v>
      </c>
      <c r="K294" s="2" t="s">
        <v>8</v>
      </c>
      <c r="L294" s="2" t="s">
        <v>12</v>
      </c>
      <c r="W294" s="16" t="s">
        <v>59</v>
      </c>
      <c r="X294" s="16" t="s">
        <v>66</v>
      </c>
      <c r="Y294" s="7">
        <v>42971</v>
      </c>
      <c r="Z294" s="16" t="s">
        <v>67</v>
      </c>
      <c r="AA294" s="7" t="s">
        <v>3111</v>
      </c>
    </row>
    <row r="295" spans="1:28" ht="15" customHeight="1">
      <c r="A295" s="290"/>
      <c r="C295" s="2">
        <v>21</v>
      </c>
      <c r="D295" s="2">
        <v>18964</v>
      </c>
      <c r="E295" s="2" t="s">
        <v>2791</v>
      </c>
      <c r="F295" s="3">
        <v>29509200102869</v>
      </c>
      <c r="G295" s="2" t="s">
        <v>34</v>
      </c>
      <c r="H295" s="2" t="s">
        <v>2809</v>
      </c>
      <c r="I295" s="2" t="s">
        <v>66</v>
      </c>
      <c r="J295" s="4">
        <v>42945</v>
      </c>
      <c r="K295" s="2" t="s">
        <v>8</v>
      </c>
      <c r="L295" s="2" t="s">
        <v>12</v>
      </c>
      <c r="W295" s="16" t="s">
        <v>63</v>
      </c>
      <c r="Y295" s="7">
        <v>42971</v>
      </c>
      <c r="Z295" s="16" t="s">
        <v>67</v>
      </c>
      <c r="AA295" s="7" t="s">
        <v>3111</v>
      </c>
    </row>
    <row r="296" spans="1:28" ht="15" customHeight="1">
      <c r="A296" s="290"/>
      <c r="C296" s="2">
        <v>21</v>
      </c>
      <c r="D296" s="2">
        <v>18965</v>
      </c>
      <c r="E296" s="2" t="s">
        <v>2792</v>
      </c>
      <c r="F296" s="3">
        <v>29506012304463</v>
      </c>
      <c r="G296" s="2" t="s">
        <v>34</v>
      </c>
      <c r="H296" s="2" t="s">
        <v>2810</v>
      </c>
      <c r="I296" s="2" t="s">
        <v>66</v>
      </c>
      <c r="J296" s="4">
        <v>42945</v>
      </c>
      <c r="K296" s="2" t="s">
        <v>8</v>
      </c>
      <c r="L296" s="2" t="s">
        <v>12</v>
      </c>
      <c r="W296" s="16" t="s">
        <v>61</v>
      </c>
      <c r="Y296" s="7">
        <v>42971</v>
      </c>
      <c r="Z296" s="16" t="s">
        <v>67</v>
      </c>
      <c r="AA296" s="7" t="s">
        <v>3111</v>
      </c>
    </row>
    <row r="297" spans="1:28" ht="15" customHeight="1">
      <c r="A297" s="290"/>
      <c r="C297" s="2">
        <v>21</v>
      </c>
      <c r="D297" s="2">
        <v>18966</v>
      </c>
      <c r="E297" s="2" t="s">
        <v>2793</v>
      </c>
      <c r="F297" s="3">
        <v>29602081401526</v>
      </c>
      <c r="G297" s="2" t="s">
        <v>34</v>
      </c>
      <c r="H297" s="2" t="s">
        <v>2811</v>
      </c>
      <c r="I297" s="2" t="s">
        <v>66</v>
      </c>
      <c r="J297" s="4">
        <v>42945</v>
      </c>
      <c r="K297" s="2" t="s">
        <v>8</v>
      </c>
      <c r="L297" s="2" t="s">
        <v>12</v>
      </c>
      <c r="W297" s="16" t="s">
        <v>64</v>
      </c>
      <c r="Y297" s="7">
        <v>42971</v>
      </c>
      <c r="Z297" s="16" t="s">
        <v>67</v>
      </c>
      <c r="AA297" s="7" t="s">
        <v>3111</v>
      </c>
    </row>
    <row r="298" spans="1:28" ht="15" customHeight="1">
      <c r="A298" s="290"/>
      <c r="C298" s="2">
        <v>21</v>
      </c>
      <c r="D298" s="2">
        <v>18967</v>
      </c>
      <c r="E298" s="2" t="s">
        <v>2794</v>
      </c>
      <c r="F298" s="3">
        <v>28005288800054</v>
      </c>
      <c r="G298" s="2" t="s">
        <v>34</v>
      </c>
      <c r="H298" s="2" t="s">
        <v>2812</v>
      </c>
      <c r="I298" s="2" t="s">
        <v>66</v>
      </c>
      <c r="J298" s="4">
        <v>42945</v>
      </c>
      <c r="K298" s="2" t="s">
        <v>8</v>
      </c>
      <c r="L298" s="2" t="s">
        <v>12</v>
      </c>
      <c r="W298" s="16" t="s">
        <v>61</v>
      </c>
      <c r="Y298" s="7">
        <v>42971</v>
      </c>
      <c r="Z298" s="16" t="s">
        <v>66</v>
      </c>
      <c r="AA298" s="7">
        <v>42985</v>
      </c>
    </row>
    <row r="299" spans="1:28" ht="15" customHeight="1">
      <c r="A299" s="290"/>
      <c r="C299" s="2">
        <v>21</v>
      </c>
      <c r="D299" s="2">
        <v>18968</v>
      </c>
      <c r="E299" s="2" t="s">
        <v>2795</v>
      </c>
      <c r="F299" s="3">
        <v>29502208800081</v>
      </c>
      <c r="G299" s="2" t="s">
        <v>34</v>
      </c>
      <c r="H299" s="2" t="s">
        <v>2813</v>
      </c>
      <c r="I299" s="2" t="s">
        <v>66</v>
      </c>
      <c r="J299" s="4">
        <v>42945</v>
      </c>
      <c r="K299" s="2" t="s">
        <v>8</v>
      </c>
      <c r="L299" s="2" t="s">
        <v>12</v>
      </c>
      <c r="W299" s="16" t="s">
        <v>111</v>
      </c>
      <c r="X299" s="16" t="s">
        <v>66</v>
      </c>
      <c r="Y299" s="7">
        <v>42971</v>
      </c>
      <c r="Z299" s="16" t="s">
        <v>67</v>
      </c>
      <c r="AA299" s="7" t="s">
        <v>3111</v>
      </c>
    </row>
    <row r="300" spans="1:28" ht="15" customHeight="1">
      <c r="A300" s="290"/>
      <c r="C300" s="16">
        <v>21</v>
      </c>
      <c r="D300" s="16">
        <v>18969</v>
      </c>
      <c r="E300" s="16" t="s">
        <v>2796</v>
      </c>
      <c r="F300" s="3">
        <v>29410210103344</v>
      </c>
      <c r="G300" s="16" t="s">
        <v>34</v>
      </c>
      <c r="H300" s="16" t="s">
        <v>2814</v>
      </c>
      <c r="I300" s="16" t="s">
        <v>66</v>
      </c>
      <c r="J300" s="45">
        <v>42945</v>
      </c>
      <c r="K300" s="16" t="s">
        <v>8</v>
      </c>
      <c r="L300" s="16" t="s">
        <v>12</v>
      </c>
      <c r="M300" s="16"/>
      <c r="N300" s="16"/>
      <c r="W300" s="16" t="s">
        <v>59</v>
      </c>
      <c r="X300" s="16" t="s">
        <v>66</v>
      </c>
      <c r="Y300" s="45">
        <v>42971</v>
      </c>
      <c r="Z300" s="16" t="s">
        <v>67</v>
      </c>
      <c r="AA300" s="45" t="s">
        <v>3111</v>
      </c>
      <c r="AB300" s="16"/>
    </row>
    <row r="301" spans="1:28" ht="15" customHeight="1">
      <c r="A301" s="290"/>
      <c r="C301" s="16">
        <v>21</v>
      </c>
      <c r="D301" s="16">
        <v>18970</v>
      </c>
      <c r="E301" s="16" t="s">
        <v>2797</v>
      </c>
      <c r="F301" s="3">
        <v>29503130103261</v>
      </c>
      <c r="G301" s="16" t="s">
        <v>34</v>
      </c>
      <c r="H301" s="16" t="s">
        <v>2815</v>
      </c>
      <c r="I301" s="16" t="s">
        <v>66</v>
      </c>
      <c r="J301" s="45">
        <v>42945</v>
      </c>
      <c r="K301" s="16" t="s">
        <v>8</v>
      </c>
      <c r="L301" s="16" t="s">
        <v>12</v>
      </c>
      <c r="M301" s="16"/>
      <c r="N301" s="16"/>
      <c r="W301" s="16" t="s">
        <v>61</v>
      </c>
      <c r="X301" s="16" t="s">
        <v>66</v>
      </c>
      <c r="Y301" s="45">
        <v>42971</v>
      </c>
      <c r="Z301" s="16" t="s">
        <v>66</v>
      </c>
      <c r="AA301" s="45">
        <v>42990</v>
      </c>
      <c r="AB301" s="16"/>
    </row>
    <row r="302" spans="1:28" ht="15" customHeight="1">
      <c r="A302" s="290"/>
      <c r="C302" s="16">
        <v>21</v>
      </c>
      <c r="D302" s="16">
        <v>18971</v>
      </c>
      <c r="E302" s="16" t="s">
        <v>2798</v>
      </c>
      <c r="F302" s="3">
        <v>29509011309487</v>
      </c>
      <c r="G302" s="16" t="s">
        <v>34</v>
      </c>
      <c r="H302" s="16" t="s">
        <v>2816</v>
      </c>
      <c r="I302" s="16" t="s">
        <v>66</v>
      </c>
      <c r="J302" s="45">
        <v>42945</v>
      </c>
      <c r="K302" s="16" t="s">
        <v>8</v>
      </c>
      <c r="L302" s="16" t="s">
        <v>12</v>
      </c>
      <c r="M302" s="16"/>
      <c r="N302" s="16"/>
      <c r="W302" s="16" t="s">
        <v>60</v>
      </c>
      <c r="X302" s="16"/>
      <c r="Y302" s="45">
        <v>42971</v>
      </c>
      <c r="Z302" s="16" t="s">
        <v>66</v>
      </c>
      <c r="AA302" s="45" t="s">
        <v>3111</v>
      </c>
      <c r="AB302" s="16"/>
    </row>
    <row r="303" spans="1:28" ht="15" customHeight="1">
      <c r="A303" s="290"/>
      <c r="C303" s="2">
        <v>21</v>
      </c>
      <c r="D303" s="2">
        <v>18972</v>
      </c>
      <c r="E303" s="2" t="s">
        <v>2799</v>
      </c>
      <c r="F303" s="3">
        <v>29607011202773</v>
      </c>
      <c r="G303" s="2" t="s">
        <v>184</v>
      </c>
      <c r="H303" s="2" t="s">
        <v>2817</v>
      </c>
      <c r="I303" s="2" t="s">
        <v>66</v>
      </c>
      <c r="J303" s="4">
        <v>42945</v>
      </c>
      <c r="K303" s="2" t="s">
        <v>8</v>
      </c>
      <c r="L303" s="2" t="s">
        <v>12</v>
      </c>
      <c r="W303" s="16" t="s">
        <v>60</v>
      </c>
      <c r="Y303" s="7">
        <v>42971</v>
      </c>
      <c r="Z303" s="16" t="s">
        <v>67</v>
      </c>
      <c r="AA303" s="7" t="s">
        <v>3111</v>
      </c>
    </row>
    <row r="304" spans="1:28" ht="15.75" customHeight="1" thickBot="1">
      <c r="A304" s="291"/>
      <c r="C304" s="28">
        <v>21</v>
      </c>
      <c r="D304" s="28">
        <v>18973</v>
      </c>
      <c r="E304" s="28" t="s">
        <v>2800</v>
      </c>
      <c r="F304" s="29">
        <v>29609300105754</v>
      </c>
      <c r="G304" s="28" t="s">
        <v>184</v>
      </c>
      <c r="H304" s="28" t="s">
        <v>2818</v>
      </c>
      <c r="I304" s="28" t="s">
        <v>66</v>
      </c>
      <c r="J304" s="30">
        <v>42945</v>
      </c>
      <c r="K304" s="28" t="s">
        <v>8</v>
      </c>
      <c r="L304" s="28" t="s">
        <v>12</v>
      </c>
      <c r="M304" s="28"/>
      <c r="N304" s="28"/>
      <c r="O304" s="226"/>
      <c r="P304" s="28"/>
      <c r="Q304" s="226"/>
      <c r="R304" s="28"/>
      <c r="S304" s="28"/>
      <c r="T304" s="28"/>
      <c r="U304" s="28"/>
      <c r="V304" s="28"/>
      <c r="W304" s="28" t="s">
        <v>60</v>
      </c>
      <c r="X304" s="28" t="s">
        <v>66</v>
      </c>
      <c r="Y304" s="30">
        <v>42971</v>
      </c>
      <c r="Z304" s="28" t="s">
        <v>66</v>
      </c>
      <c r="AA304" s="30" t="s">
        <v>3111</v>
      </c>
      <c r="AB304" s="28"/>
    </row>
    <row r="305" spans="1:28" ht="15.75" customHeight="1" thickTop="1">
      <c r="A305" s="289" t="s">
        <v>3120</v>
      </c>
      <c r="C305" s="2">
        <v>22</v>
      </c>
      <c r="D305" s="2">
        <v>18974</v>
      </c>
      <c r="E305" s="2" t="s">
        <v>2743</v>
      </c>
      <c r="F305" s="3">
        <v>29301010102099</v>
      </c>
      <c r="G305" s="2" t="s">
        <v>34</v>
      </c>
      <c r="H305" s="2" t="s">
        <v>2764</v>
      </c>
      <c r="I305" s="2" t="s">
        <v>66</v>
      </c>
      <c r="J305" s="4">
        <v>42945</v>
      </c>
      <c r="K305" s="2" t="s">
        <v>8</v>
      </c>
      <c r="L305" s="2" t="s">
        <v>12</v>
      </c>
      <c r="W305" s="16" t="s">
        <v>60</v>
      </c>
      <c r="Y305" s="7">
        <v>42971</v>
      </c>
      <c r="Z305" s="16" t="s">
        <v>66</v>
      </c>
      <c r="AA305" s="7" t="s">
        <v>3111</v>
      </c>
      <c r="AB305" s="2" t="s">
        <v>4444</v>
      </c>
    </row>
    <row r="306" spans="1:28" ht="15" customHeight="1">
      <c r="A306" s="290"/>
      <c r="C306" s="2">
        <v>22</v>
      </c>
      <c r="D306" s="2">
        <v>18975</v>
      </c>
      <c r="E306" s="2" t="s">
        <v>2744</v>
      </c>
      <c r="F306" s="3">
        <v>29609072102251</v>
      </c>
      <c r="G306" s="2" t="s">
        <v>184</v>
      </c>
      <c r="H306" s="2" t="s">
        <v>2765</v>
      </c>
      <c r="I306" s="2" t="s">
        <v>66</v>
      </c>
      <c r="J306" s="4">
        <v>42945</v>
      </c>
      <c r="K306" s="2" t="s">
        <v>8</v>
      </c>
      <c r="L306" s="2" t="s">
        <v>12</v>
      </c>
      <c r="W306" s="16" t="s">
        <v>60</v>
      </c>
      <c r="X306" s="2" t="s">
        <v>66</v>
      </c>
      <c r="Y306" s="7">
        <v>42971</v>
      </c>
      <c r="Z306" s="16" t="s">
        <v>66</v>
      </c>
      <c r="AA306" s="7" t="s">
        <v>3111</v>
      </c>
    </row>
    <row r="307" spans="1:28" ht="15" customHeight="1">
      <c r="A307" s="290"/>
      <c r="C307" s="2">
        <v>22</v>
      </c>
      <c r="D307" s="2">
        <v>18976</v>
      </c>
      <c r="E307" s="2" t="s">
        <v>2745</v>
      </c>
      <c r="F307" s="3">
        <v>29505140101552</v>
      </c>
      <c r="G307" s="2" t="s">
        <v>184</v>
      </c>
      <c r="H307" s="2" t="s">
        <v>2766</v>
      </c>
      <c r="I307" s="2" t="s">
        <v>66</v>
      </c>
      <c r="J307" s="4">
        <v>42945</v>
      </c>
      <c r="K307" s="2" t="s">
        <v>8</v>
      </c>
      <c r="L307" s="2" t="s">
        <v>12</v>
      </c>
      <c r="W307" s="16" t="s">
        <v>61</v>
      </c>
      <c r="Y307" s="7">
        <v>42971</v>
      </c>
      <c r="Z307" s="16" t="s">
        <v>66</v>
      </c>
      <c r="AA307" s="7">
        <v>42985</v>
      </c>
    </row>
    <row r="308" spans="1:28" ht="15" customHeight="1">
      <c r="A308" s="290"/>
      <c r="C308" s="16">
        <v>22</v>
      </c>
      <c r="D308" s="16">
        <v>18977</v>
      </c>
      <c r="E308" s="16" t="s">
        <v>2746</v>
      </c>
      <c r="F308" s="3">
        <v>29301100109912</v>
      </c>
      <c r="G308" s="16" t="s">
        <v>184</v>
      </c>
      <c r="H308" s="16" t="s">
        <v>2767</v>
      </c>
      <c r="I308" s="16" t="s">
        <v>66</v>
      </c>
      <c r="J308" s="45">
        <v>42945</v>
      </c>
      <c r="K308" s="16" t="s">
        <v>8</v>
      </c>
      <c r="L308" s="16" t="s">
        <v>12</v>
      </c>
      <c r="M308" s="16"/>
      <c r="N308" s="16"/>
      <c r="W308" s="16" t="s">
        <v>60</v>
      </c>
      <c r="X308" s="16"/>
      <c r="Y308" s="45">
        <v>42971</v>
      </c>
      <c r="Z308" s="16" t="s">
        <v>66</v>
      </c>
      <c r="AA308" s="45" t="s">
        <v>3111</v>
      </c>
      <c r="AB308" s="16"/>
    </row>
    <row r="309" spans="1:28" ht="15" customHeight="1">
      <c r="A309" s="290"/>
      <c r="C309" s="2">
        <v>22</v>
      </c>
      <c r="D309" s="2">
        <v>18978</v>
      </c>
      <c r="E309" s="2" t="s">
        <v>2747</v>
      </c>
      <c r="F309" s="3">
        <v>29309261600081</v>
      </c>
      <c r="G309" s="2" t="s">
        <v>34</v>
      </c>
      <c r="H309" s="2" t="s">
        <v>2768</v>
      </c>
      <c r="I309" s="2" t="s">
        <v>66</v>
      </c>
      <c r="J309" s="4">
        <v>42945</v>
      </c>
      <c r="K309" s="2" t="s">
        <v>8</v>
      </c>
      <c r="L309" s="2" t="s">
        <v>12</v>
      </c>
      <c r="W309" s="16" t="s">
        <v>61</v>
      </c>
      <c r="Y309" s="7">
        <v>42971</v>
      </c>
      <c r="Z309" s="16" t="s">
        <v>66</v>
      </c>
      <c r="AA309" s="7" t="s">
        <v>3111</v>
      </c>
    </row>
    <row r="310" spans="1:28" ht="15" customHeight="1">
      <c r="A310" s="290"/>
      <c r="C310" s="2">
        <v>22</v>
      </c>
      <c r="D310" s="2">
        <v>18979</v>
      </c>
      <c r="E310" s="2" t="s">
        <v>2748</v>
      </c>
      <c r="F310" s="3" t="s">
        <v>2749</v>
      </c>
      <c r="G310" s="2" t="s">
        <v>34</v>
      </c>
      <c r="H310" s="2" t="s">
        <v>2769</v>
      </c>
      <c r="I310" s="2" t="s">
        <v>66</v>
      </c>
      <c r="J310" s="4">
        <v>42945</v>
      </c>
      <c r="K310" s="2" t="s">
        <v>8</v>
      </c>
      <c r="L310" s="2" t="s">
        <v>12</v>
      </c>
      <c r="W310" s="16" t="s">
        <v>111</v>
      </c>
      <c r="X310" s="16" t="s">
        <v>66</v>
      </c>
      <c r="Y310" s="7">
        <v>42971</v>
      </c>
      <c r="Z310" s="16" t="s">
        <v>67</v>
      </c>
      <c r="AA310" s="7" t="s">
        <v>3111</v>
      </c>
    </row>
    <row r="311" spans="1:28" ht="15" customHeight="1">
      <c r="A311" s="290"/>
      <c r="C311" s="2">
        <v>22</v>
      </c>
      <c r="D311" s="2">
        <v>18980</v>
      </c>
      <c r="E311" s="2" t="s">
        <v>2750</v>
      </c>
      <c r="F311" s="3">
        <v>29508031400263</v>
      </c>
      <c r="G311" s="2" t="s">
        <v>34</v>
      </c>
      <c r="H311" s="2" t="s">
        <v>2770</v>
      </c>
      <c r="I311" s="2" t="s">
        <v>66</v>
      </c>
      <c r="J311" s="4">
        <v>42945</v>
      </c>
      <c r="K311" s="2" t="s">
        <v>8</v>
      </c>
      <c r="L311" s="2" t="s">
        <v>12</v>
      </c>
      <c r="W311" s="16" t="s">
        <v>60</v>
      </c>
      <c r="X311" s="16" t="s">
        <v>66</v>
      </c>
      <c r="Y311" s="7">
        <v>42971</v>
      </c>
      <c r="Z311" s="16" t="s">
        <v>66</v>
      </c>
      <c r="AA311" s="7">
        <v>42990</v>
      </c>
      <c r="AB311" s="2" t="s">
        <v>7130</v>
      </c>
    </row>
    <row r="312" spans="1:28" ht="15" customHeight="1">
      <c r="A312" s="290"/>
      <c r="C312" s="2">
        <v>22</v>
      </c>
      <c r="D312" s="2">
        <v>18981</v>
      </c>
      <c r="E312" s="2" t="s">
        <v>2751</v>
      </c>
      <c r="F312" s="3">
        <v>29309162103679</v>
      </c>
      <c r="G312" s="2" t="s">
        <v>34</v>
      </c>
      <c r="H312" s="2" t="s">
        <v>2771</v>
      </c>
      <c r="I312" s="2" t="s">
        <v>66</v>
      </c>
      <c r="J312" s="4">
        <v>42945</v>
      </c>
      <c r="K312" s="2" t="s">
        <v>8</v>
      </c>
      <c r="L312" s="2" t="s">
        <v>12</v>
      </c>
      <c r="W312" s="16" t="s">
        <v>60</v>
      </c>
      <c r="Y312" s="7">
        <v>42971</v>
      </c>
      <c r="Z312" s="16" t="s">
        <v>66</v>
      </c>
      <c r="AA312" s="7" t="s">
        <v>3111</v>
      </c>
    </row>
    <row r="313" spans="1:28" ht="15" customHeight="1">
      <c r="A313" s="290"/>
      <c r="C313" s="2">
        <v>22</v>
      </c>
      <c r="D313" s="2">
        <v>18982</v>
      </c>
      <c r="E313" s="2" t="s">
        <v>2752</v>
      </c>
      <c r="F313" s="3">
        <v>29203290101481</v>
      </c>
      <c r="G313" s="2" t="s">
        <v>34</v>
      </c>
      <c r="H313" s="2" t="s">
        <v>2772</v>
      </c>
      <c r="I313" s="2" t="s">
        <v>66</v>
      </c>
      <c r="J313" s="4">
        <v>42945</v>
      </c>
      <c r="K313" s="2" t="s">
        <v>8</v>
      </c>
      <c r="L313" s="2" t="s">
        <v>12</v>
      </c>
      <c r="W313" s="16" t="s">
        <v>61</v>
      </c>
      <c r="Y313" s="7">
        <v>42971</v>
      </c>
      <c r="Z313" s="16" t="s">
        <v>66</v>
      </c>
      <c r="AA313" s="7" t="s">
        <v>3111</v>
      </c>
    </row>
    <row r="314" spans="1:28" ht="15" customHeight="1">
      <c r="A314" s="290"/>
      <c r="C314" s="2">
        <v>22</v>
      </c>
      <c r="D314" s="2">
        <v>18983</v>
      </c>
      <c r="E314" s="2" t="s">
        <v>2753</v>
      </c>
      <c r="F314" s="3">
        <v>29502140103254</v>
      </c>
      <c r="G314" s="2" t="s">
        <v>184</v>
      </c>
      <c r="H314" s="2" t="s">
        <v>2773</v>
      </c>
      <c r="I314" s="2" t="s">
        <v>66</v>
      </c>
      <c r="J314" s="4">
        <v>42945</v>
      </c>
      <c r="K314" s="2" t="s">
        <v>8</v>
      </c>
      <c r="L314" s="2" t="s">
        <v>12</v>
      </c>
      <c r="W314" s="16" t="s">
        <v>111</v>
      </c>
      <c r="Y314" s="7">
        <v>42971</v>
      </c>
      <c r="Z314" s="16" t="s">
        <v>67</v>
      </c>
      <c r="AA314" s="7" t="s">
        <v>3111</v>
      </c>
    </row>
    <row r="315" spans="1:28" ht="15" customHeight="1">
      <c r="A315" s="290"/>
      <c r="C315" s="2">
        <v>22</v>
      </c>
      <c r="D315" s="2">
        <v>18984</v>
      </c>
      <c r="E315" s="2" t="s">
        <v>2754</v>
      </c>
      <c r="F315" s="3" t="s">
        <v>2755</v>
      </c>
      <c r="G315" s="2" t="s">
        <v>34</v>
      </c>
      <c r="H315" s="2" t="s">
        <v>2774</v>
      </c>
      <c r="I315" s="2" t="s">
        <v>66</v>
      </c>
      <c r="J315" s="4">
        <v>42945</v>
      </c>
      <c r="K315" s="2" t="s">
        <v>8</v>
      </c>
      <c r="L315" s="2" t="s">
        <v>12</v>
      </c>
      <c r="W315" s="16" t="s">
        <v>60</v>
      </c>
      <c r="X315" s="16" t="s">
        <v>66</v>
      </c>
      <c r="Y315" s="7">
        <v>42971</v>
      </c>
      <c r="Z315" s="16" t="s">
        <v>66</v>
      </c>
      <c r="AA315" s="7">
        <v>42990</v>
      </c>
      <c r="AB315" s="2" t="s">
        <v>6583</v>
      </c>
    </row>
    <row r="316" spans="1:28" ht="15" customHeight="1">
      <c r="A316" s="290"/>
      <c r="C316" s="2">
        <v>22</v>
      </c>
      <c r="D316" s="2">
        <v>18985</v>
      </c>
      <c r="E316" s="2" t="s">
        <v>2756</v>
      </c>
      <c r="F316" s="3">
        <v>29208188800113</v>
      </c>
      <c r="G316" s="2" t="s">
        <v>34</v>
      </c>
      <c r="H316" s="2" t="s">
        <v>2775</v>
      </c>
      <c r="I316" s="2" t="s">
        <v>66</v>
      </c>
      <c r="J316" s="4">
        <v>42945</v>
      </c>
      <c r="K316" s="2" t="s">
        <v>8</v>
      </c>
      <c r="L316" s="2" t="s">
        <v>12</v>
      </c>
      <c r="W316" s="16" t="s">
        <v>111</v>
      </c>
      <c r="Y316" s="7">
        <v>42971</v>
      </c>
      <c r="Z316" s="16" t="s">
        <v>67</v>
      </c>
      <c r="AA316" s="7" t="s">
        <v>3111</v>
      </c>
    </row>
    <row r="317" spans="1:28" ht="15" customHeight="1">
      <c r="A317" s="290"/>
      <c r="C317" s="2">
        <v>22</v>
      </c>
      <c r="D317" s="2">
        <v>18986</v>
      </c>
      <c r="E317" s="2" t="s">
        <v>2757</v>
      </c>
      <c r="F317" s="3">
        <v>29509030103202</v>
      </c>
      <c r="G317" s="2" t="s">
        <v>34</v>
      </c>
      <c r="H317" s="2" t="s">
        <v>2776</v>
      </c>
      <c r="I317" s="2" t="s">
        <v>66</v>
      </c>
      <c r="J317" s="4">
        <v>42945</v>
      </c>
      <c r="K317" s="2" t="s">
        <v>8</v>
      </c>
      <c r="L317" s="2" t="s">
        <v>12</v>
      </c>
      <c r="W317" s="16" t="s">
        <v>60</v>
      </c>
      <c r="Y317" s="7">
        <v>42971</v>
      </c>
      <c r="Z317" s="16" t="s">
        <v>66</v>
      </c>
      <c r="AA317" s="7" t="s">
        <v>3111</v>
      </c>
    </row>
    <row r="318" spans="1:28" ht="15" customHeight="1">
      <c r="A318" s="290"/>
      <c r="C318" s="2">
        <v>22</v>
      </c>
      <c r="D318" s="2">
        <v>18987</v>
      </c>
      <c r="E318" s="2" t="s">
        <v>2758</v>
      </c>
      <c r="F318" s="3">
        <v>29402112102086</v>
      </c>
      <c r="G318" s="2" t="s">
        <v>34</v>
      </c>
      <c r="H318" s="2" t="s">
        <v>2777</v>
      </c>
      <c r="I318" s="2" t="s">
        <v>66</v>
      </c>
      <c r="J318" s="4">
        <v>42945</v>
      </c>
      <c r="K318" s="2" t="s">
        <v>8</v>
      </c>
      <c r="L318" s="2" t="s">
        <v>12</v>
      </c>
      <c r="W318" s="16" t="s">
        <v>61</v>
      </c>
      <c r="X318" s="16" t="s">
        <v>66</v>
      </c>
      <c r="Y318" s="7">
        <v>42971</v>
      </c>
      <c r="Z318" s="16" t="s">
        <v>66</v>
      </c>
      <c r="AA318" s="7">
        <v>43023</v>
      </c>
    </row>
    <row r="319" spans="1:28" ht="15" customHeight="1">
      <c r="A319" s="290"/>
      <c r="C319" s="2">
        <v>22</v>
      </c>
      <c r="D319" s="2">
        <v>18988</v>
      </c>
      <c r="E319" s="2" t="s">
        <v>2759</v>
      </c>
      <c r="F319" s="3">
        <v>29602118800779</v>
      </c>
      <c r="G319" s="2" t="s">
        <v>184</v>
      </c>
      <c r="H319" s="2" t="s">
        <v>2778</v>
      </c>
      <c r="I319" s="2" t="s">
        <v>66</v>
      </c>
      <c r="J319" s="4">
        <v>42945</v>
      </c>
      <c r="K319" s="2" t="s">
        <v>8</v>
      </c>
      <c r="L319" s="2" t="s">
        <v>12</v>
      </c>
      <c r="W319" s="16" t="s">
        <v>111</v>
      </c>
      <c r="Y319" s="7">
        <v>42971</v>
      </c>
      <c r="Z319" s="16" t="s">
        <v>66</v>
      </c>
      <c r="AA319" s="7">
        <v>43102</v>
      </c>
    </row>
    <row r="320" spans="1:28" ht="15" customHeight="1">
      <c r="A320" s="290"/>
      <c r="C320" s="2">
        <v>22</v>
      </c>
      <c r="D320" s="2">
        <v>18989</v>
      </c>
      <c r="E320" s="2" t="s">
        <v>2760</v>
      </c>
      <c r="F320" s="3">
        <v>29012061800538</v>
      </c>
      <c r="G320" s="2" t="s">
        <v>184</v>
      </c>
      <c r="H320" s="2" t="s">
        <v>2779</v>
      </c>
      <c r="I320" s="2" t="s">
        <v>66</v>
      </c>
      <c r="J320" s="4">
        <v>42945</v>
      </c>
      <c r="K320" s="2" t="s">
        <v>8</v>
      </c>
      <c r="L320" s="2" t="s">
        <v>12</v>
      </c>
      <c r="W320" s="16" t="s">
        <v>61</v>
      </c>
      <c r="X320" s="16" t="s">
        <v>66</v>
      </c>
      <c r="Y320" s="7">
        <v>42971</v>
      </c>
      <c r="Z320" s="16" t="s">
        <v>66</v>
      </c>
      <c r="AA320" s="7">
        <v>43023</v>
      </c>
    </row>
    <row r="321" spans="1:28" ht="15" customHeight="1">
      <c r="A321" s="290"/>
      <c r="C321" s="2">
        <v>22</v>
      </c>
      <c r="D321" s="2">
        <v>18990</v>
      </c>
      <c r="E321" s="2" t="s">
        <v>2761</v>
      </c>
      <c r="F321" s="3">
        <v>29406220103353</v>
      </c>
      <c r="G321" s="2" t="s">
        <v>34</v>
      </c>
      <c r="H321" s="2" t="s">
        <v>2780</v>
      </c>
      <c r="I321" s="2" t="s">
        <v>66</v>
      </c>
      <c r="J321" s="4">
        <v>42945</v>
      </c>
      <c r="K321" s="2" t="s">
        <v>8</v>
      </c>
      <c r="L321" s="2" t="s">
        <v>12</v>
      </c>
      <c r="W321" s="16" t="s">
        <v>111</v>
      </c>
      <c r="Y321" s="7">
        <v>42971</v>
      </c>
      <c r="Z321" s="16" t="s">
        <v>67</v>
      </c>
      <c r="AA321" s="7" t="s">
        <v>3111</v>
      </c>
    </row>
    <row r="322" spans="1:28" ht="15" customHeight="1">
      <c r="A322" s="290"/>
      <c r="C322" s="16">
        <v>22</v>
      </c>
      <c r="D322" s="16">
        <v>18991</v>
      </c>
      <c r="E322" s="16" t="s">
        <v>2762</v>
      </c>
      <c r="F322" s="3">
        <v>29511290102182</v>
      </c>
      <c r="G322" s="16" t="s">
        <v>34</v>
      </c>
      <c r="H322" s="16" t="s">
        <v>2781</v>
      </c>
      <c r="I322" s="16" t="s">
        <v>66</v>
      </c>
      <c r="J322" s="45">
        <v>42945</v>
      </c>
      <c r="K322" s="16" t="s">
        <v>8</v>
      </c>
      <c r="L322" s="16" t="s">
        <v>12</v>
      </c>
      <c r="M322" s="16"/>
      <c r="N322" s="16"/>
      <c r="W322" s="16" t="s">
        <v>61</v>
      </c>
      <c r="X322" s="16"/>
      <c r="Y322" s="45">
        <v>42971</v>
      </c>
      <c r="Z322" s="16" t="s">
        <v>66</v>
      </c>
      <c r="AA322" s="45">
        <v>42985</v>
      </c>
      <c r="AB322" s="16"/>
    </row>
    <row r="323" spans="1:28" ht="15.75" customHeight="1" thickBot="1">
      <c r="A323" s="291"/>
      <c r="C323" s="28">
        <v>22</v>
      </c>
      <c r="D323" s="28">
        <v>18992</v>
      </c>
      <c r="E323" s="28" t="s">
        <v>2763</v>
      </c>
      <c r="F323" s="29">
        <v>29411170104144</v>
      </c>
      <c r="G323" s="28" t="s">
        <v>34</v>
      </c>
      <c r="H323" s="28" t="s">
        <v>2782</v>
      </c>
      <c r="I323" s="28" t="s">
        <v>66</v>
      </c>
      <c r="J323" s="30">
        <v>42945</v>
      </c>
      <c r="K323" s="28" t="s">
        <v>8</v>
      </c>
      <c r="L323" s="28" t="s">
        <v>12</v>
      </c>
      <c r="M323" s="28"/>
      <c r="N323" s="28"/>
      <c r="O323" s="226"/>
      <c r="P323" s="28"/>
      <c r="Q323" s="226"/>
      <c r="R323" s="28"/>
      <c r="S323" s="28"/>
      <c r="T323" s="28"/>
      <c r="U323" s="28"/>
      <c r="V323" s="28"/>
      <c r="W323" s="28" t="s">
        <v>60</v>
      </c>
      <c r="X323" s="28"/>
      <c r="Y323" s="30">
        <v>42971</v>
      </c>
      <c r="Z323" s="28" t="s">
        <v>66</v>
      </c>
      <c r="AA323" s="30" t="s">
        <v>3111</v>
      </c>
      <c r="AB323" s="28"/>
    </row>
    <row r="324" spans="1:28" ht="15.75" customHeight="1" thickTop="1">
      <c r="A324" s="289" t="s">
        <v>3118</v>
      </c>
      <c r="C324" s="16">
        <v>23</v>
      </c>
      <c r="D324" s="16">
        <v>18994</v>
      </c>
      <c r="E324" s="16" t="s">
        <v>2708</v>
      </c>
      <c r="F324" s="3">
        <v>29301272300037</v>
      </c>
      <c r="G324" s="16" t="s">
        <v>34</v>
      </c>
      <c r="H324" s="16" t="s">
        <v>2725</v>
      </c>
      <c r="I324" s="16" t="s">
        <v>66</v>
      </c>
      <c r="J324" s="45">
        <v>43324</v>
      </c>
      <c r="K324" s="16" t="s">
        <v>8</v>
      </c>
      <c r="L324" s="16" t="s">
        <v>12</v>
      </c>
      <c r="M324" s="16"/>
      <c r="N324" s="16"/>
      <c r="W324" s="16" t="s">
        <v>61</v>
      </c>
      <c r="X324" s="16" t="s">
        <v>66</v>
      </c>
      <c r="Y324" s="45">
        <v>42985</v>
      </c>
      <c r="Z324" s="16" t="s">
        <v>66</v>
      </c>
      <c r="AA324" s="45">
        <v>43023</v>
      </c>
      <c r="AB324" s="16"/>
    </row>
    <row r="325" spans="1:28" ht="15" customHeight="1">
      <c r="A325" s="290"/>
      <c r="C325" s="2">
        <v>23</v>
      </c>
      <c r="D325" s="2">
        <v>18995</v>
      </c>
      <c r="E325" s="2" t="s">
        <v>2709</v>
      </c>
      <c r="F325" s="3">
        <v>28805101401191</v>
      </c>
      <c r="G325" s="2" t="s">
        <v>34</v>
      </c>
      <c r="H325" s="2" t="s">
        <v>2726</v>
      </c>
      <c r="I325" s="2" t="s">
        <v>66</v>
      </c>
      <c r="J325" s="4">
        <v>43324</v>
      </c>
      <c r="K325" s="2" t="s">
        <v>8</v>
      </c>
      <c r="L325" s="2" t="s">
        <v>12</v>
      </c>
      <c r="W325" s="16" t="s">
        <v>111</v>
      </c>
      <c r="X325" s="16" t="s">
        <v>66</v>
      </c>
      <c r="Y325" s="7">
        <v>42985</v>
      </c>
      <c r="Z325" s="16" t="s">
        <v>66</v>
      </c>
      <c r="AA325" s="7">
        <v>43051</v>
      </c>
      <c r="AB325" s="2" t="s">
        <v>7132</v>
      </c>
    </row>
    <row r="326" spans="1:28" ht="15" customHeight="1">
      <c r="A326" s="290"/>
      <c r="C326" s="2">
        <v>23</v>
      </c>
      <c r="D326" s="2">
        <v>9976</v>
      </c>
      <c r="E326" s="2" t="s">
        <v>2710</v>
      </c>
      <c r="F326" s="3">
        <v>29010012602175</v>
      </c>
      <c r="G326" s="2" t="s">
        <v>34</v>
      </c>
      <c r="H326" s="2" t="s">
        <v>2727</v>
      </c>
      <c r="I326" s="2" t="s">
        <v>67</v>
      </c>
      <c r="J326" s="4">
        <v>43324</v>
      </c>
      <c r="K326" s="2" t="s">
        <v>8</v>
      </c>
      <c r="L326" s="2" t="s">
        <v>12</v>
      </c>
      <c r="W326" s="16" t="s">
        <v>60</v>
      </c>
      <c r="Y326" s="7">
        <v>42985</v>
      </c>
      <c r="Z326" s="16" t="s">
        <v>66</v>
      </c>
    </row>
    <row r="327" spans="1:28" ht="15" customHeight="1">
      <c r="A327" s="290"/>
      <c r="C327" s="2">
        <v>23</v>
      </c>
      <c r="D327" s="2">
        <v>18996</v>
      </c>
      <c r="E327" s="2" t="s">
        <v>2711</v>
      </c>
      <c r="F327" s="3">
        <v>27811188800416</v>
      </c>
      <c r="G327" s="2" t="s">
        <v>34</v>
      </c>
      <c r="H327" s="2" t="s">
        <v>2728</v>
      </c>
      <c r="I327" s="2" t="s">
        <v>66</v>
      </c>
      <c r="J327" s="4">
        <v>43324</v>
      </c>
      <c r="K327" s="2" t="s">
        <v>8</v>
      </c>
      <c r="L327" s="2" t="s">
        <v>12</v>
      </c>
      <c r="W327" s="16" t="s">
        <v>111</v>
      </c>
      <c r="Y327" s="7">
        <v>42985</v>
      </c>
      <c r="Z327" s="16" t="s">
        <v>66</v>
      </c>
      <c r="AA327" s="7">
        <v>43030</v>
      </c>
      <c r="AB327" s="2" t="s">
        <v>6590</v>
      </c>
    </row>
    <row r="328" spans="1:28" ht="15" customHeight="1">
      <c r="A328" s="290"/>
      <c r="C328" s="2">
        <v>23</v>
      </c>
      <c r="D328" s="2">
        <v>18997</v>
      </c>
      <c r="E328" s="2" t="s">
        <v>3113</v>
      </c>
      <c r="F328" s="3">
        <v>28008190104997</v>
      </c>
      <c r="G328" s="2" t="s">
        <v>34</v>
      </c>
      <c r="H328" s="2" t="s">
        <v>2729</v>
      </c>
      <c r="I328" s="2" t="s">
        <v>66</v>
      </c>
      <c r="J328" s="4">
        <v>43324</v>
      </c>
      <c r="K328" s="2" t="s">
        <v>8</v>
      </c>
      <c r="L328" s="2" t="s">
        <v>12</v>
      </c>
      <c r="W328" s="16" t="s">
        <v>60</v>
      </c>
      <c r="Y328" s="7">
        <v>42985</v>
      </c>
      <c r="Z328" s="16" t="s">
        <v>67</v>
      </c>
      <c r="AA328" s="7" t="s">
        <v>3111</v>
      </c>
    </row>
    <row r="329" spans="1:28" ht="15" customHeight="1">
      <c r="A329" s="290"/>
      <c r="C329" s="2">
        <v>23</v>
      </c>
      <c r="D329" s="2">
        <v>18998</v>
      </c>
      <c r="E329" s="2" t="s">
        <v>2712</v>
      </c>
      <c r="F329" s="3">
        <v>29210012114153</v>
      </c>
      <c r="G329" s="2" t="s">
        <v>34</v>
      </c>
      <c r="H329" s="2" t="s">
        <v>2730</v>
      </c>
      <c r="I329" s="2" t="s">
        <v>66</v>
      </c>
      <c r="J329" s="4">
        <v>43324</v>
      </c>
      <c r="K329" s="2" t="s">
        <v>8</v>
      </c>
      <c r="L329" s="2" t="s">
        <v>12</v>
      </c>
      <c r="W329" s="16" t="s">
        <v>60</v>
      </c>
      <c r="Y329" s="7">
        <v>42985</v>
      </c>
      <c r="Z329" s="16" t="s">
        <v>66</v>
      </c>
      <c r="AA329" s="7">
        <v>42990</v>
      </c>
    </row>
    <row r="330" spans="1:28" ht="15" customHeight="1">
      <c r="A330" s="290"/>
      <c r="C330" s="2">
        <v>23</v>
      </c>
      <c r="D330" s="2">
        <v>18999</v>
      </c>
      <c r="E330" s="2" t="s">
        <v>2713</v>
      </c>
      <c r="F330" s="3">
        <v>28506151200148</v>
      </c>
      <c r="G330" s="2" t="s">
        <v>34</v>
      </c>
      <c r="H330" s="2" t="s">
        <v>2731</v>
      </c>
      <c r="I330" s="2" t="s">
        <v>66</v>
      </c>
      <c r="J330" s="4">
        <v>43324</v>
      </c>
      <c r="K330" s="2" t="s">
        <v>8</v>
      </c>
      <c r="L330" s="2" t="s">
        <v>12</v>
      </c>
      <c r="W330" s="16" t="s">
        <v>502</v>
      </c>
      <c r="X330" s="16" t="s">
        <v>66</v>
      </c>
      <c r="Y330" s="7">
        <v>42985</v>
      </c>
      <c r="Z330" s="16" t="s">
        <v>66</v>
      </c>
      <c r="AA330" s="7">
        <v>43011</v>
      </c>
      <c r="AB330" s="2" t="s">
        <v>5556</v>
      </c>
    </row>
    <row r="331" spans="1:28" ht="15" customHeight="1">
      <c r="A331" s="290"/>
      <c r="C331" s="2">
        <v>23</v>
      </c>
      <c r="D331" s="2">
        <v>19000</v>
      </c>
      <c r="E331" s="2" t="s">
        <v>2714</v>
      </c>
      <c r="F331" s="3">
        <v>29511112102942</v>
      </c>
      <c r="G331" s="2" t="s">
        <v>34</v>
      </c>
      <c r="H331" s="2" t="s">
        <v>2732</v>
      </c>
      <c r="I331" s="2" t="s">
        <v>66</v>
      </c>
      <c r="J331" s="4">
        <v>43324</v>
      </c>
      <c r="K331" s="2" t="s">
        <v>8</v>
      </c>
      <c r="L331" s="2" t="s">
        <v>12</v>
      </c>
      <c r="W331" s="16" t="s">
        <v>60</v>
      </c>
      <c r="Y331" s="7">
        <v>42985</v>
      </c>
      <c r="Z331" s="16" t="s">
        <v>66</v>
      </c>
      <c r="AA331" s="7" t="s">
        <v>3111</v>
      </c>
    </row>
    <row r="332" spans="1:28" ht="15" customHeight="1">
      <c r="A332" s="290"/>
      <c r="C332" s="2">
        <v>23</v>
      </c>
      <c r="D332" s="2">
        <v>19001</v>
      </c>
      <c r="E332" s="2" t="s">
        <v>2715</v>
      </c>
      <c r="F332" s="3">
        <v>29312100100704</v>
      </c>
      <c r="G332" s="2" t="s">
        <v>34</v>
      </c>
      <c r="H332" s="2" t="s">
        <v>2733</v>
      </c>
      <c r="I332" s="2" t="s">
        <v>66</v>
      </c>
      <c r="J332" s="4">
        <v>43324</v>
      </c>
      <c r="K332" s="2" t="s">
        <v>8</v>
      </c>
      <c r="L332" s="2" t="s">
        <v>12</v>
      </c>
      <c r="W332" s="16" t="s">
        <v>61</v>
      </c>
      <c r="Y332" s="7">
        <v>42985</v>
      </c>
      <c r="Z332" s="16" t="s">
        <v>67</v>
      </c>
      <c r="AA332" s="7" t="s">
        <v>3111</v>
      </c>
    </row>
    <row r="333" spans="1:28" ht="15" customHeight="1">
      <c r="A333" s="290"/>
      <c r="C333" s="2">
        <v>23</v>
      </c>
      <c r="D333" s="2">
        <v>19002</v>
      </c>
      <c r="E333" s="2" t="s">
        <v>2716</v>
      </c>
      <c r="F333" s="3">
        <v>28704090100834</v>
      </c>
      <c r="G333" s="2" t="s">
        <v>34</v>
      </c>
      <c r="H333" s="2" t="s">
        <v>2734</v>
      </c>
      <c r="I333" s="2" t="s">
        <v>66</v>
      </c>
      <c r="J333" s="4">
        <v>43324</v>
      </c>
      <c r="K333" s="2" t="s">
        <v>8</v>
      </c>
      <c r="L333" s="2" t="s">
        <v>12</v>
      </c>
      <c r="W333" s="16" t="s">
        <v>111</v>
      </c>
      <c r="Y333" s="7">
        <v>42985</v>
      </c>
      <c r="Z333" s="16" t="s">
        <v>66</v>
      </c>
      <c r="AA333" s="7">
        <v>43142</v>
      </c>
    </row>
    <row r="334" spans="1:28" ht="15" customHeight="1">
      <c r="A334" s="290"/>
      <c r="C334" s="2">
        <v>23</v>
      </c>
      <c r="D334" s="2">
        <v>19003</v>
      </c>
      <c r="E334" s="2" t="s">
        <v>2717</v>
      </c>
      <c r="F334" s="3">
        <v>29308050101227</v>
      </c>
      <c r="G334" s="2" t="s">
        <v>34</v>
      </c>
      <c r="H334" s="2" t="s">
        <v>2735</v>
      </c>
      <c r="I334" s="2" t="s">
        <v>66</v>
      </c>
      <c r="J334" s="4">
        <v>43324</v>
      </c>
      <c r="K334" s="2" t="s">
        <v>8</v>
      </c>
      <c r="L334" s="2" t="s">
        <v>12</v>
      </c>
      <c r="W334" s="16" t="s">
        <v>60</v>
      </c>
      <c r="Y334" s="7">
        <v>42985</v>
      </c>
      <c r="Z334" s="16" t="s">
        <v>66</v>
      </c>
      <c r="AA334" s="7">
        <v>43031</v>
      </c>
      <c r="AB334" s="2" t="s">
        <v>802</v>
      </c>
    </row>
    <row r="335" spans="1:28" ht="15" customHeight="1">
      <c r="A335" s="290"/>
      <c r="C335" s="2">
        <v>23</v>
      </c>
      <c r="D335" s="2">
        <v>19004</v>
      </c>
      <c r="E335" s="2" t="s">
        <v>2718</v>
      </c>
      <c r="F335" s="3">
        <v>29508100103861</v>
      </c>
      <c r="G335" s="2" t="s">
        <v>34</v>
      </c>
      <c r="H335" s="2" t="s">
        <v>2736</v>
      </c>
      <c r="I335" s="2" t="s">
        <v>66</v>
      </c>
      <c r="J335" s="4">
        <v>43324</v>
      </c>
      <c r="K335" s="2" t="s">
        <v>8</v>
      </c>
      <c r="L335" s="2" t="s">
        <v>12</v>
      </c>
      <c r="W335" s="16" t="s">
        <v>60</v>
      </c>
      <c r="Y335" s="7">
        <v>42985</v>
      </c>
      <c r="Z335" s="16" t="s">
        <v>66</v>
      </c>
      <c r="AA335" s="7">
        <v>42990</v>
      </c>
    </row>
    <row r="336" spans="1:28" ht="15" customHeight="1">
      <c r="A336" s="290"/>
      <c r="C336" s="2">
        <v>23</v>
      </c>
      <c r="D336" s="2">
        <v>19005</v>
      </c>
      <c r="E336" s="2" t="s">
        <v>2719</v>
      </c>
      <c r="F336" s="3">
        <v>29206290200179</v>
      </c>
      <c r="G336" s="2" t="s">
        <v>34</v>
      </c>
      <c r="H336" s="2" t="s">
        <v>2737</v>
      </c>
      <c r="I336" s="2" t="s">
        <v>66</v>
      </c>
      <c r="J336" s="4">
        <v>43324</v>
      </c>
      <c r="K336" s="2" t="s">
        <v>8</v>
      </c>
      <c r="L336" s="2" t="s">
        <v>12</v>
      </c>
      <c r="W336" s="16" t="s">
        <v>60</v>
      </c>
      <c r="X336" s="16"/>
      <c r="Y336" s="7">
        <v>42985</v>
      </c>
      <c r="Z336" s="16" t="s">
        <v>66</v>
      </c>
      <c r="AA336" s="7" t="s">
        <v>3111</v>
      </c>
    </row>
    <row r="337" spans="1:28" ht="15" customHeight="1">
      <c r="A337" s="290"/>
      <c r="C337" s="16">
        <v>23</v>
      </c>
      <c r="D337" s="16">
        <v>19006</v>
      </c>
      <c r="E337" s="16" t="s">
        <v>2720</v>
      </c>
      <c r="F337" s="3">
        <v>29412242102036</v>
      </c>
      <c r="G337" s="16" t="s">
        <v>34</v>
      </c>
      <c r="H337" s="16" t="s">
        <v>2738</v>
      </c>
      <c r="I337" s="16" t="s">
        <v>66</v>
      </c>
      <c r="J337" s="45">
        <v>43324</v>
      </c>
      <c r="K337" s="16" t="s">
        <v>8</v>
      </c>
      <c r="L337" s="16" t="s">
        <v>12</v>
      </c>
      <c r="M337" s="16"/>
      <c r="N337" s="16"/>
      <c r="W337" s="16" t="s">
        <v>61</v>
      </c>
      <c r="X337" s="16" t="s">
        <v>66</v>
      </c>
      <c r="Y337" s="45">
        <v>42985</v>
      </c>
      <c r="Z337" s="16" t="s">
        <v>66</v>
      </c>
      <c r="AA337" s="45">
        <v>43023</v>
      </c>
      <c r="AB337" s="16"/>
    </row>
    <row r="338" spans="1:28" ht="15" customHeight="1">
      <c r="A338" s="290"/>
      <c r="C338" s="2">
        <v>23</v>
      </c>
      <c r="D338" s="2">
        <v>19007</v>
      </c>
      <c r="E338" s="2" t="s">
        <v>2721</v>
      </c>
      <c r="F338" s="3">
        <v>29001012145573</v>
      </c>
      <c r="G338" s="2" t="s">
        <v>34</v>
      </c>
      <c r="H338" s="2" t="s">
        <v>2739</v>
      </c>
      <c r="I338" s="2" t="s">
        <v>66</v>
      </c>
      <c r="J338" s="4">
        <v>43324</v>
      </c>
      <c r="K338" s="2" t="s">
        <v>8</v>
      </c>
      <c r="L338" s="2" t="s">
        <v>12</v>
      </c>
      <c r="W338" s="16" t="s">
        <v>60</v>
      </c>
      <c r="X338" s="16"/>
      <c r="Y338" s="7">
        <v>42985</v>
      </c>
      <c r="Z338" s="16" t="s">
        <v>67</v>
      </c>
      <c r="AA338" s="7" t="s">
        <v>3111</v>
      </c>
    </row>
    <row r="339" spans="1:28" ht="15" customHeight="1">
      <c r="A339" s="290"/>
      <c r="C339" s="2">
        <v>23</v>
      </c>
      <c r="D339" s="2">
        <v>19008</v>
      </c>
      <c r="E339" s="2" t="s">
        <v>2722</v>
      </c>
      <c r="F339" s="3">
        <v>5626874</v>
      </c>
      <c r="G339" s="2" t="s">
        <v>34</v>
      </c>
      <c r="H339" s="2" t="s">
        <v>2740</v>
      </c>
      <c r="I339" s="2" t="s">
        <v>66</v>
      </c>
      <c r="J339" s="4">
        <v>43324</v>
      </c>
      <c r="K339" s="2" t="s">
        <v>8</v>
      </c>
      <c r="L339" s="2" t="s">
        <v>12</v>
      </c>
      <c r="W339" s="16" t="s">
        <v>61</v>
      </c>
      <c r="X339" s="2" t="s">
        <v>66</v>
      </c>
      <c r="Y339" s="7">
        <v>42985</v>
      </c>
      <c r="Z339" s="16" t="s">
        <v>66</v>
      </c>
      <c r="AA339" s="7">
        <v>43023</v>
      </c>
    </row>
    <row r="340" spans="1:28" ht="15" customHeight="1">
      <c r="A340" s="290"/>
      <c r="C340" s="2">
        <v>23</v>
      </c>
      <c r="D340" s="2">
        <v>19009</v>
      </c>
      <c r="E340" s="2" t="s">
        <v>2723</v>
      </c>
      <c r="F340" s="3">
        <v>29510011349789</v>
      </c>
      <c r="G340" s="2" t="s">
        <v>34</v>
      </c>
      <c r="H340" s="2" t="s">
        <v>2741</v>
      </c>
      <c r="I340" s="2" t="s">
        <v>66</v>
      </c>
      <c r="J340" s="4">
        <v>43324</v>
      </c>
      <c r="K340" s="2" t="s">
        <v>8</v>
      </c>
      <c r="L340" s="2" t="s">
        <v>12</v>
      </c>
      <c r="W340" s="16" t="s">
        <v>60</v>
      </c>
      <c r="Y340" s="7">
        <v>42985</v>
      </c>
      <c r="Z340" s="16" t="s">
        <v>66</v>
      </c>
      <c r="AA340" s="7">
        <v>42990</v>
      </c>
    </row>
    <row r="341" spans="1:28" ht="15.75" customHeight="1" thickBot="1">
      <c r="A341" s="291"/>
      <c r="C341" s="28">
        <v>23</v>
      </c>
      <c r="D341" s="28">
        <v>19010</v>
      </c>
      <c r="E341" s="28" t="s">
        <v>2724</v>
      </c>
      <c r="F341" s="29">
        <v>29409302102184</v>
      </c>
      <c r="G341" s="28" t="s">
        <v>184</v>
      </c>
      <c r="H341" s="28" t="s">
        <v>2742</v>
      </c>
      <c r="I341" s="28" t="s">
        <v>66</v>
      </c>
      <c r="J341" s="30">
        <v>43324</v>
      </c>
      <c r="K341" s="28" t="s">
        <v>8</v>
      </c>
      <c r="L341" s="28" t="s">
        <v>12</v>
      </c>
      <c r="M341" s="28"/>
      <c r="N341" s="28"/>
      <c r="O341" s="226"/>
      <c r="P341" s="28"/>
      <c r="Q341" s="226"/>
      <c r="R341" s="28"/>
      <c r="S341" s="28"/>
      <c r="T341" s="28"/>
      <c r="U341" s="28"/>
      <c r="V341" s="28"/>
      <c r="W341" s="28" t="s">
        <v>111</v>
      </c>
      <c r="X341" s="28"/>
      <c r="Y341" s="30">
        <v>42985</v>
      </c>
      <c r="Z341" s="28" t="s">
        <v>67</v>
      </c>
      <c r="AA341" s="30" t="s">
        <v>3111</v>
      </c>
      <c r="AB341" s="28"/>
    </row>
    <row r="342" spans="1:28" ht="15.75" customHeight="1" thickTop="1">
      <c r="A342" s="289" t="s">
        <v>3127</v>
      </c>
      <c r="C342" s="2">
        <v>24</v>
      </c>
      <c r="D342" s="2">
        <v>19176</v>
      </c>
      <c r="E342" s="2" t="s">
        <v>2673</v>
      </c>
      <c r="F342" s="3">
        <v>29605051305157</v>
      </c>
      <c r="G342" s="2" t="s">
        <v>184</v>
      </c>
      <c r="H342" s="2" t="s">
        <v>2690</v>
      </c>
      <c r="I342" s="2" t="s">
        <v>66</v>
      </c>
      <c r="J342" s="4">
        <v>42959</v>
      </c>
      <c r="K342" s="2" t="s">
        <v>8</v>
      </c>
      <c r="L342" s="2" t="s">
        <v>12</v>
      </c>
      <c r="W342" s="16" t="s">
        <v>59</v>
      </c>
      <c r="X342" s="2" t="s">
        <v>66</v>
      </c>
      <c r="Y342" s="7">
        <v>42985</v>
      </c>
      <c r="Z342" s="16" t="s">
        <v>67</v>
      </c>
      <c r="AA342" s="7" t="s">
        <v>3111</v>
      </c>
    </row>
    <row r="343" spans="1:28" ht="15" customHeight="1">
      <c r="A343" s="290"/>
      <c r="C343" s="2">
        <v>24</v>
      </c>
      <c r="D343" s="2">
        <v>19177</v>
      </c>
      <c r="E343" s="2" t="s">
        <v>2674</v>
      </c>
      <c r="F343" s="3">
        <v>27903200200952</v>
      </c>
      <c r="G343" s="2" t="s">
        <v>34</v>
      </c>
      <c r="H343" s="2" t="s">
        <v>2691</v>
      </c>
      <c r="I343" s="2" t="s">
        <v>66</v>
      </c>
      <c r="J343" s="4">
        <v>42959</v>
      </c>
      <c r="K343" s="2" t="s">
        <v>8</v>
      </c>
      <c r="L343" s="2" t="s">
        <v>12</v>
      </c>
      <c r="W343" s="16" t="s">
        <v>63</v>
      </c>
      <c r="Z343" s="16" t="s">
        <v>67</v>
      </c>
      <c r="AA343" s="7" t="s">
        <v>3111</v>
      </c>
    </row>
    <row r="344" spans="1:28" ht="15" customHeight="1">
      <c r="A344" s="290"/>
      <c r="C344" s="16">
        <v>24</v>
      </c>
      <c r="D344" s="16">
        <v>19178</v>
      </c>
      <c r="E344" s="16" t="s">
        <v>2675</v>
      </c>
      <c r="F344" s="3">
        <v>29508162101521</v>
      </c>
      <c r="G344" s="16" t="s">
        <v>34</v>
      </c>
      <c r="H344" s="16" t="s">
        <v>2692</v>
      </c>
      <c r="I344" s="16" t="s">
        <v>66</v>
      </c>
      <c r="J344" s="45">
        <v>42959</v>
      </c>
      <c r="K344" s="16" t="s">
        <v>8</v>
      </c>
      <c r="L344" s="16" t="s">
        <v>12</v>
      </c>
      <c r="M344" s="16"/>
      <c r="N344" s="16"/>
      <c r="W344" s="16" t="s">
        <v>111</v>
      </c>
      <c r="X344" s="16" t="s">
        <v>66</v>
      </c>
      <c r="Y344" s="45">
        <v>42985</v>
      </c>
      <c r="Z344" s="16" t="s">
        <v>67</v>
      </c>
      <c r="AA344" s="45" t="s">
        <v>3111</v>
      </c>
      <c r="AB344" s="16"/>
    </row>
    <row r="345" spans="1:28" ht="15" customHeight="1">
      <c r="A345" s="290"/>
      <c r="C345" s="2">
        <v>24</v>
      </c>
      <c r="D345" s="2">
        <v>19179</v>
      </c>
      <c r="E345" s="2" t="s">
        <v>2676</v>
      </c>
      <c r="F345" s="3">
        <v>28511088800311</v>
      </c>
      <c r="G345" s="2" t="s">
        <v>34</v>
      </c>
      <c r="H345" s="2" t="s">
        <v>2693</v>
      </c>
      <c r="I345" s="2" t="s">
        <v>66</v>
      </c>
      <c r="J345" s="4">
        <v>42959</v>
      </c>
      <c r="K345" s="2" t="s">
        <v>8</v>
      </c>
      <c r="L345" s="2" t="s">
        <v>12</v>
      </c>
      <c r="W345" s="16" t="s">
        <v>60</v>
      </c>
      <c r="Y345" s="7">
        <v>42985</v>
      </c>
      <c r="Z345" s="16" t="s">
        <v>66</v>
      </c>
      <c r="AA345" s="7" t="s">
        <v>3111</v>
      </c>
    </row>
    <row r="346" spans="1:28" ht="15" customHeight="1">
      <c r="A346" s="290"/>
      <c r="C346" s="2">
        <v>24</v>
      </c>
      <c r="D346" s="2">
        <v>19180</v>
      </c>
      <c r="E346" s="2" t="s">
        <v>3114</v>
      </c>
      <c r="F346" s="3">
        <v>29212138800535</v>
      </c>
      <c r="G346" s="2" t="s">
        <v>34</v>
      </c>
      <c r="H346" s="2" t="s">
        <v>2694</v>
      </c>
      <c r="I346" s="2" t="s">
        <v>66</v>
      </c>
      <c r="J346" s="4">
        <v>42959</v>
      </c>
      <c r="K346" s="2" t="s">
        <v>8</v>
      </c>
      <c r="L346" s="2" t="s">
        <v>12</v>
      </c>
      <c r="W346" s="16" t="s">
        <v>111</v>
      </c>
      <c r="Y346" s="7">
        <v>42985</v>
      </c>
      <c r="Z346" s="16" t="s">
        <v>66</v>
      </c>
      <c r="AA346" s="7" t="s">
        <v>3111</v>
      </c>
    </row>
    <row r="347" spans="1:28" ht="15" customHeight="1">
      <c r="A347" s="290"/>
      <c r="C347" s="2">
        <v>24</v>
      </c>
      <c r="D347" s="2">
        <v>19181</v>
      </c>
      <c r="E347" s="2" t="s">
        <v>2677</v>
      </c>
      <c r="F347" s="3">
        <v>29601052104087</v>
      </c>
      <c r="G347" s="2" t="s">
        <v>34</v>
      </c>
      <c r="H347" s="2" t="s">
        <v>2695</v>
      </c>
      <c r="I347" s="2" t="s">
        <v>66</v>
      </c>
      <c r="J347" s="4">
        <v>42959</v>
      </c>
      <c r="K347" s="2" t="s">
        <v>8</v>
      </c>
      <c r="L347" s="2" t="s">
        <v>12</v>
      </c>
      <c r="W347" s="16" t="s">
        <v>111</v>
      </c>
      <c r="X347" s="16" t="s">
        <v>66</v>
      </c>
      <c r="Y347" s="7">
        <v>42985</v>
      </c>
      <c r="Z347" s="16" t="s">
        <v>67</v>
      </c>
      <c r="AA347" s="7" t="s">
        <v>3111</v>
      </c>
    </row>
    <row r="348" spans="1:28" ht="15" customHeight="1">
      <c r="A348" s="290"/>
      <c r="C348" s="2">
        <v>24</v>
      </c>
      <c r="D348" s="2">
        <v>19182</v>
      </c>
      <c r="E348" s="2" t="s">
        <v>2678</v>
      </c>
      <c r="F348" s="3">
        <v>29211101900312</v>
      </c>
      <c r="G348" s="2" t="s">
        <v>34</v>
      </c>
      <c r="H348" s="2" t="s">
        <v>2696</v>
      </c>
      <c r="I348" s="2" t="s">
        <v>66</v>
      </c>
      <c r="J348" s="4">
        <v>42959</v>
      </c>
      <c r="K348" s="2" t="s">
        <v>8</v>
      </c>
      <c r="L348" s="2" t="s">
        <v>12</v>
      </c>
      <c r="W348" s="16" t="s">
        <v>111</v>
      </c>
      <c r="X348" s="16" t="s">
        <v>66</v>
      </c>
      <c r="Y348" s="7">
        <v>42985</v>
      </c>
      <c r="Z348" s="16" t="s">
        <v>67</v>
      </c>
      <c r="AA348" s="7" t="s">
        <v>3111</v>
      </c>
    </row>
    <row r="349" spans="1:28" ht="15" customHeight="1">
      <c r="A349" s="290"/>
      <c r="C349" s="2">
        <v>24</v>
      </c>
      <c r="D349" s="2">
        <v>15192</v>
      </c>
      <c r="E349" s="2" t="s">
        <v>3115</v>
      </c>
      <c r="F349" s="3">
        <v>29406228800673</v>
      </c>
      <c r="G349" s="2" t="s">
        <v>34</v>
      </c>
      <c r="H349" s="2" t="s">
        <v>2697</v>
      </c>
      <c r="I349" s="2" t="s">
        <v>66</v>
      </c>
      <c r="J349" s="4">
        <v>42959</v>
      </c>
      <c r="K349" s="2" t="s">
        <v>8</v>
      </c>
      <c r="L349" s="2" t="s">
        <v>12</v>
      </c>
      <c r="W349" s="16" t="s">
        <v>60</v>
      </c>
      <c r="Y349" s="7">
        <v>42985</v>
      </c>
      <c r="Z349" s="16" t="s">
        <v>66</v>
      </c>
      <c r="AA349" s="7" t="s">
        <v>3111</v>
      </c>
    </row>
    <row r="350" spans="1:28" ht="15" customHeight="1">
      <c r="A350" s="290"/>
      <c r="C350" s="2">
        <v>24</v>
      </c>
      <c r="D350" s="2">
        <v>19184</v>
      </c>
      <c r="E350" s="2" t="s">
        <v>2679</v>
      </c>
      <c r="F350" s="3">
        <v>29511060103422</v>
      </c>
      <c r="G350" s="2" t="s">
        <v>34</v>
      </c>
      <c r="H350" s="2" t="s">
        <v>2698</v>
      </c>
      <c r="I350" s="2" t="s">
        <v>66</v>
      </c>
      <c r="J350" s="4">
        <v>42959</v>
      </c>
      <c r="K350" s="2" t="s">
        <v>8</v>
      </c>
      <c r="L350" s="2" t="s">
        <v>12</v>
      </c>
      <c r="W350" s="16" t="s">
        <v>111</v>
      </c>
      <c r="Y350" s="7">
        <v>42985</v>
      </c>
      <c r="Z350" s="16" t="s">
        <v>66</v>
      </c>
      <c r="AA350" s="7">
        <v>43030</v>
      </c>
      <c r="AB350" s="12"/>
    </row>
    <row r="351" spans="1:28" ht="15" customHeight="1">
      <c r="A351" s="290"/>
      <c r="C351" s="2">
        <v>24</v>
      </c>
      <c r="D351" s="2">
        <v>19185</v>
      </c>
      <c r="E351" s="2" t="s">
        <v>2680</v>
      </c>
      <c r="F351" s="3">
        <v>29512022103741</v>
      </c>
      <c r="G351" s="2" t="s">
        <v>34</v>
      </c>
      <c r="H351" s="2" t="s">
        <v>2699</v>
      </c>
      <c r="I351" s="2" t="s">
        <v>66</v>
      </c>
      <c r="J351" s="4">
        <v>42959</v>
      </c>
      <c r="K351" s="2" t="s">
        <v>8</v>
      </c>
      <c r="L351" s="2" t="s">
        <v>12</v>
      </c>
      <c r="W351" s="16" t="s">
        <v>61</v>
      </c>
      <c r="X351" s="16" t="s">
        <v>66</v>
      </c>
      <c r="Y351" s="7">
        <v>42985</v>
      </c>
      <c r="Z351" s="16" t="s">
        <v>67</v>
      </c>
      <c r="AA351" s="7" t="s">
        <v>3111</v>
      </c>
    </row>
    <row r="352" spans="1:28" ht="15" customHeight="1">
      <c r="A352" s="290"/>
      <c r="C352" s="2">
        <v>24</v>
      </c>
      <c r="D352" s="2">
        <v>19186</v>
      </c>
      <c r="E352" s="2" t="s">
        <v>2681</v>
      </c>
      <c r="F352" s="3">
        <v>28204208800787</v>
      </c>
      <c r="G352" s="2" t="s">
        <v>34</v>
      </c>
      <c r="H352" s="2" t="s">
        <v>2700</v>
      </c>
      <c r="I352" s="2" t="s">
        <v>66</v>
      </c>
      <c r="J352" s="4">
        <v>42959</v>
      </c>
      <c r="K352" s="2" t="s">
        <v>8</v>
      </c>
      <c r="L352" s="2" t="s">
        <v>12</v>
      </c>
      <c r="W352" s="16" t="s">
        <v>61</v>
      </c>
      <c r="X352" s="16" t="s">
        <v>66</v>
      </c>
      <c r="Y352" s="7">
        <v>42985</v>
      </c>
      <c r="Z352" s="16" t="s">
        <v>66</v>
      </c>
      <c r="AA352" s="7">
        <v>43023</v>
      </c>
    </row>
    <row r="353" spans="1:28" ht="15" customHeight="1">
      <c r="A353" s="290"/>
      <c r="C353" s="2">
        <v>24</v>
      </c>
      <c r="D353" s="2">
        <v>19187</v>
      </c>
      <c r="E353" s="2" t="s">
        <v>2682</v>
      </c>
      <c r="F353" s="3">
        <v>29411060103657</v>
      </c>
      <c r="G353" s="2" t="s">
        <v>34</v>
      </c>
      <c r="H353" s="2" t="s">
        <v>2701</v>
      </c>
      <c r="I353" s="2" t="s">
        <v>66</v>
      </c>
      <c r="J353" s="4">
        <v>42959</v>
      </c>
      <c r="K353" s="2" t="s">
        <v>8</v>
      </c>
      <c r="L353" s="2" t="s">
        <v>12</v>
      </c>
      <c r="W353" s="16" t="s">
        <v>60</v>
      </c>
      <c r="Y353" s="7">
        <v>42985</v>
      </c>
      <c r="Z353" s="16" t="s">
        <v>66</v>
      </c>
      <c r="AA353" s="7" t="s">
        <v>3111</v>
      </c>
      <c r="AB353" s="2" t="s">
        <v>4726</v>
      </c>
    </row>
    <row r="354" spans="1:28" ht="15" customHeight="1">
      <c r="A354" s="290"/>
      <c r="C354" s="2">
        <v>24</v>
      </c>
      <c r="D354" s="2">
        <v>19188</v>
      </c>
      <c r="E354" s="2" t="s">
        <v>2683</v>
      </c>
      <c r="F354" s="3">
        <v>29408310101522</v>
      </c>
      <c r="G354" s="2" t="s">
        <v>34</v>
      </c>
      <c r="H354" s="2" t="s">
        <v>2702</v>
      </c>
      <c r="I354" s="2" t="s">
        <v>66</v>
      </c>
      <c r="J354" s="4">
        <v>42959</v>
      </c>
      <c r="K354" s="2" t="s">
        <v>8</v>
      </c>
      <c r="L354" s="2" t="s">
        <v>12</v>
      </c>
      <c r="W354" s="16" t="s">
        <v>60</v>
      </c>
      <c r="X354" s="16" t="s">
        <v>66</v>
      </c>
      <c r="Y354" s="7">
        <v>42985</v>
      </c>
      <c r="Z354" s="16" t="s">
        <v>66</v>
      </c>
      <c r="AA354" s="7" t="s">
        <v>3111</v>
      </c>
    </row>
    <row r="355" spans="1:28" ht="15" customHeight="1">
      <c r="A355" s="290"/>
      <c r="C355" s="2">
        <v>24</v>
      </c>
      <c r="D355" s="2">
        <v>19189</v>
      </c>
      <c r="E355" s="2" t="s">
        <v>2684</v>
      </c>
      <c r="F355" s="3">
        <v>27905068800409</v>
      </c>
      <c r="G355" s="2" t="s">
        <v>34</v>
      </c>
      <c r="H355" s="2" t="s">
        <v>2703</v>
      </c>
      <c r="I355" s="2" t="s">
        <v>66</v>
      </c>
      <c r="J355" s="4">
        <v>42959</v>
      </c>
      <c r="K355" s="2" t="s">
        <v>8</v>
      </c>
      <c r="L355" s="2" t="s">
        <v>12</v>
      </c>
      <c r="W355" s="16" t="s">
        <v>111</v>
      </c>
      <c r="X355" s="16" t="s">
        <v>66</v>
      </c>
      <c r="Y355" s="7">
        <v>42985</v>
      </c>
      <c r="Z355" s="16" t="s">
        <v>67</v>
      </c>
      <c r="AA355" s="7" t="s">
        <v>3111</v>
      </c>
    </row>
    <row r="356" spans="1:28" ht="15" customHeight="1">
      <c r="A356" s="290"/>
      <c r="C356" s="2">
        <v>24</v>
      </c>
      <c r="D356" s="2">
        <v>19190</v>
      </c>
      <c r="E356" s="2" t="s">
        <v>2685</v>
      </c>
      <c r="F356" s="3">
        <v>29508232101841</v>
      </c>
      <c r="G356" s="2" t="s">
        <v>34</v>
      </c>
      <c r="H356" s="2" t="s">
        <v>2704</v>
      </c>
      <c r="I356" s="2" t="s">
        <v>66</v>
      </c>
      <c r="J356" s="4">
        <v>42959</v>
      </c>
      <c r="K356" s="2" t="s">
        <v>8</v>
      </c>
      <c r="L356" s="2" t="s">
        <v>12</v>
      </c>
      <c r="W356" s="16" t="s">
        <v>60</v>
      </c>
      <c r="Y356" s="7">
        <v>42985</v>
      </c>
      <c r="Z356" s="16" t="s">
        <v>67</v>
      </c>
      <c r="AA356" s="7" t="s">
        <v>3111</v>
      </c>
    </row>
    <row r="357" spans="1:28" ht="15" customHeight="1">
      <c r="A357" s="290"/>
      <c r="C357" s="2">
        <v>24</v>
      </c>
      <c r="D357" s="2">
        <v>19191</v>
      </c>
      <c r="E357" s="2" t="s">
        <v>2686</v>
      </c>
      <c r="F357" s="3">
        <v>29404190101218</v>
      </c>
      <c r="G357" s="2" t="s">
        <v>34</v>
      </c>
      <c r="H357" s="2" t="s">
        <v>2705</v>
      </c>
      <c r="I357" s="2" t="s">
        <v>66</v>
      </c>
      <c r="J357" s="4">
        <v>42959</v>
      </c>
      <c r="K357" s="2" t="s">
        <v>8</v>
      </c>
      <c r="L357" s="2" t="s">
        <v>12</v>
      </c>
      <c r="W357" s="16" t="s">
        <v>111</v>
      </c>
      <c r="Y357" s="7">
        <v>42985</v>
      </c>
      <c r="Z357" s="16" t="s">
        <v>67</v>
      </c>
      <c r="AA357" s="7" t="s">
        <v>3111</v>
      </c>
      <c r="AB357" s="12"/>
    </row>
    <row r="358" spans="1:28" ht="15" customHeight="1">
      <c r="A358" s="290"/>
      <c r="C358" s="16">
        <v>24</v>
      </c>
      <c r="D358" s="16">
        <v>19192</v>
      </c>
      <c r="E358" s="16" t="s">
        <v>2687</v>
      </c>
      <c r="F358" s="3">
        <v>28905138800731</v>
      </c>
      <c r="G358" s="16" t="s">
        <v>34</v>
      </c>
      <c r="H358" s="16" t="s">
        <v>2706</v>
      </c>
      <c r="I358" s="16" t="s">
        <v>66</v>
      </c>
      <c r="J358" s="45">
        <v>42959</v>
      </c>
      <c r="K358" s="16" t="s">
        <v>8</v>
      </c>
      <c r="L358" s="16" t="s">
        <v>12</v>
      </c>
      <c r="M358" s="16"/>
      <c r="N358" s="16"/>
      <c r="W358" s="16" t="s">
        <v>60</v>
      </c>
      <c r="X358" s="16"/>
      <c r="Y358" s="45">
        <v>42985</v>
      </c>
      <c r="Z358" s="16" t="s">
        <v>66</v>
      </c>
      <c r="AA358" s="45" t="s">
        <v>3111</v>
      </c>
      <c r="AB358" s="16"/>
    </row>
    <row r="359" spans="1:28" s="14" customFormat="1" ht="15" customHeight="1">
      <c r="A359" s="290"/>
      <c r="C359" s="16">
        <v>24</v>
      </c>
      <c r="D359" s="16">
        <v>19193</v>
      </c>
      <c r="E359" s="16" t="s">
        <v>2688</v>
      </c>
      <c r="F359" s="3">
        <v>29101201605199</v>
      </c>
      <c r="G359" s="16" t="s">
        <v>34</v>
      </c>
      <c r="H359" s="43" t="s">
        <v>2706</v>
      </c>
      <c r="I359" s="16" t="s">
        <v>66</v>
      </c>
      <c r="J359" s="45">
        <v>42959</v>
      </c>
      <c r="K359" s="16" t="s">
        <v>8</v>
      </c>
      <c r="L359" s="16" t="s">
        <v>12</v>
      </c>
      <c r="M359" s="16"/>
      <c r="N359" s="16"/>
      <c r="O359" s="225"/>
      <c r="P359" s="103"/>
      <c r="Q359" s="225"/>
      <c r="R359" s="16"/>
      <c r="S359" s="16"/>
      <c r="T359" s="16"/>
      <c r="U359" s="16"/>
      <c r="V359" s="16"/>
      <c r="W359" s="16" t="s">
        <v>111</v>
      </c>
      <c r="X359" s="16"/>
      <c r="Y359" s="7">
        <v>42985</v>
      </c>
      <c r="Z359" s="16" t="s">
        <v>66</v>
      </c>
      <c r="AA359" s="7">
        <v>43044</v>
      </c>
      <c r="AB359" s="16"/>
    </row>
    <row r="360" spans="1:28" ht="15.75" customHeight="1" thickBot="1">
      <c r="A360" s="291"/>
      <c r="C360" s="28">
        <v>24</v>
      </c>
      <c r="D360" s="28">
        <v>17038</v>
      </c>
      <c r="E360" s="28" t="s">
        <v>2689</v>
      </c>
      <c r="F360" s="29">
        <v>28809160100833</v>
      </c>
      <c r="G360" s="28" t="s">
        <v>34</v>
      </c>
      <c r="H360" s="28" t="s">
        <v>2707</v>
      </c>
      <c r="I360" s="28" t="s">
        <v>67</v>
      </c>
      <c r="J360" s="30">
        <v>42959</v>
      </c>
      <c r="K360" s="28" t="s">
        <v>8</v>
      </c>
      <c r="L360" s="28" t="s">
        <v>12</v>
      </c>
      <c r="M360" s="28"/>
      <c r="N360" s="28"/>
      <c r="O360" s="226"/>
      <c r="P360" s="28"/>
      <c r="Q360" s="226"/>
      <c r="R360" s="28"/>
      <c r="S360" s="28"/>
      <c r="T360" s="28"/>
      <c r="U360" s="28"/>
      <c r="V360" s="28"/>
      <c r="W360" s="28" t="s">
        <v>60</v>
      </c>
      <c r="X360" s="28"/>
      <c r="Y360" s="30">
        <v>42985</v>
      </c>
      <c r="Z360" s="28" t="s">
        <v>66</v>
      </c>
      <c r="AA360" s="30" t="s">
        <v>3111</v>
      </c>
      <c r="AB360" s="28"/>
    </row>
    <row r="361" spans="1:28" ht="15.75" customHeight="1" thickTop="1">
      <c r="A361" s="289" t="s">
        <v>3120</v>
      </c>
      <c r="C361" s="2">
        <v>25</v>
      </c>
      <c r="D361" s="2">
        <v>19194</v>
      </c>
      <c r="E361" s="2" t="s">
        <v>2636</v>
      </c>
      <c r="F361" s="3">
        <v>28911100100213</v>
      </c>
      <c r="G361" s="2" t="s">
        <v>34</v>
      </c>
      <c r="H361" s="2" t="s">
        <v>2654</v>
      </c>
      <c r="I361" s="2" t="s">
        <v>66</v>
      </c>
      <c r="J361" s="4">
        <v>42969</v>
      </c>
      <c r="K361" s="2" t="s">
        <v>8</v>
      </c>
      <c r="L361" s="2" t="s">
        <v>12</v>
      </c>
      <c r="W361" s="16" t="s">
        <v>111</v>
      </c>
      <c r="X361" s="2" t="s">
        <v>66</v>
      </c>
      <c r="Y361" s="7">
        <v>42995</v>
      </c>
      <c r="Z361" s="16" t="s">
        <v>66</v>
      </c>
      <c r="AA361" s="7">
        <v>43020</v>
      </c>
    </row>
    <row r="362" spans="1:28" ht="15" customHeight="1">
      <c r="A362" s="290"/>
      <c r="C362" s="2">
        <v>25</v>
      </c>
      <c r="D362" s="2">
        <v>19195</v>
      </c>
      <c r="E362" s="2" t="s">
        <v>2637</v>
      </c>
      <c r="F362" s="3" t="s">
        <v>2638</v>
      </c>
      <c r="G362" s="2" t="s">
        <v>184</v>
      </c>
      <c r="H362" s="2" t="s">
        <v>2655</v>
      </c>
      <c r="I362" s="2" t="s">
        <v>66</v>
      </c>
      <c r="J362" s="4">
        <v>42969</v>
      </c>
      <c r="K362" s="2" t="s">
        <v>8</v>
      </c>
      <c r="L362" s="2" t="s">
        <v>12</v>
      </c>
      <c r="W362" s="16" t="s">
        <v>60</v>
      </c>
      <c r="Y362" s="7">
        <v>42995</v>
      </c>
      <c r="Z362" s="16" t="s">
        <v>66</v>
      </c>
      <c r="AA362" s="7" t="s">
        <v>3111</v>
      </c>
    </row>
    <row r="363" spans="1:28" ht="15" customHeight="1">
      <c r="A363" s="290"/>
      <c r="C363" s="16">
        <v>25</v>
      </c>
      <c r="D363" s="16">
        <v>19196</v>
      </c>
      <c r="E363" s="16" t="s">
        <v>2639</v>
      </c>
      <c r="F363" s="3">
        <v>29308011319274</v>
      </c>
      <c r="G363" s="16" t="s">
        <v>34</v>
      </c>
      <c r="H363" s="16" t="s">
        <v>2656</v>
      </c>
      <c r="I363" s="16" t="s">
        <v>66</v>
      </c>
      <c r="J363" s="45">
        <v>42969</v>
      </c>
      <c r="K363" s="16" t="s">
        <v>8</v>
      </c>
      <c r="L363" s="16" t="s">
        <v>12</v>
      </c>
      <c r="M363" s="16"/>
      <c r="N363" s="16"/>
      <c r="W363" s="16" t="s">
        <v>63</v>
      </c>
      <c r="X363" s="16"/>
      <c r="Y363" s="45"/>
      <c r="Z363" s="16" t="s">
        <v>67</v>
      </c>
      <c r="AA363" s="45" t="s">
        <v>3111</v>
      </c>
      <c r="AB363" s="16"/>
    </row>
    <row r="364" spans="1:28" ht="15" customHeight="1">
      <c r="A364" s="290"/>
      <c r="C364" s="2">
        <v>25</v>
      </c>
      <c r="D364" s="2">
        <v>19197</v>
      </c>
      <c r="E364" s="2" t="s">
        <v>2640</v>
      </c>
      <c r="F364" s="3">
        <v>29206150101405</v>
      </c>
      <c r="G364" s="2" t="s">
        <v>34</v>
      </c>
      <c r="H364" s="2" t="s">
        <v>2657</v>
      </c>
      <c r="I364" s="2" t="s">
        <v>66</v>
      </c>
      <c r="J364" s="4">
        <v>42969</v>
      </c>
      <c r="K364" s="2" t="s">
        <v>8</v>
      </c>
      <c r="L364" s="2" t="s">
        <v>12</v>
      </c>
      <c r="W364" s="16" t="s">
        <v>60</v>
      </c>
      <c r="Y364" s="7">
        <v>42995</v>
      </c>
      <c r="Z364" s="16" t="s">
        <v>66</v>
      </c>
      <c r="AA364" s="7" t="s">
        <v>3111</v>
      </c>
    </row>
    <row r="365" spans="1:28" ht="15" customHeight="1">
      <c r="A365" s="290"/>
      <c r="C365" s="2">
        <v>25</v>
      </c>
      <c r="D365" s="2">
        <v>19198</v>
      </c>
      <c r="E365" s="2" t="s">
        <v>2641</v>
      </c>
      <c r="F365" s="3">
        <v>29402150104301</v>
      </c>
      <c r="G365" s="2" t="s">
        <v>34</v>
      </c>
      <c r="H365" s="2" t="s">
        <v>2658</v>
      </c>
      <c r="I365" s="2" t="s">
        <v>66</v>
      </c>
      <c r="J365" s="4">
        <v>42969</v>
      </c>
      <c r="K365" s="2" t="s">
        <v>8</v>
      </c>
      <c r="L365" s="2" t="s">
        <v>12</v>
      </c>
      <c r="W365" s="16" t="s">
        <v>63</v>
      </c>
      <c r="Z365" s="16" t="s">
        <v>67</v>
      </c>
      <c r="AA365" s="7" t="s">
        <v>3111</v>
      </c>
    </row>
    <row r="366" spans="1:28" ht="15" customHeight="1">
      <c r="A366" s="290"/>
      <c r="C366" s="2">
        <v>25</v>
      </c>
      <c r="D366" s="2">
        <v>19199</v>
      </c>
      <c r="E366" s="2" t="s">
        <v>2642</v>
      </c>
      <c r="F366" s="3">
        <v>29408281701507</v>
      </c>
      <c r="G366" s="2" t="s">
        <v>34</v>
      </c>
      <c r="H366" s="2" t="s">
        <v>2659</v>
      </c>
      <c r="I366" s="2" t="s">
        <v>66</v>
      </c>
      <c r="J366" s="4">
        <v>42969</v>
      </c>
      <c r="K366" s="2" t="s">
        <v>8</v>
      </c>
      <c r="L366" s="2" t="s">
        <v>12</v>
      </c>
      <c r="W366" s="16" t="s">
        <v>59</v>
      </c>
      <c r="X366" s="16" t="s">
        <v>66</v>
      </c>
      <c r="Z366" s="16" t="s">
        <v>67</v>
      </c>
      <c r="AA366" s="7" t="s">
        <v>3111</v>
      </c>
      <c r="AB366" s="12"/>
    </row>
    <row r="367" spans="1:28" ht="15" customHeight="1">
      <c r="A367" s="290"/>
      <c r="C367" s="2">
        <v>25</v>
      </c>
      <c r="D367" s="2">
        <v>19200</v>
      </c>
      <c r="E367" s="2" t="s">
        <v>2672</v>
      </c>
      <c r="F367" s="3">
        <v>29410012126967</v>
      </c>
      <c r="G367" s="2" t="s">
        <v>34</v>
      </c>
      <c r="H367" s="2" t="s">
        <v>2660</v>
      </c>
      <c r="I367" s="2" t="s">
        <v>66</v>
      </c>
      <c r="J367" s="4">
        <v>42969</v>
      </c>
      <c r="K367" s="2" t="s">
        <v>8</v>
      </c>
      <c r="L367" s="2" t="s">
        <v>12</v>
      </c>
      <c r="W367" s="16" t="s">
        <v>63</v>
      </c>
      <c r="Z367" s="16" t="s">
        <v>67</v>
      </c>
      <c r="AA367" s="7" t="s">
        <v>3111</v>
      </c>
    </row>
    <row r="368" spans="1:28" ht="15" customHeight="1">
      <c r="A368" s="290"/>
      <c r="C368" s="2">
        <v>25</v>
      </c>
      <c r="D368" s="2">
        <v>19201</v>
      </c>
      <c r="E368" s="2" t="s">
        <v>2643</v>
      </c>
      <c r="F368" s="3">
        <v>29212120101591</v>
      </c>
      <c r="G368" s="2" t="s">
        <v>34</v>
      </c>
      <c r="H368" s="2" t="s">
        <v>2661</v>
      </c>
      <c r="I368" s="2" t="s">
        <v>66</v>
      </c>
      <c r="J368" s="4">
        <v>42969</v>
      </c>
      <c r="K368" s="2" t="s">
        <v>8</v>
      </c>
      <c r="L368" s="2" t="s">
        <v>12</v>
      </c>
      <c r="W368" s="16" t="s">
        <v>111</v>
      </c>
      <c r="X368" s="16" t="s">
        <v>66</v>
      </c>
      <c r="Y368" s="7">
        <v>42995</v>
      </c>
      <c r="Z368" s="16" t="s">
        <v>67</v>
      </c>
      <c r="AA368" s="7" t="s">
        <v>3111</v>
      </c>
    </row>
    <row r="369" spans="1:28" ht="15" customHeight="1">
      <c r="A369" s="290"/>
      <c r="C369" s="2">
        <v>25</v>
      </c>
      <c r="D369" s="2">
        <v>19202</v>
      </c>
      <c r="E369" s="2" t="s">
        <v>2644</v>
      </c>
      <c r="F369" s="3">
        <v>27009112100279</v>
      </c>
      <c r="G369" s="2" t="s">
        <v>34</v>
      </c>
      <c r="H369" s="2" t="s">
        <v>2662</v>
      </c>
      <c r="I369" s="2" t="s">
        <v>66</v>
      </c>
      <c r="J369" s="4">
        <v>42969</v>
      </c>
      <c r="K369" s="2" t="s">
        <v>8</v>
      </c>
      <c r="L369" s="2" t="s">
        <v>12</v>
      </c>
      <c r="W369" s="16" t="s">
        <v>60</v>
      </c>
      <c r="Y369" s="7">
        <v>42995</v>
      </c>
      <c r="Z369" s="16" t="s">
        <v>66</v>
      </c>
      <c r="AA369" s="7" t="s">
        <v>3111</v>
      </c>
    </row>
    <row r="370" spans="1:28" ht="15" customHeight="1">
      <c r="A370" s="290"/>
      <c r="C370" s="2">
        <v>25</v>
      </c>
      <c r="D370" s="2">
        <v>19203</v>
      </c>
      <c r="E370" s="2" t="s">
        <v>2645</v>
      </c>
      <c r="F370" s="3">
        <v>29204180102454</v>
      </c>
      <c r="G370" s="2" t="s">
        <v>34</v>
      </c>
      <c r="H370" s="2" t="s">
        <v>2663</v>
      </c>
      <c r="I370" s="2" t="s">
        <v>66</v>
      </c>
      <c r="J370" s="4">
        <v>42969</v>
      </c>
      <c r="K370" s="2" t="s">
        <v>8</v>
      </c>
      <c r="L370" s="2" t="s">
        <v>12</v>
      </c>
      <c r="W370" s="16" t="s">
        <v>111</v>
      </c>
      <c r="Y370" s="7">
        <v>42995</v>
      </c>
      <c r="Z370" s="16" t="s">
        <v>66</v>
      </c>
      <c r="AA370" s="7">
        <v>43094</v>
      </c>
    </row>
    <row r="371" spans="1:28" ht="15" customHeight="1">
      <c r="A371" s="290"/>
      <c r="C371" s="2">
        <v>25</v>
      </c>
      <c r="D371" s="2">
        <v>19204</v>
      </c>
      <c r="E371" s="2" t="s">
        <v>2646</v>
      </c>
      <c r="F371" s="3">
        <v>28107262102071</v>
      </c>
      <c r="G371" s="2" t="s">
        <v>34</v>
      </c>
      <c r="H371" s="2" t="s">
        <v>2664</v>
      </c>
      <c r="I371" s="2" t="s">
        <v>66</v>
      </c>
      <c r="J371" s="4">
        <v>42969</v>
      </c>
      <c r="K371" s="2" t="s">
        <v>8</v>
      </c>
      <c r="L371" s="2" t="s">
        <v>12</v>
      </c>
      <c r="W371" s="16" t="s">
        <v>63</v>
      </c>
      <c r="Z371" s="16" t="s">
        <v>67</v>
      </c>
      <c r="AA371" s="7" t="s">
        <v>3111</v>
      </c>
    </row>
    <row r="372" spans="1:28" ht="15" customHeight="1">
      <c r="A372" s="290"/>
      <c r="C372" s="2">
        <v>25</v>
      </c>
      <c r="D372" s="2">
        <v>19205</v>
      </c>
      <c r="E372" s="2" t="s">
        <v>2647</v>
      </c>
      <c r="F372" s="3">
        <v>29504240102649</v>
      </c>
      <c r="G372" s="2" t="s">
        <v>34</v>
      </c>
      <c r="H372" s="2" t="s">
        <v>2665</v>
      </c>
      <c r="I372" s="2" t="s">
        <v>66</v>
      </c>
      <c r="J372" s="4">
        <v>42969</v>
      </c>
      <c r="K372" s="2" t="s">
        <v>8</v>
      </c>
      <c r="L372" s="2" t="s">
        <v>12</v>
      </c>
      <c r="W372" s="16" t="s">
        <v>60</v>
      </c>
      <c r="X372" s="16" t="s">
        <v>66</v>
      </c>
      <c r="Y372" s="7">
        <v>42995</v>
      </c>
      <c r="Z372" s="16" t="s">
        <v>66</v>
      </c>
      <c r="AA372" s="7">
        <v>43045</v>
      </c>
    </row>
    <row r="373" spans="1:28" ht="15" customHeight="1">
      <c r="A373" s="290"/>
      <c r="C373" s="2">
        <v>25</v>
      </c>
      <c r="D373" s="2">
        <v>19206</v>
      </c>
      <c r="E373" s="2" t="s">
        <v>2648</v>
      </c>
      <c r="F373" s="3">
        <v>29311302300041</v>
      </c>
      <c r="G373" s="2" t="s">
        <v>34</v>
      </c>
      <c r="H373" s="2" t="s">
        <v>2666</v>
      </c>
      <c r="I373" s="2" t="s">
        <v>66</v>
      </c>
      <c r="J373" s="4">
        <v>42969</v>
      </c>
      <c r="K373" s="2" t="s">
        <v>8</v>
      </c>
      <c r="L373" s="2" t="s">
        <v>12</v>
      </c>
      <c r="W373" s="16" t="s">
        <v>59</v>
      </c>
      <c r="X373" s="16" t="s">
        <v>66</v>
      </c>
      <c r="Z373" s="16" t="s">
        <v>67</v>
      </c>
      <c r="AA373" s="7" t="s">
        <v>3111</v>
      </c>
    </row>
    <row r="374" spans="1:28" ht="15" customHeight="1">
      <c r="A374" s="290"/>
      <c r="C374" s="2">
        <v>25</v>
      </c>
      <c r="D374" s="2">
        <v>19207</v>
      </c>
      <c r="E374" s="2" t="s">
        <v>2649</v>
      </c>
      <c r="F374" s="3">
        <v>29407190103945</v>
      </c>
      <c r="G374" s="2" t="s">
        <v>34</v>
      </c>
      <c r="H374" s="2" t="s">
        <v>2667</v>
      </c>
      <c r="I374" s="2" t="s">
        <v>66</v>
      </c>
      <c r="J374" s="4">
        <v>42969</v>
      </c>
      <c r="K374" s="2" t="s">
        <v>8</v>
      </c>
      <c r="L374" s="2" t="s">
        <v>12</v>
      </c>
      <c r="W374" s="16" t="s">
        <v>63</v>
      </c>
      <c r="Z374" s="16" t="s">
        <v>67</v>
      </c>
      <c r="AA374" s="7" t="s">
        <v>3111</v>
      </c>
      <c r="AB374" s="12"/>
    </row>
    <row r="375" spans="1:28" ht="15" customHeight="1">
      <c r="A375" s="290"/>
      <c r="C375" s="16">
        <v>25</v>
      </c>
      <c r="D375" s="16">
        <v>19208</v>
      </c>
      <c r="E375" s="16" t="s">
        <v>2650</v>
      </c>
      <c r="F375" s="3">
        <v>29509150104822</v>
      </c>
      <c r="G375" s="16" t="s">
        <v>34</v>
      </c>
      <c r="H375" s="16" t="s">
        <v>2668</v>
      </c>
      <c r="I375" s="16" t="s">
        <v>66</v>
      </c>
      <c r="J375" s="45">
        <v>42969</v>
      </c>
      <c r="K375" s="16" t="s">
        <v>8</v>
      </c>
      <c r="L375" s="16" t="s">
        <v>12</v>
      </c>
      <c r="M375" s="16"/>
      <c r="N375" s="16"/>
      <c r="W375" s="16" t="s">
        <v>111</v>
      </c>
      <c r="X375" s="16"/>
      <c r="Y375" s="45">
        <v>42995</v>
      </c>
      <c r="Z375" s="16" t="s">
        <v>66</v>
      </c>
      <c r="AA375" s="45">
        <v>43030</v>
      </c>
      <c r="AB375" s="16"/>
    </row>
    <row r="376" spans="1:28" ht="15" customHeight="1">
      <c r="A376" s="290"/>
      <c r="C376" s="2">
        <v>25</v>
      </c>
      <c r="D376" s="16">
        <v>19209</v>
      </c>
      <c r="E376" s="16" t="s">
        <v>2651</v>
      </c>
      <c r="F376" s="3">
        <v>29302081701721</v>
      </c>
      <c r="G376" s="2" t="s">
        <v>34</v>
      </c>
      <c r="H376" s="2" t="s">
        <v>2669</v>
      </c>
      <c r="I376" s="2" t="s">
        <v>66</v>
      </c>
      <c r="J376" s="4">
        <v>42969</v>
      </c>
      <c r="K376" s="2" t="s">
        <v>8</v>
      </c>
      <c r="L376" s="2" t="s">
        <v>12</v>
      </c>
      <c r="W376" s="16" t="s">
        <v>60</v>
      </c>
      <c r="X376" s="16" t="s">
        <v>66</v>
      </c>
      <c r="Y376" s="45">
        <v>42995</v>
      </c>
      <c r="Z376" s="16" t="s">
        <v>67</v>
      </c>
      <c r="AA376" s="45"/>
      <c r="AB376" s="16"/>
    </row>
    <row r="377" spans="1:28" ht="15" customHeight="1">
      <c r="A377" s="290"/>
      <c r="C377" s="16">
        <v>25</v>
      </c>
      <c r="D377" s="16">
        <v>19210</v>
      </c>
      <c r="E377" s="16" t="s">
        <v>2652</v>
      </c>
      <c r="F377" s="3">
        <v>29504242300405</v>
      </c>
      <c r="G377" s="16" t="s">
        <v>34</v>
      </c>
      <c r="H377" s="16" t="s">
        <v>2670</v>
      </c>
      <c r="I377" s="16" t="s">
        <v>66</v>
      </c>
      <c r="J377" s="45">
        <v>42969</v>
      </c>
      <c r="K377" s="16" t="s">
        <v>8</v>
      </c>
      <c r="L377" s="16" t="s">
        <v>12</v>
      </c>
      <c r="M377" s="16"/>
      <c r="N377" s="16"/>
      <c r="W377" s="16" t="s">
        <v>111</v>
      </c>
      <c r="X377" s="16"/>
      <c r="Y377" s="45">
        <v>42995</v>
      </c>
      <c r="Z377" s="16" t="s">
        <v>67</v>
      </c>
      <c r="AA377" s="45"/>
      <c r="AB377" s="16"/>
    </row>
    <row r="378" spans="1:28" ht="15.75" customHeight="1" thickBot="1">
      <c r="A378" s="291"/>
      <c r="C378" s="28">
        <v>25</v>
      </c>
      <c r="D378" s="28">
        <v>19211</v>
      </c>
      <c r="E378" s="28" t="s">
        <v>2653</v>
      </c>
      <c r="F378" s="29">
        <v>29301111400724</v>
      </c>
      <c r="G378" s="28" t="s">
        <v>34</v>
      </c>
      <c r="H378" s="28" t="s">
        <v>2671</v>
      </c>
      <c r="I378" s="28" t="s">
        <v>66</v>
      </c>
      <c r="J378" s="30">
        <v>42969</v>
      </c>
      <c r="K378" s="28" t="s">
        <v>8</v>
      </c>
      <c r="L378" s="28" t="s">
        <v>12</v>
      </c>
      <c r="M378" s="28"/>
      <c r="N378" s="28"/>
      <c r="O378" s="226"/>
      <c r="P378" s="28"/>
      <c r="Q378" s="226"/>
      <c r="R378" s="28"/>
      <c r="S378" s="28"/>
      <c r="T378" s="28"/>
      <c r="U378" s="28"/>
      <c r="V378" s="28"/>
      <c r="W378" s="28" t="s">
        <v>63</v>
      </c>
      <c r="X378" s="28"/>
      <c r="Y378" s="30"/>
      <c r="Z378" s="28" t="s">
        <v>67</v>
      </c>
      <c r="AA378" s="30"/>
      <c r="AB378" s="28"/>
    </row>
    <row r="379" spans="1:28" ht="15.75" customHeight="1" thickTop="1">
      <c r="A379" s="289" t="s">
        <v>3124</v>
      </c>
      <c r="C379" s="2">
        <v>26</v>
      </c>
      <c r="D379" s="2">
        <v>19212</v>
      </c>
      <c r="E379" s="2" t="s">
        <v>2608</v>
      </c>
      <c r="F379" s="3">
        <v>29401012440212</v>
      </c>
      <c r="G379" s="2" t="s">
        <v>34</v>
      </c>
      <c r="H379" s="2" t="s">
        <v>2622</v>
      </c>
      <c r="I379" s="2" t="s">
        <v>66</v>
      </c>
      <c r="J379" s="4">
        <v>42973</v>
      </c>
      <c r="K379" s="2" t="s">
        <v>8</v>
      </c>
      <c r="L379" s="2" t="s">
        <v>12</v>
      </c>
      <c r="W379" s="16" t="s">
        <v>60</v>
      </c>
      <c r="Y379" s="7">
        <v>42999</v>
      </c>
      <c r="Z379" s="25" t="s">
        <v>66</v>
      </c>
      <c r="AA379" s="7" t="s">
        <v>3111</v>
      </c>
    </row>
    <row r="380" spans="1:28" ht="15" customHeight="1">
      <c r="A380" s="290"/>
      <c r="C380" s="2">
        <v>26</v>
      </c>
      <c r="D380" s="2">
        <v>19213</v>
      </c>
      <c r="E380" s="2" t="s">
        <v>2609</v>
      </c>
      <c r="F380" s="3">
        <v>29203028800034</v>
      </c>
      <c r="G380" s="2" t="s">
        <v>34</v>
      </c>
      <c r="H380" s="2" t="s">
        <v>2623</v>
      </c>
      <c r="I380" s="2" t="s">
        <v>66</v>
      </c>
      <c r="J380" s="4">
        <v>42973</v>
      </c>
      <c r="K380" s="2" t="s">
        <v>8</v>
      </c>
      <c r="L380" s="2" t="s">
        <v>12</v>
      </c>
      <c r="W380" s="16" t="s">
        <v>111</v>
      </c>
      <c r="X380" s="2" t="s">
        <v>66</v>
      </c>
      <c r="Y380" s="7">
        <v>42999</v>
      </c>
      <c r="Z380" s="16" t="s">
        <v>67</v>
      </c>
      <c r="AA380" s="7" t="s">
        <v>3111</v>
      </c>
    </row>
    <row r="381" spans="1:28" ht="15" customHeight="1">
      <c r="A381" s="290"/>
      <c r="C381" s="2">
        <v>26</v>
      </c>
      <c r="D381" s="2">
        <v>19214</v>
      </c>
      <c r="E381" s="2" t="s">
        <v>2610</v>
      </c>
      <c r="F381" s="3">
        <v>29309270105262</v>
      </c>
      <c r="G381" s="2" t="s">
        <v>34</v>
      </c>
      <c r="H381" s="2" t="s">
        <v>2624</v>
      </c>
      <c r="I381" s="2" t="s">
        <v>66</v>
      </c>
      <c r="J381" s="4">
        <v>42973</v>
      </c>
      <c r="K381" s="2" t="s">
        <v>8</v>
      </c>
      <c r="L381" s="2" t="s">
        <v>12</v>
      </c>
      <c r="W381" s="16" t="s">
        <v>60</v>
      </c>
      <c r="Y381" s="7">
        <v>42999</v>
      </c>
      <c r="Z381" s="25" t="s">
        <v>66</v>
      </c>
      <c r="AA381" s="7" t="s">
        <v>3111</v>
      </c>
    </row>
    <row r="382" spans="1:28" ht="15" customHeight="1">
      <c r="A382" s="290"/>
      <c r="C382" s="2">
        <v>26</v>
      </c>
      <c r="D382" s="2">
        <v>19215</v>
      </c>
      <c r="E382" s="2" t="s">
        <v>2611</v>
      </c>
      <c r="F382" s="3">
        <v>29501091701527</v>
      </c>
      <c r="G382" s="2" t="s">
        <v>34</v>
      </c>
      <c r="H382" s="2" t="s">
        <v>2625</v>
      </c>
      <c r="I382" s="2" t="s">
        <v>66</v>
      </c>
      <c r="J382" s="4">
        <v>42973</v>
      </c>
      <c r="K382" s="2" t="s">
        <v>8</v>
      </c>
      <c r="L382" s="2" t="s">
        <v>12</v>
      </c>
      <c r="W382" s="16" t="s">
        <v>111</v>
      </c>
      <c r="X382" s="16" t="s">
        <v>66</v>
      </c>
      <c r="Y382" s="7">
        <v>42999</v>
      </c>
      <c r="Z382" s="16" t="s">
        <v>67</v>
      </c>
      <c r="AA382" s="7" t="s">
        <v>3111</v>
      </c>
    </row>
    <row r="383" spans="1:28" ht="15" customHeight="1">
      <c r="A383" s="290"/>
      <c r="C383" s="2">
        <v>26</v>
      </c>
      <c r="D383" s="2">
        <v>19216</v>
      </c>
      <c r="E383" s="2" t="s">
        <v>2612</v>
      </c>
      <c r="F383" s="3">
        <v>29107072503331</v>
      </c>
      <c r="G383" s="2" t="s">
        <v>34</v>
      </c>
      <c r="H383" s="2" t="s">
        <v>2626</v>
      </c>
      <c r="I383" s="2" t="s">
        <v>66</v>
      </c>
      <c r="J383" s="4">
        <v>42973</v>
      </c>
      <c r="K383" s="2" t="s">
        <v>8</v>
      </c>
      <c r="L383" s="2" t="s">
        <v>12</v>
      </c>
      <c r="W383" s="16" t="s">
        <v>59</v>
      </c>
      <c r="X383" s="16" t="s">
        <v>66</v>
      </c>
      <c r="Z383" s="16" t="s">
        <v>67</v>
      </c>
      <c r="AA383" s="7" t="s">
        <v>3111</v>
      </c>
    </row>
    <row r="384" spans="1:28" ht="15" customHeight="1">
      <c r="A384" s="290"/>
      <c r="C384" s="2">
        <v>26</v>
      </c>
      <c r="D384" s="2">
        <v>19217</v>
      </c>
      <c r="E384" s="2" t="s">
        <v>2613</v>
      </c>
      <c r="F384" s="3">
        <v>29210140102591</v>
      </c>
      <c r="G384" s="2" t="s">
        <v>34</v>
      </c>
      <c r="H384" s="2" t="s">
        <v>2627</v>
      </c>
      <c r="I384" s="2" t="s">
        <v>66</v>
      </c>
      <c r="J384" s="4">
        <v>42973</v>
      </c>
      <c r="K384" s="2" t="s">
        <v>8</v>
      </c>
      <c r="L384" s="2" t="s">
        <v>12</v>
      </c>
      <c r="W384" s="16" t="s">
        <v>111</v>
      </c>
      <c r="Y384" s="7">
        <v>42999</v>
      </c>
      <c r="Z384" s="16" t="s">
        <v>67</v>
      </c>
      <c r="AA384" s="7" t="s">
        <v>3111</v>
      </c>
    </row>
    <row r="385" spans="1:28" ht="15" customHeight="1">
      <c r="A385" s="290"/>
      <c r="C385" s="2">
        <v>26</v>
      </c>
      <c r="D385" s="2">
        <v>19218</v>
      </c>
      <c r="E385" s="2" t="s">
        <v>2614</v>
      </c>
      <c r="F385" s="3">
        <v>27901012127331</v>
      </c>
      <c r="G385" s="2" t="s">
        <v>34</v>
      </c>
      <c r="H385" s="2" t="s">
        <v>2628</v>
      </c>
      <c r="I385" s="2" t="s">
        <v>66</v>
      </c>
      <c r="J385" s="4">
        <v>42973</v>
      </c>
      <c r="K385" s="2" t="s">
        <v>8</v>
      </c>
      <c r="L385" s="2" t="s">
        <v>12</v>
      </c>
      <c r="W385" s="16" t="s">
        <v>502</v>
      </c>
      <c r="Y385" s="7">
        <v>42999</v>
      </c>
      <c r="Z385" s="25" t="s">
        <v>66</v>
      </c>
      <c r="AA385" s="7">
        <v>43030</v>
      </c>
      <c r="AB385" s="2" t="s">
        <v>3175</v>
      </c>
    </row>
    <row r="386" spans="1:28" ht="15" customHeight="1">
      <c r="A386" s="290"/>
      <c r="C386" s="2">
        <v>26</v>
      </c>
      <c r="D386" s="2">
        <v>19219</v>
      </c>
      <c r="E386" s="2" t="s">
        <v>2615</v>
      </c>
      <c r="F386" s="3">
        <v>28506241601095</v>
      </c>
      <c r="G386" s="2" t="s">
        <v>34</v>
      </c>
      <c r="H386" s="2" t="s">
        <v>2629</v>
      </c>
      <c r="I386" s="2" t="s">
        <v>66</v>
      </c>
      <c r="J386" s="4">
        <v>42973</v>
      </c>
      <c r="K386" s="2" t="s">
        <v>8</v>
      </c>
      <c r="L386" s="2" t="s">
        <v>12</v>
      </c>
      <c r="W386" s="16" t="s">
        <v>59</v>
      </c>
      <c r="X386" s="16" t="s">
        <v>66</v>
      </c>
      <c r="Z386" s="16" t="s">
        <v>67</v>
      </c>
      <c r="AA386" s="7" t="s">
        <v>3111</v>
      </c>
    </row>
    <row r="387" spans="1:28" ht="15" customHeight="1">
      <c r="A387" s="290"/>
      <c r="C387" s="2">
        <v>26</v>
      </c>
      <c r="D387" s="2">
        <v>19220</v>
      </c>
      <c r="E387" s="2" t="s">
        <v>2616</v>
      </c>
      <c r="F387" s="3">
        <v>29411080102177</v>
      </c>
      <c r="G387" s="2" t="s">
        <v>34</v>
      </c>
      <c r="H387" s="2" t="s">
        <v>2630</v>
      </c>
      <c r="I387" s="2" t="s">
        <v>66</v>
      </c>
      <c r="J387" s="4">
        <v>42973</v>
      </c>
      <c r="K387" s="2" t="s">
        <v>8</v>
      </c>
      <c r="L387" s="2" t="s">
        <v>12</v>
      </c>
      <c r="W387" s="16" t="s">
        <v>61</v>
      </c>
      <c r="X387" s="16" t="s">
        <v>66</v>
      </c>
      <c r="Y387" s="7">
        <v>42999</v>
      </c>
      <c r="Z387" s="16" t="s">
        <v>67</v>
      </c>
      <c r="AA387" s="7" t="s">
        <v>3111</v>
      </c>
    </row>
    <row r="388" spans="1:28" ht="15" customHeight="1">
      <c r="A388" s="290"/>
      <c r="C388" s="2">
        <v>26</v>
      </c>
      <c r="D388" s="2">
        <v>19221</v>
      </c>
      <c r="E388" s="2" t="s">
        <v>2617</v>
      </c>
      <c r="F388" s="3">
        <v>29512012108907</v>
      </c>
      <c r="G388" s="2" t="s">
        <v>34</v>
      </c>
      <c r="H388" s="2" t="s">
        <v>2631</v>
      </c>
      <c r="I388" s="2" t="s">
        <v>66</v>
      </c>
      <c r="J388" s="4">
        <v>42973</v>
      </c>
      <c r="K388" s="2" t="s">
        <v>8</v>
      </c>
      <c r="L388" s="2" t="s">
        <v>12</v>
      </c>
      <c r="W388" s="16" t="s">
        <v>60</v>
      </c>
      <c r="Y388" s="7">
        <v>42999</v>
      </c>
      <c r="Z388" s="25" t="s">
        <v>66</v>
      </c>
      <c r="AA388" s="7" t="s">
        <v>3111</v>
      </c>
    </row>
    <row r="389" spans="1:28" ht="15" customHeight="1">
      <c r="A389" s="290"/>
      <c r="C389" s="2">
        <v>26</v>
      </c>
      <c r="D389" s="2">
        <v>19222</v>
      </c>
      <c r="E389" s="2" t="s">
        <v>2618</v>
      </c>
      <c r="F389" s="3">
        <v>28706012711676</v>
      </c>
      <c r="G389" s="2" t="s">
        <v>34</v>
      </c>
      <c r="H389" s="2" t="s">
        <v>2632</v>
      </c>
      <c r="I389" s="2" t="s">
        <v>66</v>
      </c>
      <c r="J389" s="4">
        <v>42973</v>
      </c>
      <c r="K389" s="2" t="s">
        <v>8</v>
      </c>
      <c r="L389" s="2" t="s">
        <v>12</v>
      </c>
      <c r="W389" s="16" t="s">
        <v>61</v>
      </c>
      <c r="X389" s="16" t="s">
        <v>66</v>
      </c>
      <c r="Y389" s="7">
        <v>42999</v>
      </c>
      <c r="Z389" s="25" t="s">
        <v>66</v>
      </c>
      <c r="AA389" s="7">
        <v>43023</v>
      </c>
    </row>
    <row r="390" spans="1:28" ht="15" customHeight="1">
      <c r="A390" s="290"/>
      <c r="C390" s="2">
        <v>26</v>
      </c>
      <c r="D390" s="2">
        <v>19223</v>
      </c>
      <c r="E390" s="2" t="s">
        <v>2619</v>
      </c>
      <c r="F390" s="3">
        <v>29503210106414</v>
      </c>
      <c r="G390" s="2" t="s">
        <v>34</v>
      </c>
      <c r="H390" s="2" t="s">
        <v>2633</v>
      </c>
      <c r="I390" s="2" t="s">
        <v>66</v>
      </c>
      <c r="J390" s="4">
        <v>42973</v>
      </c>
      <c r="K390" s="2" t="s">
        <v>8</v>
      </c>
      <c r="L390" s="2" t="s">
        <v>12</v>
      </c>
      <c r="W390" s="16" t="s">
        <v>59</v>
      </c>
      <c r="X390" s="16" t="s">
        <v>66</v>
      </c>
      <c r="Z390" s="16" t="s">
        <v>67</v>
      </c>
      <c r="AA390" s="7" t="s">
        <v>3111</v>
      </c>
    </row>
    <row r="391" spans="1:28" ht="15" customHeight="1">
      <c r="A391" s="290"/>
      <c r="C391" s="2">
        <v>26</v>
      </c>
      <c r="D391" s="2">
        <v>19224</v>
      </c>
      <c r="E391" s="2" t="s">
        <v>2620</v>
      </c>
      <c r="F391" s="3">
        <v>28808310101454</v>
      </c>
      <c r="G391" s="2" t="s">
        <v>34</v>
      </c>
      <c r="H391" s="2" t="s">
        <v>2634</v>
      </c>
      <c r="I391" s="2" t="s">
        <v>66</v>
      </c>
      <c r="J391" s="4">
        <v>42973</v>
      </c>
      <c r="K391" s="2" t="s">
        <v>8</v>
      </c>
      <c r="L391" s="2" t="s">
        <v>12</v>
      </c>
      <c r="W391" s="16" t="s">
        <v>111</v>
      </c>
      <c r="Y391" s="7">
        <v>42999</v>
      </c>
      <c r="Z391" s="16" t="s">
        <v>67</v>
      </c>
      <c r="AA391" s="7" t="s">
        <v>3111</v>
      </c>
    </row>
    <row r="392" spans="1:28" ht="15.75" customHeight="1" thickBot="1">
      <c r="A392" s="291"/>
      <c r="C392" s="28">
        <v>26</v>
      </c>
      <c r="D392" s="28">
        <v>19225</v>
      </c>
      <c r="E392" s="28" t="s">
        <v>2621</v>
      </c>
      <c r="F392" s="29">
        <v>29509210101062</v>
      </c>
      <c r="G392" s="28" t="s">
        <v>34</v>
      </c>
      <c r="H392" s="28" t="s">
        <v>2635</v>
      </c>
      <c r="I392" s="28" t="s">
        <v>66</v>
      </c>
      <c r="J392" s="30">
        <v>42973</v>
      </c>
      <c r="K392" s="28" t="s">
        <v>8</v>
      </c>
      <c r="L392" s="28" t="s">
        <v>12</v>
      </c>
      <c r="M392" s="28"/>
      <c r="N392" s="28"/>
      <c r="O392" s="226"/>
      <c r="P392" s="28"/>
      <c r="Q392" s="226"/>
      <c r="R392" s="28"/>
      <c r="S392" s="28"/>
      <c r="T392" s="28"/>
      <c r="U392" s="28"/>
      <c r="V392" s="28"/>
      <c r="W392" s="28" t="s">
        <v>111</v>
      </c>
      <c r="X392" s="28" t="s">
        <v>66</v>
      </c>
      <c r="Y392" s="30">
        <v>42999</v>
      </c>
      <c r="Z392" s="28" t="s">
        <v>67</v>
      </c>
      <c r="AA392" s="30" t="s">
        <v>3111</v>
      </c>
      <c r="AB392" s="28"/>
    </row>
    <row r="393" spans="1:28" ht="15.75" customHeight="1" thickTop="1">
      <c r="A393" s="289" t="s">
        <v>3122</v>
      </c>
      <c r="C393" s="2">
        <v>27</v>
      </c>
      <c r="D393" s="2">
        <v>19226</v>
      </c>
      <c r="E393" s="2" t="s">
        <v>2574</v>
      </c>
      <c r="F393" s="3">
        <v>29805072102531</v>
      </c>
      <c r="G393" s="2" t="s">
        <v>184</v>
      </c>
      <c r="H393" s="2" t="s">
        <v>2592</v>
      </c>
      <c r="I393" s="2" t="s">
        <v>66</v>
      </c>
      <c r="J393" s="4">
        <v>42973</v>
      </c>
      <c r="K393" s="2" t="s">
        <v>8</v>
      </c>
      <c r="L393" s="2" t="s">
        <v>12</v>
      </c>
      <c r="W393" s="16" t="s">
        <v>61</v>
      </c>
      <c r="Y393" s="7">
        <v>42999</v>
      </c>
      <c r="Z393" s="16" t="s">
        <v>66</v>
      </c>
    </row>
    <row r="394" spans="1:28" ht="15" customHeight="1">
      <c r="A394" s="290"/>
      <c r="C394" s="2">
        <v>27</v>
      </c>
      <c r="D394" s="2">
        <v>19227</v>
      </c>
      <c r="E394" s="2" t="s">
        <v>2575</v>
      </c>
      <c r="F394" s="3">
        <v>28505102100174</v>
      </c>
      <c r="G394" s="2" t="s">
        <v>34</v>
      </c>
      <c r="H394" s="2" t="s">
        <v>2593</v>
      </c>
      <c r="I394" s="2" t="s">
        <v>66</v>
      </c>
      <c r="J394" s="4">
        <v>42973</v>
      </c>
      <c r="K394" s="2" t="s">
        <v>8</v>
      </c>
      <c r="L394" s="2" t="s">
        <v>12</v>
      </c>
      <c r="W394" s="16" t="s">
        <v>111</v>
      </c>
      <c r="X394" s="2" t="s">
        <v>66</v>
      </c>
      <c r="Y394" s="7">
        <v>42999</v>
      </c>
      <c r="Z394" s="16" t="s">
        <v>67</v>
      </c>
      <c r="AB394" s="12"/>
    </row>
    <row r="395" spans="1:28" ht="15" customHeight="1">
      <c r="A395" s="290"/>
      <c r="C395" s="16">
        <v>27</v>
      </c>
      <c r="D395" s="16">
        <v>19229</v>
      </c>
      <c r="E395" s="16" t="s">
        <v>2576</v>
      </c>
      <c r="F395" s="3">
        <v>29507198800241</v>
      </c>
      <c r="G395" s="16" t="s">
        <v>34</v>
      </c>
      <c r="H395" s="16" t="s">
        <v>2594</v>
      </c>
      <c r="I395" s="16" t="s">
        <v>66</v>
      </c>
      <c r="J395" s="45">
        <v>42973</v>
      </c>
      <c r="K395" s="16" t="s">
        <v>8</v>
      </c>
      <c r="L395" s="16" t="s">
        <v>12</v>
      </c>
      <c r="M395" s="16"/>
      <c r="N395" s="16"/>
      <c r="W395" s="16" t="s">
        <v>111</v>
      </c>
      <c r="X395" s="16"/>
      <c r="Y395" s="45">
        <v>42999</v>
      </c>
      <c r="Z395" s="16" t="s">
        <v>67</v>
      </c>
      <c r="AA395" s="45" t="s">
        <v>3111</v>
      </c>
      <c r="AB395" s="16"/>
    </row>
    <row r="396" spans="1:28" ht="15" customHeight="1">
      <c r="A396" s="290"/>
      <c r="C396" s="2">
        <v>27</v>
      </c>
      <c r="D396" s="2">
        <v>19230</v>
      </c>
      <c r="E396" s="2" t="s">
        <v>2577</v>
      </c>
      <c r="F396" s="3">
        <v>29409270103043</v>
      </c>
      <c r="G396" s="2" t="s">
        <v>34</v>
      </c>
      <c r="H396" s="2" t="s">
        <v>2595</v>
      </c>
      <c r="I396" s="2" t="s">
        <v>66</v>
      </c>
      <c r="J396" s="4">
        <v>42973</v>
      </c>
      <c r="K396" s="2" t="s">
        <v>8</v>
      </c>
      <c r="L396" s="2" t="s">
        <v>12</v>
      </c>
      <c r="W396" s="16" t="s">
        <v>63</v>
      </c>
      <c r="Z396" s="16" t="s">
        <v>66</v>
      </c>
      <c r="AA396" s="7">
        <v>43114</v>
      </c>
    </row>
    <row r="397" spans="1:28" ht="15" customHeight="1">
      <c r="A397" s="290"/>
      <c r="C397" s="2">
        <v>27</v>
      </c>
      <c r="D397" s="2">
        <v>19231</v>
      </c>
      <c r="E397" s="2" t="s">
        <v>2578</v>
      </c>
      <c r="F397" s="3">
        <v>29408161700396</v>
      </c>
      <c r="G397" s="2" t="s">
        <v>34</v>
      </c>
      <c r="H397" s="2" t="s">
        <v>2596</v>
      </c>
      <c r="I397" s="2" t="s">
        <v>66</v>
      </c>
      <c r="J397" s="4">
        <v>42973</v>
      </c>
      <c r="K397" s="2" t="s">
        <v>8</v>
      </c>
      <c r="L397" s="2" t="s">
        <v>12</v>
      </c>
      <c r="W397" s="16" t="s">
        <v>111</v>
      </c>
      <c r="X397" s="16" t="s">
        <v>66</v>
      </c>
      <c r="Y397" s="7">
        <v>42999</v>
      </c>
      <c r="Z397" s="16" t="s">
        <v>67</v>
      </c>
      <c r="AA397" s="7" t="s">
        <v>3111</v>
      </c>
    </row>
    <row r="398" spans="1:28" ht="15" customHeight="1">
      <c r="A398" s="290"/>
      <c r="C398" s="2">
        <v>27</v>
      </c>
      <c r="D398" s="2">
        <v>19232</v>
      </c>
      <c r="E398" s="2" t="s">
        <v>2579</v>
      </c>
      <c r="F398" s="3">
        <v>28108312101531</v>
      </c>
      <c r="G398" s="2" t="s">
        <v>34</v>
      </c>
      <c r="H398" s="2" t="s">
        <v>2597</v>
      </c>
      <c r="I398" s="2" t="s">
        <v>66</v>
      </c>
      <c r="J398" s="4">
        <v>42973</v>
      </c>
      <c r="K398" s="2" t="s">
        <v>8</v>
      </c>
      <c r="L398" s="2" t="s">
        <v>12</v>
      </c>
      <c r="W398" s="16" t="s">
        <v>111</v>
      </c>
      <c r="Y398" s="7">
        <v>42999</v>
      </c>
      <c r="Z398" s="16" t="s">
        <v>67</v>
      </c>
      <c r="AA398" s="7" t="s">
        <v>3111</v>
      </c>
    </row>
    <row r="399" spans="1:28" ht="15" customHeight="1">
      <c r="A399" s="290"/>
      <c r="C399" s="2">
        <v>27</v>
      </c>
      <c r="D399" s="2">
        <v>19233</v>
      </c>
      <c r="E399" s="2" t="s">
        <v>2580</v>
      </c>
      <c r="F399" s="3" t="s">
        <v>2581</v>
      </c>
      <c r="G399" s="2" t="s">
        <v>184</v>
      </c>
      <c r="H399" s="2" t="s">
        <v>2598</v>
      </c>
      <c r="I399" s="2" t="s">
        <v>66</v>
      </c>
      <c r="J399" s="4">
        <v>42973</v>
      </c>
      <c r="K399" s="2" t="s">
        <v>8</v>
      </c>
      <c r="L399" s="2" t="s">
        <v>12</v>
      </c>
      <c r="W399" s="16" t="s">
        <v>60</v>
      </c>
      <c r="X399" s="16" t="s">
        <v>66</v>
      </c>
      <c r="Y399" s="7">
        <v>42999</v>
      </c>
      <c r="Z399" s="16" t="s">
        <v>66</v>
      </c>
      <c r="AA399" s="7" t="s">
        <v>3111</v>
      </c>
      <c r="AB399" s="12"/>
    </row>
    <row r="400" spans="1:28" ht="15" customHeight="1">
      <c r="A400" s="290"/>
      <c r="C400" s="2">
        <v>27</v>
      </c>
      <c r="D400" s="2">
        <v>19234</v>
      </c>
      <c r="E400" s="2" t="s">
        <v>2582</v>
      </c>
      <c r="F400" s="3">
        <v>28704130100778</v>
      </c>
      <c r="G400" s="2" t="s">
        <v>34</v>
      </c>
      <c r="H400" s="2" t="s">
        <v>2599</v>
      </c>
      <c r="I400" s="2" t="s">
        <v>66</v>
      </c>
      <c r="J400" s="4">
        <v>42973</v>
      </c>
      <c r="K400" s="2" t="s">
        <v>8</v>
      </c>
      <c r="L400" s="2" t="s">
        <v>12</v>
      </c>
      <c r="W400" s="16" t="s">
        <v>61</v>
      </c>
      <c r="X400" s="16" t="s">
        <v>66</v>
      </c>
      <c r="Y400" s="7">
        <v>42999</v>
      </c>
      <c r="Z400" s="16" t="s">
        <v>66</v>
      </c>
      <c r="AA400" s="7">
        <v>43023</v>
      </c>
      <c r="AB400" s="12"/>
    </row>
    <row r="401" spans="1:28" ht="15" customHeight="1">
      <c r="A401" s="290"/>
      <c r="C401" s="2">
        <v>27</v>
      </c>
      <c r="D401" s="2">
        <v>19235</v>
      </c>
      <c r="E401" s="2" t="s">
        <v>2583</v>
      </c>
      <c r="F401" s="3">
        <v>29101260102664</v>
      </c>
      <c r="G401" s="2" t="s">
        <v>34</v>
      </c>
      <c r="H401" s="2" t="s">
        <v>2600</v>
      </c>
      <c r="I401" s="2" t="s">
        <v>66</v>
      </c>
      <c r="J401" s="4">
        <v>42973</v>
      </c>
      <c r="K401" s="2" t="s">
        <v>8</v>
      </c>
      <c r="L401" s="2" t="s">
        <v>12</v>
      </c>
      <c r="W401" s="16" t="s">
        <v>61</v>
      </c>
      <c r="X401" s="16" t="s">
        <v>66</v>
      </c>
      <c r="Y401" s="7">
        <v>42999</v>
      </c>
      <c r="Z401" s="16" t="s">
        <v>66</v>
      </c>
      <c r="AA401" s="7">
        <v>43023</v>
      </c>
    </row>
    <row r="402" spans="1:28" ht="15" customHeight="1">
      <c r="A402" s="290"/>
      <c r="C402" s="2">
        <v>27</v>
      </c>
      <c r="D402" s="2">
        <v>19236</v>
      </c>
      <c r="E402" s="2" t="s">
        <v>2584</v>
      </c>
      <c r="F402" s="3">
        <v>29401130100531</v>
      </c>
      <c r="G402" s="2" t="s">
        <v>34</v>
      </c>
      <c r="H402" s="2" t="s">
        <v>2601</v>
      </c>
      <c r="I402" s="2" t="s">
        <v>66</v>
      </c>
      <c r="J402" s="4">
        <v>42973</v>
      </c>
      <c r="K402" s="2" t="s">
        <v>8</v>
      </c>
      <c r="L402" s="2" t="s">
        <v>12</v>
      </c>
      <c r="W402" s="16" t="s">
        <v>60</v>
      </c>
      <c r="X402" s="16" t="s">
        <v>66</v>
      </c>
      <c r="Y402" s="7">
        <v>42999</v>
      </c>
      <c r="Z402" s="16" t="s">
        <v>66</v>
      </c>
      <c r="AA402" s="7">
        <v>43031</v>
      </c>
    </row>
    <row r="403" spans="1:28" ht="15" customHeight="1">
      <c r="A403" s="290"/>
      <c r="C403" s="2">
        <v>27</v>
      </c>
      <c r="D403" s="2">
        <v>19237</v>
      </c>
      <c r="E403" s="2" t="s">
        <v>2585</v>
      </c>
      <c r="F403" s="3">
        <v>29306302101231</v>
      </c>
      <c r="G403" s="2" t="s">
        <v>34</v>
      </c>
      <c r="H403" s="2" t="s">
        <v>2602</v>
      </c>
      <c r="I403" s="2" t="s">
        <v>66</v>
      </c>
      <c r="J403" s="4">
        <v>42973</v>
      </c>
      <c r="K403" s="2" t="s">
        <v>8</v>
      </c>
      <c r="L403" s="2" t="s">
        <v>12</v>
      </c>
      <c r="W403" s="16" t="s">
        <v>63</v>
      </c>
      <c r="Z403" s="16" t="s">
        <v>67</v>
      </c>
      <c r="AA403" s="7" t="s">
        <v>3111</v>
      </c>
    </row>
    <row r="404" spans="1:28" ht="15" customHeight="1">
      <c r="A404" s="290"/>
      <c r="C404" s="2">
        <v>27</v>
      </c>
      <c r="D404" s="2">
        <v>19238</v>
      </c>
      <c r="E404" s="2" t="s">
        <v>2586</v>
      </c>
      <c r="F404" s="3">
        <v>29601222102475</v>
      </c>
      <c r="G404" s="2" t="s">
        <v>184</v>
      </c>
      <c r="H404" s="2" t="s">
        <v>2603</v>
      </c>
      <c r="I404" s="2" t="s">
        <v>66</v>
      </c>
      <c r="J404" s="4">
        <v>42973</v>
      </c>
      <c r="K404" s="2" t="s">
        <v>8</v>
      </c>
      <c r="L404" s="2" t="s">
        <v>12</v>
      </c>
      <c r="W404" s="16" t="s">
        <v>111</v>
      </c>
      <c r="Y404" s="7">
        <v>42999</v>
      </c>
      <c r="Z404" s="16" t="s">
        <v>67</v>
      </c>
      <c r="AA404" s="7" t="s">
        <v>3111</v>
      </c>
    </row>
    <row r="405" spans="1:28" ht="15" customHeight="1">
      <c r="A405" s="290"/>
      <c r="C405" s="2">
        <v>27</v>
      </c>
      <c r="D405" s="2">
        <v>19239</v>
      </c>
      <c r="E405" s="2" t="s">
        <v>2587</v>
      </c>
      <c r="F405" s="3">
        <v>29204042100378</v>
      </c>
      <c r="G405" s="2" t="s">
        <v>34</v>
      </c>
      <c r="H405" s="2" t="s">
        <v>2604</v>
      </c>
      <c r="I405" s="2" t="s">
        <v>66</v>
      </c>
      <c r="J405" s="4">
        <v>42973</v>
      </c>
      <c r="K405" s="2" t="s">
        <v>8</v>
      </c>
      <c r="L405" s="2" t="s">
        <v>12</v>
      </c>
      <c r="W405" s="16" t="s">
        <v>111</v>
      </c>
      <c r="Y405" s="7">
        <v>42999</v>
      </c>
      <c r="Z405" s="16" t="s">
        <v>67</v>
      </c>
      <c r="AA405" s="7" t="s">
        <v>3111</v>
      </c>
    </row>
    <row r="406" spans="1:28" ht="15" customHeight="1">
      <c r="A406" s="290"/>
      <c r="C406" s="16">
        <v>27</v>
      </c>
      <c r="D406" s="16">
        <v>19240</v>
      </c>
      <c r="E406" s="16" t="s">
        <v>2588</v>
      </c>
      <c r="F406" s="3">
        <v>28709300114428</v>
      </c>
      <c r="G406" s="16" t="s">
        <v>184</v>
      </c>
      <c r="H406" s="16" t="s">
        <v>2605</v>
      </c>
      <c r="I406" s="16" t="s">
        <v>66</v>
      </c>
      <c r="J406" s="45">
        <v>42973</v>
      </c>
      <c r="K406" s="16" t="s">
        <v>8</v>
      </c>
      <c r="L406" s="16" t="s">
        <v>12</v>
      </c>
      <c r="M406" s="16"/>
      <c r="N406" s="16"/>
      <c r="W406" s="16" t="s">
        <v>59</v>
      </c>
      <c r="X406" s="16" t="s">
        <v>66</v>
      </c>
      <c r="Y406" s="45">
        <v>42999</v>
      </c>
      <c r="Z406" s="16" t="s">
        <v>67</v>
      </c>
      <c r="AA406" s="45" t="s">
        <v>3111</v>
      </c>
      <c r="AB406" s="16" t="s">
        <v>5967</v>
      </c>
    </row>
    <row r="407" spans="1:28" ht="15" customHeight="1">
      <c r="A407" s="290"/>
      <c r="C407" s="2">
        <v>27</v>
      </c>
      <c r="D407" s="2">
        <v>19241</v>
      </c>
      <c r="E407" s="2" t="s">
        <v>2589</v>
      </c>
      <c r="F407" s="3" t="s">
        <v>2590</v>
      </c>
      <c r="G407" s="2" t="s">
        <v>34</v>
      </c>
      <c r="H407" s="2" t="s">
        <v>2606</v>
      </c>
      <c r="I407" s="2" t="s">
        <v>66</v>
      </c>
      <c r="J407" s="4">
        <v>42973</v>
      </c>
      <c r="K407" s="2" t="s">
        <v>8</v>
      </c>
      <c r="L407" s="2" t="s">
        <v>12</v>
      </c>
      <c r="W407" s="16" t="s">
        <v>60</v>
      </c>
      <c r="X407" s="16" t="s">
        <v>66</v>
      </c>
      <c r="Y407" s="7">
        <v>42999</v>
      </c>
      <c r="Z407" s="16" t="s">
        <v>66</v>
      </c>
      <c r="AA407" s="7">
        <v>43045</v>
      </c>
    </row>
    <row r="408" spans="1:28" ht="15.75" customHeight="1" thickBot="1">
      <c r="A408" s="291"/>
      <c r="C408" s="28">
        <v>27</v>
      </c>
      <c r="D408" s="28">
        <v>16970</v>
      </c>
      <c r="E408" s="28" t="s">
        <v>2591</v>
      </c>
      <c r="F408" s="29">
        <v>29510282102118</v>
      </c>
      <c r="G408" s="28" t="s">
        <v>184</v>
      </c>
      <c r="H408" s="28" t="s">
        <v>2607</v>
      </c>
      <c r="I408" s="28" t="s">
        <v>67</v>
      </c>
      <c r="J408" s="30">
        <v>42973</v>
      </c>
      <c r="K408" s="28" t="s">
        <v>8</v>
      </c>
      <c r="L408" s="28" t="s">
        <v>12</v>
      </c>
      <c r="M408" s="28"/>
      <c r="N408" s="28"/>
      <c r="O408" s="226"/>
      <c r="P408" s="28"/>
      <c r="Q408" s="226"/>
      <c r="R408" s="28"/>
      <c r="S408" s="28"/>
      <c r="T408" s="28"/>
      <c r="U408" s="28"/>
      <c r="V408" s="28"/>
      <c r="W408" s="28" t="s">
        <v>111</v>
      </c>
      <c r="X408" s="28"/>
      <c r="Y408" s="30">
        <v>42999</v>
      </c>
      <c r="Z408" s="28" t="s">
        <v>66</v>
      </c>
      <c r="AA408" s="30" t="s">
        <v>3111</v>
      </c>
      <c r="AB408" s="28"/>
    </row>
    <row r="409" spans="1:28" ht="15.75" customHeight="1" thickTop="1">
      <c r="A409" s="289" t="s">
        <v>3118</v>
      </c>
      <c r="C409" s="2">
        <v>28</v>
      </c>
      <c r="D409" s="2">
        <v>19242</v>
      </c>
      <c r="E409" s="2" t="s">
        <v>2536</v>
      </c>
      <c r="F409" s="3">
        <v>28912098800331</v>
      </c>
      <c r="G409" s="2" t="s">
        <v>34</v>
      </c>
      <c r="H409" s="2" t="s">
        <v>2555</v>
      </c>
      <c r="I409" s="2" t="s">
        <v>66</v>
      </c>
      <c r="J409" s="4">
        <v>42987</v>
      </c>
      <c r="K409" s="2" t="s">
        <v>8</v>
      </c>
      <c r="L409" s="2" t="s">
        <v>12</v>
      </c>
      <c r="W409" s="16" t="s">
        <v>60</v>
      </c>
      <c r="Y409" s="7">
        <v>43013</v>
      </c>
      <c r="Z409" s="16" t="s">
        <v>66</v>
      </c>
      <c r="AA409" s="7">
        <v>43031</v>
      </c>
    </row>
    <row r="410" spans="1:28" ht="15" customHeight="1">
      <c r="A410" s="290"/>
      <c r="C410" s="2">
        <v>28</v>
      </c>
      <c r="D410" s="2">
        <v>19243</v>
      </c>
      <c r="E410" s="2" t="s">
        <v>2537</v>
      </c>
      <c r="F410" s="3">
        <v>29402020100656</v>
      </c>
      <c r="G410" s="2" t="s">
        <v>34</v>
      </c>
      <c r="H410" s="2" t="s">
        <v>2556</v>
      </c>
      <c r="I410" s="2" t="s">
        <v>66</v>
      </c>
      <c r="J410" s="4">
        <v>42987</v>
      </c>
      <c r="K410" s="2" t="s">
        <v>8</v>
      </c>
      <c r="L410" s="2" t="s">
        <v>12</v>
      </c>
      <c r="W410" s="16" t="s">
        <v>111</v>
      </c>
      <c r="X410" s="2" t="s">
        <v>66</v>
      </c>
      <c r="Y410" s="7">
        <v>43013</v>
      </c>
      <c r="Z410" s="16" t="s">
        <v>67</v>
      </c>
      <c r="AA410" s="7" t="s">
        <v>3111</v>
      </c>
      <c r="AB410" s="12"/>
    </row>
    <row r="411" spans="1:28" ht="15" customHeight="1">
      <c r="A411" s="290"/>
      <c r="C411" s="2">
        <v>28</v>
      </c>
      <c r="D411" s="2">
        <v>19244</v>
      </c>
      <c r="E411" s="2" t="s">
        <v>2538</v>
      </c>
      <c r="F411" s="3">
        <v>29512311200691</v>
      </c>
      <c r="G411" s="2" t="s">
        <v>184</v>
      </c>
      <c r="H411" s="2" t="s">
        <v>2557</v>
      </c>
      <c r="I411" s="2" t="s">
        <v>66</v>
      </c>
      <c r="J411" s="4">
        <v>42987</v>
      </c>
      <c r="K411" s="2" t="s">
        <v>8</v>
      </c>
      <c r="L411" s="2" t="s">
        <v>12</v>
      </c>
      <c r="W411" s="16" t="s">
        <v>61</v>
      </c>
      <c r="Y411" s="7">
        <v>43013</v>
      </c>
      <c r="Z411" s="16" t="s">
        <v>67</v>
      </c>
      <c r="AA411" s="7" t="s">
        <v>3111</v>
      </c>
    </row>
    <row r="412" spans="1:28" ht="15" customHeight="1">
      <c r="A412" s="290"/>
      <c r="C412" s="2">
        <v>28</v>
      </c>
      <c r="D412" s="2">
        <v>19245</v>
      </c>
      <c r="E412" s="2" t="s">
        <v>2539</v>
      </c>
      <c r="F412" s="3">
        <v>28812080105339</v>
      </c>
      <c r="G412" s="2" t="s">
        <v>34</v>
      </c>
      <c r="H412" s="2" t="s">
        <v>2558</v>
      </c>
      <c r="I412" s="2" t="s">
        <v>66</v>
      </c>
      <c r="J412" s="4">
        <v>42987</v>
      </c>
      <c r="K412" s="2" t="s">
        <v>8</v>
      </c>
      <c r="L412" s="2" t="s">
        <v>12</v>
      </c>
      <c r="W412" s="16" t="s">
        <v>111</v>
      </c>
      <c r="Y412" s="7">
        <v>43013</v>
      </c>
      <c r="Z412" s="16" t="s">
        <v>66</v>
      </c>
      <c r="AA412" s="7" t="s">
        <v>3111</v>
      </c>
    </row>
    <row r="413" spans="1:28" ht="15" customHeight="1">
      <c r="A413" s="290"/>
      <c r="C413" s="16">
        <v>28</v>
      </c>
      <c r="D413" s="16">
        <v>19246</v>
      </c>
      <c r="E413" s="16" t="s">
        <v>2540</v>
      </c>
      <c r="F413" s="3">
        <v>28604020103581</v>
      </c>
      <c r="G413" s="16" t="s">
        <v>34</v>
      </c>
      <c r="H413" s="16" t="s">
        <v>2559</v>
      </c>
      <c r="I413" s="16" t="s">
        <v>66</v>
      </c>
      <c r="J413" s="45">
        <v>42987</v>
      </c>
      <c r="K413" s="16" t="s">
        <v>8</v>
      </c>
      <c r="L413" s="16" t="s">
        <v>12</v>
      </c>
      <c r="M413" s="16"/>
      <c r="N413" s="16"/>
      <c r="W413" s="16" t="s">
        <v>111</v>
      </c>
      <c r="X413" s="16"/>
      <c r="Y413" s="45">
        <v>43013</v>
      </c>
      <c r="Z413" s="16" t="s">
        <v>67</v>
      </c>
      <c r="AA413" s="45" t="s">
        <v>3111</v>
      </c>
      <c r="AB413" s="16"/>
    </row>
    <row r="414" spans="1:28" ht="15" customHeight="1">
      <c r="A414" s="290"/>
      <c r="C414" s="2">
        <v>28</v>
      </c>
      <c r="D414" s="2">
        <v>19247</v>
      </c>
      <c r="E414" s="2" t="s">
        <v>2541</v>
      </c>
      <c r="F414" s="3">
        <v>29508160101183</v>
      </c>
      <c r="G414" s="2" t="s">
        <v>34</v>
      </c>
      <c r="H414" s="2" t="s">
        <v>2560</v>
      </c>
      <c r="I414" s="2" t="s">
        <v>66</v>
      </c>
      <c r="J414" s="4">
        <v>42987</v>
      </c>
      <c r="K414" s="2" t="s">
        <v>8</v>
      </c>
      <c r="L414" s="2" t="s">
        <v>12</v>
      </c>
      <c r="W414" s="16" t="s">
        <v>111</v>
      </c>
      <c r="Y414" s="7">
        <v>43013</v>
      </c>
      <c r="Z414" s="16" t="s">
        <v>66</v>
      </c>
      <c r="AA414" s="7">
        <v>43030</v>
      </c>
    </row>
    <row r="415" spans="1:28" ht="15" customHeight="1">
      <c r="A415" s="290"/>
      <c r="C415" s="2">
        <v>28</v>
      </c>
      <c r="D415" s="2">
        <v>19248</v>
      </c>
      <c r="E415" s="2" t="s">
        <v>2542</v>
      </c>
      <c r="F415" s="3">
        <v>29402160104023</v>
      </c>
      <c r="G415" s="2" t="s">
        <v>34</v>
      </c>
      <c r="H415" s="2" t="s">
        <v>2561</v>
      </c>
      <c r="I415" s="2" t="s">
        <v>66</v>
      </c>
      <c r="J415" s="4">
        <v>42987</v>
      </c>
      <c r="K415" s="2" t="s">
        <v>8</v>
      </c>
      <c r="L415" s="2" t="s">
        <v>12</v>
      </c>
      <c r="W415" s="16" t="s">
        <v>111</v>
      </c>
      <c r="X415" s="2" t="s">
        <v>66</v>
      </c>
      <c r="Y415" s="7">
        <v>43013</v>
      </c>
      <c r="Z415" s="16" t="s">
        <v>67</v>
      </c>
      <c r="AA415" s="7" t="s">
        <v>3111</v>
      </c>
    </row>
    <row r="416" spans="1:28" ht="15" customHeight="1">
      <c r="A416" s="290"/>
      <c r="C416" s="2">
        <v>28</v>
      </c>
      <c r="D416" s="2">
        <v>19249</v>
      </c>
      <c r="E416" s="2" t="s">
        <v>2543</v>
      </c>
      <c r="F416" s="3">
        <v>29108012104876</v>
      </c>
      <c r="G416" s="2" t="s">
        <v>34</v>
      </c>
      <c r="H416" s="2" t="s">
        <v>2562</v>
      </c>
      <c r="I416" s="2" t="s">
        <v>66</v>
      </c>
      <c r="J416" s="4">
        <v>42987</v>
      </c>
      <c r="K416" s="2" t="s">
        <v>8</v>
      </c>
      <c r="L416" s="2" t="s">
        <v>12</v>
      </c>
      <c r="W416" s="16" t="s">
        <v>61</v>
      </c>
      <c r="Y416" s="7">
        <v>43013</v>
      </c>
      <c r="Z416" s="16" t="s">
        <v>66</v>
      </c>
      <c r="AA416" s="7" t="s">
        <v>3111</v>
      </c>
      <c r="AB416" s="12"/>
    </row>
    <row r="417" spans="1:28" ht="15" customHeight="1">
      <c r="A417" s="290"/>
      <c r="C417" s="2">
        <v>28</v>
      </c>
      <c r="D417" s="2">
        <v>19250</v>
      </c>
      <c r="E417" s="2" t="s">
        <v>2544</v>
      </c>
      <c r="F417" s="3">
        <v>29705112102895</v>
      </c>
      <c r="G417" s="2" t="s">
        <v>184</v>
      </c>
      <c r="H417" s="2" t="s">
        <v>2563</v>
      </c>
      <c r="I417" s="2" t="s">
        <v>66</v>
      </c>
      <c r="J417" s="4">
        <v>42987</v>
      </c>
      <c r="K417" s="2" t="s">
        <v>8</v>
      </c>
      <c r="L417" s="2" t="s">
        <v>12</v>
      </c>
      <c r="W417" s="16" t="s">
        <v>60</v>
      </c>
      <c r="X417" s="12"/>
      <c r="Y417" s="7">
        <v>43013</v>
      </c>
      <c r="Z417" s="16" t="s">
        <v>66</v>
      </c>
      <c r="AA417" s="7">
        <v>43031</v>
      </c>
      <c r="AB417" s="12"/>
    </row>
    <row r="418" spans="1:28" ht="15" customHeight="1">
      <c r="A418" s="290"/>
      <c r="C418" s="2">
        <v>28</v>
      </c>
      <c r="D418" s="2">
        <v>19251</v>
      </c>
      <c r="E418" s="2" t="s">
        <v>2545</v>
      </c>
      <c r="F418" s="3">
        <v>29410078800201</v>
      </c>
      <c r="G418" s="2" t="s">
        <v>34</v>
      </c>
      <c r="H418" s="2" t="s">
        <v>2564</v>
      </c>
      <c r="I418" s="2" t="s">
        <v>66</v>
      </c>
      <c r="J418" s="4">
        <v>42987</v>
      </c>
      <c r="K418" s="2" t="s">
        <v>8</v>
      </c>
      <c r="L418" s="2" t="s">
        <v>12</v>
      </c>
      <c r="N418" s="16"/>
      <c r="W418" s="16" t="s">
        <v>61</v>
      </c>
      <c r="Y418" s="7">
        <v>43013</v>
      </c>
      <c r="Z418" s="16" t="s">
        <v>66</v>
      </c>
      <c r="AA418" s="7">
        <v>43023</v>
      </c>
    </row>
    <row r="419" spans="1:28" ht="15" customHeight="1">
      <c r="A419" s="290"/>
      <c r="C419" s="12">
        <v>28</v>
      </c>
      <c r="D419" s="2">
        <v>19252</v>
      </c>
      <c r="E419" s="2" t="s">
        <v>2546</v>
      </c>
      <c r="F419" s="3">
        <v>29701068800924</v>
      </c>
      <c r="G419" s="2" t="s">
        <v>184</v>
      </c>
      <c r="H419" s="2" t="s">
        <v>2565</v>
      </c>
      <c r="I419" s="12" t="s">
        <v>66</v>
      </c>
      <c r="J419" s="4">
        <v>42987</v>
      </c>
      <c r="K419" s="12" t="s">
        <v>8</v>
      </c>
      <c r="L419" s="12" t="s">
        <v>12</v>
      </c>
      <c r="M419" s="12"/>
      <c r="W419" s="16" t="s">
        <v>60</v>
      </c>
      <c r="X419" s="2" t="s">
        <v>66</v>
      </c>
      <c r="Y419" s="7">
        <v>43013</v>
      </c>
      <c r="Z419" s="16" t="s">
        <v>66</v>
      </c>
      <c r="AA419" s="7">
        <v>43045</v>
      </c>
    </row>
    <row r="420" spans="1:28" ht="15" customHeight="1">
      <c r="A420" s="290"/>
      <c r="C420" s="12">
        <v>28</v>
      </c>
      <c r="D420" s="2">
        <v>19253</v>
      </c>
      <c r="E420" s="2" t="s">
        <v>2547</v>
      </c>
      <c r="F420" s="3">
        <v>29211102104188</v>
      </c>
      <c r="G420" s="2" t="s">
        <v>34</v>
      </c>
      <c r="H420" s="2" t="s">
        <v>2566</v>
      </c>
      <c r="I420" s="12" t="s">
        <v>66</v>
      </c>
      <c r="J420" s="4">
        <v>42987</v>
      </c>
      <c r="K420" s="12" t="s">
        <v>8</v>
      </c>
      <c r="L420" s="12" t="s">
        <v>12</v>
      </c>
      <c r="M420" s="12"/>
      <c r="W420" s="16" t="s">
        <v>111</v>
      </c>
      <c r="X420" s="2" t="s">
        <v>66</v>
      </c>
      <c r="Y420" s="7">
        <v>43013</v>
      </c>
      <c r="Z420" s="16" t="s">
        <v>66</v>
      </c>
      <c r="AA420" s="7">
        <v>43051</v>
      </c>
    </row>
    <row r="421" spans="1:28" ht="15" customHeight="1">
      <c r="A421" s="290"/>
      <c r="C421" s="12">
        <v>28</v>
      </c>
      <c r="D421" s="2">
        <v>19254</v>
      </c>
      <c r="E421" s="2" t="s">
        <v>2548</v>
      </c>
      <c r="F421" s="3">
        <v>29202061200224</v>
      </c>
      <c r="G421" s="2" t="s">
        <v>34</v>
      </c>
      <c r="H421" s="2" t="s">
        <v>2567</v>
      </c>
      <c r="I421" s="12" t="s">
        <v>66</v>
      </c>
      <c r="J421" s="4">
        <v>42987</v>
      </c>
      <c r="K421" s="12" t="s">
        <v>8</v>
      </c>
      <c r="L421" s="12" t="s">
        <v>12</v>
      </c>
      <c r="M421" s="12"/>
      <c r="W421" s="16" t="s">
        <v>60</v>
      </c>
      <c r="X421" s="2" t="s">
        <v>66</v>
      </c>
      <c r="Y421" s="7">
        <v>43013</v>
      </c>
      <c r="Z421" s="16" t="s">
        <v>66</v>
      </c>
      <c r="AA421" s="7">
        <v>43040</v>
      </c>
    </row>
    <row r="422" spans="1:28" ht="15" customHeight="1">
      <c r="A422" s="290"/>
      <c r="C422" s="12">
        <v>28</v>
      </c>
      <c r="D422" s="2">
        <v>19256</v>
      </c>
      <c r="E422" s="2" t="s">
        <v>2549</v>
      </c>
      <c r="F422" s="3">
        <v>28604152104888</v>
      </c>
      <c r="G422" s="2" t="s">
        <v>34</v>
      </c>
      <c r="H422" s="2" t="s">
        <v>2568</v>
      </c>
      <c r="I422" s="12" t="s">
        <v>66</v>
      </c>
      <c r="J422" s="4">
        <v>42987</v>
      </c>
      <c r="K422" s="12" t="s">
        <v>8</v>
      </c>
      <c r="L422" s="12" t="s">
        <v>12</v>
      </c>
      <c r="M422" s="12"/>
      <c r="W422" s="16" t="s">
        <v>64</v>
      </c>
      <c r="X422" s="12"/>
      <c r="Z422" s="16" t="str">
        <f>IF(OR(W422="Dismissed", W422="Resigned"),"No","")</f>
        <v>No</v>
      </c>
    </row>
    <row r="423" spans="1:28" ht="15" customHeight="1">
      <c r="A423" s="290"/>
      <c r="C423" s="12">
        <v>28</v>
      </c>
      <c r="D423" s="2">
        <v>19255</v>
      </c>
      <c r="E423" s="2" t="s">
        <v>2550</v>
      </c>
      <c r="F423" s="3">
        <v>29501270101168</v>
      </c>
      <c r="G423" s="2" t="s">
        <v>34</v>
      </c>
      <c r="H423" s="2" t="s">
        <v>2569</v>
      </c>
      <c r="I423" s="12" t="s">
        <v>66</v>
      </c>
      <c r="J423" s="4">
        <v>42987</v>
      </c>
      <c r="K423" s="12" t="s">
        <v>8</v>
      </c>
      <c r="L423" s="12" t="s">
        <v>12</v>
      </c>
      <c r="M423" s="12"/>
      <c r="W423" s="16" t="s">
        <v>111</v>
      </c>
      <c r="X423" s="2" t="s">
        <v>66</v>
      </c>
      <c r="Y423" s="7">
        <v>43013</v>
      </c>
      <c r="Z423" s="16" t="s">
        <v>66</v>
      </c>
      <c r="AA423" s="7">
        <v>43051</v>
      </c>
    </row>
    <row r="424" spans="1:28" ht="15" customHeight="1">
      <c r="A424" s="290"/>
      <c r="C424" s="12">
        <v>28</v>
      </c>
      <c r="D424" s="2">
        <v>19257</v>
      </c>
      <c r="E424" s="2" t="s">
        <v>2551</v>
      </c>
      <c r="F424" s="3">
        <v>27805080103735</v>
      </c>
      <c r="G424" s="2" t="s">
        <v>34</v>
      </c>
      <c r="H424" s="2" t="s">
        <v>2570</v>
      </c>
      <c r="I424" s="12" t="s">
        <v>66</v>
      </c>
      <c r="J424" s="4">
        <v>42987</v>
      </c>
      <c r="K424" s="12" t="s">
        <v>8</v>
      </c>
      <c r="L424" s="12" t="s">
        <v>12</v>
      </c>
      <c r="M424" s="12"/>
      <c r="W424" s="16" t="s">
        <v>111</v>
      </c>
      <c r="Y424" s="7">
        <v>43013</v>
      </c>
      <c r="Z424" s="16" t="s">
        <v>66</v>
      </c>
      <c r="AA424" s="7">
        <v>43051</v>
      </c>
    </row>
    <row r="425" spans="1:28" ht="15" customHeight="1">
      <c r="A425" s="290"/>
      <c r="C425" s="12">
        <v>28</v>
      </c>
      <c r="D425" s="2">
        <v>19258</v>
      </c>
      <c r="E425" s="2" t="s">
        <v>2552</v>
      </c>
      <c r="F425" s="3">
        <v>29104010105403</v>
      </c>
      <c r="G425" s="2" t="s">
        <v>34</v>
      </c>
      <c r="H425" s="2" t="s">
        <v>2571</v>
      </c>
      <c r="I425" s="12" t="s">
        <v>66</v>
      </c>
      <c r="J425" s="4">
        <v>42987</v>
      </c>
      <c r="K425" s="12" t="s">
        <v>8</v>
      </c>
      <c r="L425" s="12" t="s">
        <v>12</v>
      </c>
      <c r="M425" s="12"/>
      <c r="W425" s="16" t="s">
        <v>64</v>
      </c>
      <c r="Z425" s="16" t="str">
        <f>IF(OR(W425="Dismissed", W425="Resigned"),"No","")</f>
        <v>No</v>
      </c>
    </row>
    <row r="426" spans="1:28" ht="15" customHeight="1">
      <c r="A426" s="290"/>
      <c r="C426" s="12">
        <v>28</v>
      </c>
      <c r="D426" s="2">
        <v>19259</v>
      </c>
      <c r="E426" s="2" t="s">
        <v>2553</v>
      </c>
      <c r="F426" s="3">
        <v>29509190104566</v>
      </c>
      <c r="G426" s="2" t="s">
        <v>34</v>
      </c>
      <c r="H426" s="2" t="s">
        <v>2572</v>
      </c>
      <c r="I426" s="12" t="s">
        <v>66</v>
      </c>
      <c r="J426" s="4">
        <v>42987</v>
      </c>
      <c r="K426" s="12" t="s">
        <v>8</v>
      </c>
      <c r="L426" s="12" t="s">
        <v>12</v>
      </c>
      <c r="M426" s="12"/>
      <c r="W426" s="16" t="s">
        <v>111</v>
      </c>
      <c r="X426" s="2" t="s">
        <v>66</v>
      </c>
      <c r="Y426" s="7">
        <v>43013</v>
      </c>
      <c r="Z426" s="16" t="s">
        <v>67</v>
      </c>
    </row>
    <row r="427" spans="1:28" ht="15.75" customHeight="1" thickBot="1">
      <c r="A427" s="323"/>
      <c r="C427" s="28">
        <v>28</v>
      </c>
      <c r="D427" s="28">
        <v>19260</v>
      </c>
      <c r="E427" s="28" t="s">
        <v>2554</v>
      </c>
      <c r="F427" s="29">
        <v>29306052100462</v>
      </c>
      <c r="G427" s="28" t="s">
        <v>34</v>
      </c>
      <c r="H427" s="28" t="s">
        <v>2573</v>
      </c>
      <c r="I427" s="28" t="s">
        <v>66</v>
      </c>
      <c r="J427" s="30">
        <v>42987</v>
      </c>
      <c r="K427" s="28" t="s">
        <v>8</v>
      </c>
      <c r="L427" s="28" t="s">
        <v>12</v>
      </c>
      <c r="M427" s="28"/>
      <c r="N427" s="28"/>
      <c r="O427" s="226"/>
      <c r="P427" s="28"/>
      <c r="Q427" s="226"/>
      <c r="R427" s="28"/>
      <c r="S427" s="28"/>
      <c r="T427" s="28"/>
      <c r="U427" s="28"/>
      <c r="V427" s="28"/>
      <c r="W427" s="28" t="s">
        <v>59</v>
      </c>
      <c r="X427" s="28" t="s">
        <v>66</v>
      </c>
      <c r="Y427" s="30">
        <v>43013</v>
      </c>
      <c r="Z427" s="28" t="s">
        <v>67</v>
      </c>
      <c r="AA427" s="30"/>
      <c r="AB427" s="28"/>
    </row>
    <row r="428" spans="1:28" ht="15.75" customHeight="1" thickTop="1">
      <c r="A428" s="289" t="s">
        <v>3127</v>
      </c>
      <c r="C428" s="12">
        <v>29</v>
      </c>
      <c r="D428" s="2">
        <v>19336</v>
      </c>
      <c r="E428" s="2" t="s">
        <v>2497</v>
      </c>
      <c r="F428" s="3">
        <v>29402132103313</v>
      </c>
      <c r="G428" s="2" t="s">
        <v>34</v>
      </c>
      <c r="H428" s="2" t="s">
        <v>2517</v>
      </c>
      <c r="I428" s="12" t="s">
        <v>66</v>
      </c>
      <c r="J428" s="4">
        <v>42987</v>
      </c>
      <c r="K428" s="12" t="s">
        <v>8</v>
      </c>
      <c r="L428" s="12" t="s">
        <v>12</v>
      </c>
      <c r="M428" s="12"/>
      <c r="W428" s="16" t="s">
        <v>60</v>
      </c>
      <c r="X428" s="2" t="s">
        <v>66</v>
      </c>
      <c r="Y428" s="7">
        <v>43013</v>
      </c>
      <c r="Z428" s="25" t="s">
        <v>66</v>
      </c>
      <c r="AA428" s="7">
        <v>43045</v>
      </c>
    </row>
    <row r="429" spans="1:28" ht="15" customHeight="1">
      <c r="A429" s="290"/>
      <c r="C429" s="12">
        <v>29</v>
      </c>
      <c r="D429" s="2">
        <v>19337</v>
      </c>
      <c r="E429" s="2" t="s">
        <v>2498</v>
      </c>
      <c r="F429" s="3">
        <v>28508021900191</v>
      </c>
      <c r="G429" s="2" t="s">
        <v>34</v>
      </c>
      <c r="H429" s="2" t="s">
        <v>2518</v>
      </c>
      <c r="I429" s="12" t="s">
        <v>66</v>
      </c>
      <c r="J429" s="4">
        <v>42987</v>
      </c>
      <c r="K429" s="12" t="s">
        <v>8</v>
      </c>
      <c r="L429" s="12" t="s">
        <v>12</v>
      </c>
      <c r="M429" s="12"/>
      <c r="W429" s="16" t="s">
        <v>63</v>
      </c>
      <c r="Z429" s="16" t="s">
        <v>67</v>
      </c>
      <c r="AA429" s="7" t="s">
        <v>3111</v>
      </c>
    </row>
    <row r="430" spans="1:28" ht="15" customHeight="1">
      <c r="A430" s="290"/>
      <c r="C430" s="16">
        <v>29</v>
      </c>
      <c r="D430" s="16">
        <v>19338</v>
      </c>
      <c r="E430" s="16" t="s">
        <v>2499</v>
      </c>
      <c r="F430" s="3">
        <v>29707020103596</v>
      </c>
      <c r="G430" s="16" t="s">
        <v>184</v>
      </c>
      <c r="H430" s="16" t="s">
        <v>2519</v>
      </c>
      <c r="I430" s="16" t="s">
        <v>66</v>
      </c>
      <c r="J430" s="45">
        <v>42987</v>
      </c>
      <c r="K430" s="16" t="s">
        <v>8</v>
      </c>
      <c r="L430" s="16" t="s">
        <v>12</v>
      </c>
      <c r="M430" s="16"/>
      <c r="N430" s="16"/>
      <c r="W430" s="16" t="s">
        <v>59</v>
      </c>
      <c r="X430" s="16" t="s">
        <v>66</v>
      </c>
      <c r="Y430" s="45">
        <v>43013</v>
      </c>
      <c r="Z430" s="16" t="s">
        <v>67</v>
      </c>
      <c r="AA430" s="45" t="s">
        <v>3111</v>
      </c>
      <c r="AB430" s="16" t="s">
        <v>6916</v>
      </c>
    </row>
    <row r="431" spans="1:28" ht="15" customHeight="1">
      <c r="A431" s="290"/>
      <c r="C431" s="16">
        <v>29</v>
      </c>
      <c r="D431" s="16">
        <v>19339</v>
      </c>
      <c r="E431" s="16" t="s">
        <v>2500</v>
      </c>
      <c r="F431" s="3">
        <v>28910240104123</v>
      </c>
      <c r="G431" s="16" t="s">
        <v>34</v>
      </c>
      <c r="H431" s="16" t="s">
        <v>2520</v>
      </c>
      <c r="I431" s="16" t="s">
        <v>66</v>
      </c>
      <c r="J431" s="45">
        <v>42987</v>
      </c>
      <c r="K431" s="16" t="s">
        <v>8</v>
      </c>
      <c r="L431" s="16" t="s">
        <v>12</v>
      </c>
      <c r="M431" s="16"/>
      <c r="N431" s="16"/>
      <c r="W431" s="16" t="s">
        <v>60</v>
      </c>
      <c r="X431" s="16" t="s">
        <v>66</v>
      </c>
      <c r="Y431" s="45">
        <v>43013</v>
      </c>
      <c r="Z431" s="16" t="s">
        <v>66</v>
      </c>
      <c r="AA431" s="45">
        <v>43040</v>
      </c>
      <c r="AB431" s="16"/>
    </row>
    <row r="432" spans="1:28" ht="15" customHeight="1">
      <c r="A432" s="290"/>
      <c r="C432" s="12">
        <v>29</v>
      </c>
      <c r="D432" s="2">
        <v>19340</v>
      </c>
      <c r="E432" s="2" t="s">
        <v>2501</v>
      </c>
      <c r="F432" s="3">
        <v>29501010127708</v>
      </c>
      <c r="G432" s="2" t="s">
        <v>34</v>
      </c>
      <c r="H432" s="2" t="s">
        <v>2521</v>
      </c>
      <c r="I432" s="12" t="s">
        <v>66</v>
      </c>
      <c r="J432" s="4">
        <v>42987</v>
      </c>
      <c r="K432" s="12" t="s">
        <v>8</v>
      </c>
      <c r="L432" s="12" t="s">
        <v>12</v>
      </c>
      <c r="M432" s="12"/>
      <c r="W432" s="16" t="s">
        <v>60</v>
      </c>
      <c r="X432" s="12"/>
      <c r="Y432" s="7">
        <v>43013</v>
      </c>
      <c r="Z432" s="16" t="s">
        <v>66</v>
      </c>
      <c r="AA432" s="7">
        <v>43040</v>
      </c>
    </row>
    <row r="433" spans="1:28" ht="15" customHeight="1">
      <c r="A433" s="290"/>
      <c r="C433" s="12">
        <v>29</v>
      </c>
      <c r="D433" s="2">
        <v>19341</v>
      </c>
      <c r="E433" s="2" t="s">
        <v>2502</v>
      </c>
      <c r="F433" s="3">
        <v>28605260100101</v>
      </c>
      <c r="G433" s="2" t="s">
        <v>34</v>
      </c>
      <c r="H433" s="2" t="s">
        <v>2522</v>
      </c>
      <c r="I433" s="12" t="s">
        <v>66</v>
      </c>
      <c r="J433" s="4">
        <v>42987</v>
      </c>
      <c r="K433" s="12" t="s">
        <v>8</v>
      </c>
      <c r="L433" s="12" t="s">
        <v>12</v>
      </c>
      <c r="M433" s="12"/>
      <c r="W433" s="16" t="s">
        <v>111</v>
      </c>
      <c r="X433" s="2" t="s">
        <v>66</v>
      </c>
      <c r="Y433" s="7">
        <v>43013</v>
      </c>
      <c r="Z433" s="16" t="s">
        <v>67</v>
      </c>
      <c r="AA433" s="7" t="s">
        <v>3111</v>
      </c>
      <c r="AB433" s="12"/>
    </row>
    <row r="434" spans="1:28" ht="15" customHeight="1">
      <c r="A434" s="290"/>
      <c r="C434" s="12">
        <v>29</v>
      </c>
      <c r="D434" s="2">
        <v>19342</v>
      </c>
      <c r="E434" s="2" t="s">
        <v>2503</v>
      </c>
      <c r="F434" s="3">
        <v>29412190103086</v>
      </c>
      <c r="G434" s="2" t="s">
        <v>34</v>
      </c>
      <c r="H434" s="2" t="s">
        <v>2523</v>
      </c>
      <c r="I434" s="12" t="s">
        <v>66</v>
      </c>
      <c r="J434" s="4">
        <v>42987</v>
      </c>
      <c r="K434" s="12" t="s">
        <v>8</v>
      </c>
      <c r="L434" s="12" t="s">
        <v>12</v>
      </c>
      <c r="M434" s="12"/>
      <c r="W434" s="16" t="s">
        <v>60</v>
      </c>
      <c r="Y434" s="7">
        <v>43013</v>
      </c>
      <c r="Z434" s="16" t="s">
        <v>66</v>
      </c>
      <c r="AA434" s="7" t="s">
        <v>3111</v>
      </c>
    </row>
    <row r="435" spans="1:28" ht="15" customHeight="1">
      <c r="A435" s="290"/>
      <c r="C435" s="12">
        <v>29</v>
      </c>
      <c r="D435" s="2">
        <v>19343</v>
      </c>
      <c r="E435" s="2" t="s">
        <v>2504</v>
      </c>
      <c r="F435" s="3">
        <v>28607280400197</v>
      </c>
      <c r="G435" s="2" t="s">
        <v>34</v>
      </c>
      <c r="H435" s="2" t="s">
        <v>2524</v>
      </c>
      <c r="I435" s="12" t="s">
        <v>66</v>
      </c>
      <c r="J435" s="4">
        <v>42987</v>
      </c>
      <c r="K435" s="12" t="s">
        <v>8</v>
      </c>
      <c r="L435" s="12" t="s">
        <v>12</v>
      </c>
      <c r="W435" s="16" t="s">
        <v>61</v>
      </c>
      <c r="Y435" s="7">
        <v>43013</v>
      </c>
      <c r="Z435" s="16" t="s">
        <v>66</v>
      </c>
      <c r="AA435" s="7">
        <v>43023</v>
      </c>
    </row>
    <row r="436" spans="1:28" ht="15" customHeight="1">
      <c r="A436" s="290"/>
      <c r="C436" s="12">
        <v>29</v>
      </c>
      <c r="D436" s="2">
        <v>19344</v>
      </c>
      <c r="E436" s="2" t="s">
        <v>2505</v>
      </c>
      <c r="F436" s="3">
        <v>28506200101134</v>
      </c>
      <c r="G436" s="2" t="s">
        <v>34</v>
      </c>
      <c r="H436" s="2" t="s">
        <v>2525</v>
      </c>
      <c r="I436" s="12" t="s">
        <v>66</v>
      </c>
      <c r="J436" s="4">
        <v>42987</v>
      </c>
      <c r="K436" s="12" t="s">
        <v>8</v>
      </c>
      <c r="L436" s="12" t="s">
        <v>12</v>
      </c>
      <c r="W436" s="16" t="s">
        <v>111</v>
      </c>
      <c r="Y436" s="7">
        <v>43013</v>
      </c>
      <c r="Z436" s="16" t="s">
        <v>66</v>
      </c>
      <c r="AA436" s="7">
        <v>43030</v>
      </c>
    </row>
    <row r="437" spans="1:28" ht="15" customHeight="1">
      <c r="A437" s="290"/>
      <c r="C437" s="12">
        <v>29</v>
      </c>
      <c r="D437" s="2">
        <v>19345</v>
      </c>
      <c r="E437" s="2" t="s">
        <v>2506</v>
      </c>
      <c r="F437" s="3">
        <v>28310311400597</v>
      </c>
      <c r="G437" s="2" t="s">
        <v>184</v>
      </c>
      <c r="H437" s="2" t="s">
        <v>2526</v>
      </c>
      <c r="I437" s="12" t="s">
        <v>66</v>
      </c>
      <c r="J437" s="4">
        <v>42987</v>
      </c>
      <c r="K437" s="12" t="s">
        <v>8</v>
      </c>
      <c r="L437" s="12" t="s">
        <v>12</v>
      </c>
      <c r="W437" s="16" t="s">
        <v>61</v>
      </c>
      <c r="Y437" s="7">
        <v>43013</v>
      </c>
      <c r="Z437" s="16" t="s">
        <v>66</v>
      </c>
      <c r="AA437" s="7">
        <v>43023</v>
      </c>
    </row>
    <row r="438" spans="1:28" ht="15" customHeight="1">
      <c r="A438" s="290"/>
      <c r="C438" s="12">
        <v>29</v>
      </c>
      <c r="D438" s="2">
        <v>19346</v>
      </c>
      <c r="E438" s="2" t="s">
        <v>2507</v>
      </c>
      <c r="F438" s="3">
        <v>29508030101831</v>
      </c>
      <c r="G438" s="2" t="s">
        <v>34</v>
      </c>
      <c r="H438" s="2" t="s">
        <v>2527</v>
      </c>
      <c r="I438" s="12" t="s">
        <v>66</v>
      </c>
      <c r="J438" s="4">
        <v>42987</v>
      </c>
      <c r="K438" s="12" t="s">
        <v>8</v>
      </c>
      <c r="L438" s="12" t="s">
        <v>12</v>
      </c>
      <c r="W438" s="16" t="s">
        <v>60</v>
      </c>
      <c r="Y438" s="7">
        <v>43013</v>
      </c>
      <c r="Z438" s="16" t="s">
        <v>66</v>
      </c>
      <c r="AA438" s="7">
        <v>43045</v>
      </c>
    </row>
    <row r="439" spans="1:28" ht="15" customHeight="1">
      <c r="A439" s="290"/>
      <c r="C439" s="12">
        <v>29</v>
      </c>
      <c r="D439" s="2">
        <v>19347</v>
      </c>
      <c r="E439" s="2" t="s">
        <v>2508</v>
      </c>
      <c r="F439" s="3">
        <v>29401121301737</v>
      </c>
      <c r="G439" s="2" t="s">
        <v>34</v>
      </c>
      <c r="H439" s="2" t="s">
        <v>2528</v>
      </c>
      <c r="I439" s="12" t="s">
        <v>66</v>
      </c>
      <c r="J439" s="4">
        <v>42987</v>
      </c>
      <c r="K439" s="12" t="s">
        <v>8</v>
      </c>
      <c r="L439" s="12" t="s">
        <v>12</v>
      </c>
      <c r="W439" s="16" t="s">
        <v>61</v>
      </c>
      <c r="Y439" s="7">
        <v>43013</v>
      </c>
      <c r="Z439" s="16" t="s">
        <v>66</v>
      </c>
      <c r="AA439" s="7">
        <v>43024</v>
      </c>
    </row>
    <row r="440" spans="1:28" ht="15" customHeight="1">
      <c r="A440" s="290"/>
      <c r="C440" s="12">
        <v>29</v>
      </c>
      <c r="D440" s="2">
        <v>19348</v>
      </c>
      <c r="E440" s="2" t="s">
        <v>2509</v>
      </c>
      <c r="F440" s="3">
        <v>29109102100876</v>
      </c>
      <c r="G440" s="2" t="s">
        <v>34</v>
      </c>
      <c r="H440" s="2" t="s">
        <v>2529</v>
      </c>
      <c r="I440" s="12" t="s">
        <v>66</v>
      </c>
      <c r="J440" s="4">
        <v>42987</v>
      </c>
      <c r="K440" s="12" t="s">
        <v>8</v>
      </c>
      <c r="L440" s="12" t="s">
        <v>12</v>
      </c>
      <c r="M440" s="12"/>
      <c r="W440" s="16" t="s">
        <v>111</v>
      </c>
      <c r="X440" s="12"/>
      <c r="Y440" s="7">
        <v>43013</v>
      </c>
      <c r="Z440" s="16" t="s">
        <v>66</v>
      </c>
      <c r="AA440" s="7" t="s">
        <v>3111</v>
      </c>
    </row>
    <row r="441" spans="1:28" ht="15" customHeight="1">
      <c r="A441" s="290"/>
      <c r="C441" s="12">
        <v>29</v>
      </c>
      <c r="D441" s="2">
        <v>19349</v>
      </c>
      <c r="E441" s="2" t="s">
        <v>2510</v>
      </c>
      <c r="F441" s="3">
        <v>28908011500657</v>
      </c>
      <c r="G441" s="2" t="s">
        <v>34</v>
      </c>
      <c r="H441" s="2" t="s">
        <v>2530</v>
      </c>
      <c r="I441" s="12" t="s">
        <v>66</v>
      </c>
      <c r="J441" s="4">
        <v>42987</v>
      </c>
      <c r="K441" s="12" t="s">
        <v>8</v>
      </c>
      <c r="L441" s="12" t="s">
        <v>12</v>
      </c>
      <c r="M441" s="12"/>
      <c r="W441" s="16" t="s">
        <v>60</v>
      </c>
      <c r="Y441" s="7">
        <v>43013</v>
      </c>
      <c r="Z441" s="16" t="s">
        <v>66</v>
      </c>
      <c r="AA441" s="7">
        <v>43023</v>
      </c>
    </row>
    <row r="442" spans="1:28" ht="15" customHeight="1">
      <c r="A442" s="290"/>
      <c r="C442" s="16">
        <v>29</v>
      </c>
      <c r="D442" s="16">
        <v>19350</v>
      </c>
      <c r="E442" s="16" t="s">
        <v>2511</v>
      </c>
      <c r="F442" s="3">
        <v>29005130100059</v>
      </c>
      <c r="G442" s="16" t="s">
        <v>34</v>
      </c>
      <c r="H442" s="16" t="s">
        <v>2531</v>
      </c>
      <c r="I442" s="16" t="s">
        <v>66</v>
      </c>
      <c r="J442" s="45">
        <v>42987</v>
      </c>
      <c r="K442" s="16" t="s">
        <v>8</v>
      </c>
      <c r="L442" s="16" t="s">
        <v>12</v>
      </c>
      <c r="M442" s="16"/>
      <c r="N442" s="16"/>
      <c r="W442" s="16" t="s">
        <v>60</v>
      </c>
      <c r="X442" s="16" t="s">
        <v>66</v>
      </c>
      <c r="Y442" s="45">
        <v>43013</v>
      </c>
      <c r="Z442" s="16" t="s">
        <v>66</v>
      </c>
      <c r="AA442" s="45">
        <v>43045</v>
      </c>
      <c r="AB442" s="16"/>
    </row>
    <row r="443" spans="1:28" ht="15" customHeight="1">
      <c r="A443" s="290"/>
      <c r="C443" s="12">
        <v>29</v>
      </c>
      <c r="D443" s="2">
        <v>19351</v>
      </c>
      <c r="E443" s="2" t="s">
        <v>2512</v>
      </c>
      <c r="F443" s="3">
        <v>28501012126918</v>
      </c>
      <c r="G443" s="2" t="s">
        <v>34</v>
      </c>
      <c r="H443" s="2" t="s">
        <v>2532</v>
      </c>
      <c r="I443" s="12" t="s">
        <v>66</v>
      </c>
      <c r="J443" s="4">
        <v>42987</v>
      </c>
      <c r="K443" s="12" t="s">
        <v>8</v>
      </c>
      <c r="L443" s="12" t="s">
        <v>12</v>
      </c>
      <c r="M443" s="12"/>
      <c r="W443" s="16" t="s">
        <v>111</v>
      </c>
      <c r="Y443" s="7">
        <v>43013</v>
      </c>
      <c r="Z443" s="16" t="s">
        <v>66</v>
      </c>
      <c r="AA443" s="7">
        <v>43030</v>
      </c>
    </row>
    <row r="444" spans="1:28" ht="15" customHeight="1">
      <c r="A444" s="290"/>
      <c r="C444" s="12">
        <v>29</v>
      </c>
      <c r="D444" s="2">
        <v>19352</v>
      </c>
      <c r="E444" s="2" t="s">
        <v>2513</v>
      </c>
      <c r="F444" s="3" t="s">
        <v>2514</v>
      </c>
      <c r="G444" s="2" t="s">
        <v>184</v>
      </c>
      <c r="H444" s="2" t="s">
        <v>2533</v>
      </c>
      <c r="I444" s="12" t="s">
        <v>66</v>
      </c>
      <c r="J444" s="4">
        <v>42987</v>
      </c>
      <c r="K444" s="12" t="s">
        <v>8</v>
      </c>
      <c r="L444" s="12" t="s">
        <v>12</v>
      </c>
      <c r="M444" s="12"/>
      <c r="W444" s="16" t="s">
        <v>60</v>
      </c>
      <c r="X444" s="12"/>
      <c r="Y444" s="7">
        <v>43013</v>
      </c>
      <c r="Z444" s="16" t="s">
        <v>66</v>
      </c>
      <c r="AA444" s="7">
        <v>43045</v>
      </c>
    </row>
    <row r="445" spans="1:28" ht="15" customHeight="1">
      <c r="A445" s="290"/>
      <c r="C445" s="12">
        <v>29</v>
      </c>
      <c r="D445" s="2">
        <v>14828</v>
      </c>
      <c r="E445" s="2" t="s">
        <v>2515</v>
      </c>
      <c r="F445" s="3">
        <v>29311010108351</v>
      </c>
      <c r="G445" s="2" t="s">
        <v>34</v>
      </c>
      <c r="H445" s="2" t="s">
        <v>2534</v>
      </c>
      <c r="I445" s="12" t="s">
        <v>67</v>
      </c>
      <c r="J445" s="4">
        <v>42987</v>
      </c>
      <c r="K445" s="12" t="s">
        <v>8</v>
      </c>
      <c r="L445" s="12" t="s">
        <v>12</v>
      </c>
      <c r="M445" s="12"/>
      <c r="W445" s="16" t="s">
        <v>61</v>
      </c>
      <c r="Y445" s="7">
        <v>43013</v>
      </c>
      <c r="Z445" s="16" t="s">
        <v>66</v>
      </c>
      <c r="AA445" s="7">
        <v>43023</v>
      </c>
    </row>
    <row r="446" spans="1:28" ht="15.75" customHeight="1" thickBot="1">
      <c r="A446" s="291"/>
      <c r="C446" s="28">
        <v>29</v>
      </c>
      <c r="D446" s="28">
        <v>19353</v>
      </c>
      <c r="E446" s="28" t="s">
        <v>2516</v>
      </c>
      <c r="F446" s="29">
        <v>29205070100959</v>
      </c>
      <c r="G446" s="28" t="s">
        <v>34</v>
      </c>
      <c r="H446" s="28" t="s">
        <v>2535</v>
      </c>
      <c r="I446" s="28" t="s">
        <v>66</v>
      </c>
      <c r="J446" s="30">
        <v>42987</v>
      </c>
      <c r="K446" s="28" t="s">
        <v>8</v>
      </c>
      <c r="L446" s="28" t="s">
        <v>12</v>
      </c>
      <c r="M446" s="28"/>
      <c r="N446" s="28"/>
      <c r="O446" s="226"/>
      <c r="P446" s="28"/>
      <c r="Q446" s="226"/>
      <c r="R446" s="28"/>
      <c r="S446" s="28"/>
      <c r="T446" s="28"/>
      <c r="U446" s="28"/>
      <c r="V446" s="28"/>
      <c r="W446" s="28" t="s">
        <v>60</v>
      </c>
      <c r="X446" s="28"/>
      <c r="Y446" s="30">
        <v>43013</v>
      </c>
      <c r="Z446" s="28" t="s">
        <v>67</v>
      </c>
      <c r="AA446" s="30"/>
      <c r="AB446" s="28"/>
    </row>
    <row r="447" spans="1:28" ht="15.75" customHeight="1" thickTop="1">
      <c r="A447" s="289" t="s">
        <v>3120</v>
      </c>
      <c r="C447" s="12">
        <v>30</v>
      </c>
      <c r="D447" s="2">
        <v>19354</v>
      </c>
      <c r="E447" s="2" t="s">
        <v>2455</v>
      </c>
      <c r="F447" s="3">
        <v>29801228800874</v>
      </c>
      <c r="G447" s="2" t="s">
        <v>184</v>
      </c>
      <c r="H447" s="2" t="s">
        <v>2477</v>
      </c>
      <c r="I447" s="12" t="s">
        <v>66</v>
      </c>
      <c r="J447" s="7">
        <v>42994</v>
      </c>
      <c r="K447" s="12" t="s">
        <v>8</v>
      </c>
      <c r="L447" s="12" t="s">
        <v>12</v>
      </c>
      <c r="M447" s="12"/>
      <c r="W447" s="16" t="s">
        <v>64</v>
      </c>
      <c r="Z447" s="16" t="s">
        <v>67</v>
      </c>
      <c r="AA447" s="7" t="s">
        <v>3111</v>
      </c>
    </row>
    <row r="448" spans="1:28" ht="15" customHeight="1">
      <c r="A448" s="290"/>
      <c r="C448" s="16">
        <v>30</v>
      </c>
      <c r="D448" s="16">
        <v>19355</v>
      </c>
      <c r="E448" s="16" t="s">
        <v>2456</v>
      </c>
      <c r="F448" s="3">
        <v>29508200103532</v>
      </c>
      <c r="G448" s="16" t="s">
        <v>34</v>
      </c>
      <c r="H448" s="16" t="s">
        <v>2478</v>
      </c>
      <c r="I448" s="16" t="s">
        <v>66</v>
      </c>
      <c r="J448" s="45">
        <v>42994</v>
      </c>
      <c r="K448" s="16" t="s">
        <v>8</v>
      </c>
      <c r="L448" s="16" t="s">
        <v>12</v>
      </c>
      <c r="M448" s="16"/>
      <c r="N448" s="16"/>
      <c r="W448" s="16" t="s">
        <v>111</v>
      </c>
      <c r="X448" s="16"/>
      <c r="Y448" s="45">
        <v>43020</v>
      </c>
      <c r="Z448" s="16" t="s">
        <v>66</v>
      </c>
      <c r="AA448" s="45">
        <v>43030</v>
      </c>
      <c r="AB448" s="16"/>
    </row>
    <row r="449" spans="1:28" ht="15" customHeight="1">
      <c r="A449" s="290"/>
      <c r="C449" s="12">
        <v>30</v>
      </c>
      <c r="D449" s="2">
        <v>19356</v>
      </c>
      <c r="E449" s="2" t="s">
        <v>2457</v>
      </c>
      <c r="F449" s="3">
        <v>27708040100096</v>
      </c>
      <c r="G449" s="2" t="s">
        <v>34</v>
      </c>
      <c r="H449" s="2" t="s">
        <v>2479</v>
      </c>
      <c r="I449" s="12" t="s">
        <v>66</v>
      </c>
      <c r="J449" s="7">
        <v>42994</v>
      </c>
      <c r="K449" s="12" t="s">
        <v>8</v>
      </c>
      <c r="L449" s="12" t="s">
        <v>12</v>
      </c>
      <c r="M449" s="12"/>
      <c r="W449" s="16" t="s">
        <v>60</v>
      </c>
      <c r="X449" s="12" t="s">
        <v>66</v>
      </c>
      <c r="Y449" s="7">
        <v>43020</v>
      </c>
      <c r="Z449" s="16" t="s">
        <v>66</v>
      </c>
      <c r="AA449" s="7">
        <v>43094</v>
      </c>
      <c r="AB449" s="2" t="s">
        <v>3177</v>
      </c>
    </row>
    <row r="450" spans="1:28" ht="15" customHeight="1">
      <c r="A450" s="290"/>
      <c r="C450" s="12">
        <v>30</v>
      </c>
      <c r="D450" s="2">
        <v>19357</v>
      </c>
      <c r="E450" s="2" t="s">
        <v>2458</v>
      </c>
      <c r="F450" s="3">
        <v>29401148800441</v>
      </c>
      <c r="G450" s="2" t="s">
        <v>184</v>
      </c>
      <c r="H450" s="2" t="s">
        <v>2480</v>
      </c>
      <c r="I450" s="12" t="s">
        <v>66</v>
      </c>
      <c r="J450" s="7">
        <v>42994</v>
      </c>
      <c r="K450" s="12" t="s">
        <v>8</v>
      </c>
      <c r="L450" s="12" t="s">
        <v>12</v>
      </c>
      <c r="M450" s="12"/>
      <c r="W450" s="16" t="s">
        <v>61</v>
      </c>
      <c r="X450" s="16" t="s">
        <v>66</v>
      </c>
      <c r="Y450" s="7">
        <v>43020</v>
      </c>
      <c r="Z450" s="16" t="s">
        <v>66</v>
      </c>
      <c r="AA450" s="7">
        <v>43094</v>
      </c>
    </row>
    <row r="451" spans="1:28" ht="15" customHeight="1">
      <c r="A451" s="290"/>
      <c r="C451" s="12">
        <v>30</v>
      </c>
      <c r="D451" s="2">
        <v>19358</v>
      </c>
      <c r="E451" s="2" t="s">
        <v>2459</v>
      </c>
      <c r="F451" s="3">
        <v>29309280107905</v>
      </c>
      <c r="G451" s="2" t="s">
        <v>34</v>
      </c>
      <c r="H451" s="2" t="s">
        <v>2481</v>
      </c>
      <c r="I451" s="12" t="s">
        <v>66</v>
      </c>
      <c r="J451" s="7">
        <v>42994</v>
      </c>
      <c r="K451" s="12" t="s">
        <v>8</v>
      </c>
      <c r="L451" s="12" t="s">
        <v>12</v>
      </c>
      <c r="M451" s="12"/>
      <c r="W451" s="16" t="s">
        <v>111</v>
      </c>
      <c r="X451" s="16" t="s">
        <v>66</v>
      </c>
      <c r="Y451" s="7">
        <v>43020</v>
      </c>
      <c r="Z451" s="16" t="s">
        <v>67</v>
      </c>
      <c r="AA451" s="7" t="s">
        <v>3111</v>
      </c>
    </row>
    <row r="452" spans="1:28" ht="15" customHeight="1">
      <c r="A452" s="290"/>
      <c r="C452" s="12">
        <v>30</v>
      </c>
      <c r="D452" s="2">
        <v>19359</v>
      </c>
      <c r="E452" s="2" t="s">
        <v>2460</v>
      </c>
      <c r="F452" s="3">
        <v>29505080100667</v>
      </c>
      <c r="G452" s="2" t="s">
        <v>34</v>
      </c>
      <c r="H452" s="2" t="s">
        <v>2482</v>
      </c>
      <c r="I452" s="12" t="s">
        <v>66</v>
      </c>
      <c r="J452" s="7">
        <v>42994</v>
      </c>
      <c r="K452" s="12" t="s">
        <v>8</v>
      </c>
      <c r="L452" s="12" t="s">
        <v>12</v>
      </c>
      <c r="M452" s="12"/>
      <c r="W452" s="16" t="s">
        <v>60</v>
      </c>
      <c r="X452" s="12"/>
      <c r="Y452" s="7">
        <v>43020</v>
      </c>
      <c r="Z452" s="16" t="s">
        <v>66</v>
      </c>
      <c r="AA452" s="7">
        <v>43031</v>
      </c>
    </row>
    <row r="453" spans="1:28" ht="15" customHeight="1">
      <c r="A453" s="290"/>
      <c r="C453" s="12">
        <v>30</v>
      </c>
      <c r="D453" s="2">
        <v>19360</v>
      </c>
      <c r="E453" s="2" t="s">
        <v>2461</v>
      </c>
      <c r="F453" s="3" t="s">
        <v>2462</v>
      </c>
      <c r="G453" s="2" t="s">
        <v>34</v>
      </c>
      <c r="H453" s="2" t="s">
        <v>2483</v>
      </c>
      <c r="I453" s="12" t="s">
        <v>66</v>
      </c>
      <c r="J453" s="7">
        <v>42994</v>
      </c>
      <c r="K453" s="12" t="s">
        <v>8</v>
      </c>
      <c r="L453" s="12" t="s">
        <v>12</v>
      </c>
      <c r="M453" s="12"/>
      <c r="W453" s="16" t="s">
        <v>111</v>
      </c>
      <c r="X453" s="16" t="s">
        <v>66</v>
      </c>
      <c r="Y453" s="7">
        <v>43020</v>
      </c>
      <c r="Z453" s="16" t="s">
        <v>67</v>
      </c>
      <c r="AA453" s="7" t="s">
        <v>3111</v>
      </c>
    </row>
    <row r="454" spans="1:28" ht="15" customHeight="1">
      <c r="A454" s="290"/>
      <c r="C454" s="12">
        <v>30</v>
      </c>
      <c r="D454" s="2">
        <v>19361</v>
      </c>
      <c r="E454" s="2" t="s">
        <v>2463</v>
      </c>
      <c r="F454" s="3" t="s">
        <v>2464</v>
      </c>
      <c r="G454" s="2" t="s">
        <v>34</v>
      </c>
      <c r="H454" s="2" t="s">
        <v>2484</v>
      </c>
      <c r="I454" s="12" t="s">
        <v>66</v>
      </c>
      <c r="J454" s="7">
        <v>42994</v>
      </c>
      <c r="K454" s="12" t="s">
        <v>8</v>
      </c>
      <c r="L454" s="12" t="s">
        <v>12</v>
      </c>
      <c r="M454" s="12"/>
      <c r="W454" s="16" t="s">
        <v>60</v>
      </c>
      <c r="Y454" s="7">
        <v>43020</v>
      </c>
      <c r="Z454" s="16" t="s">
        <v>66</v>
      </c>
      <c r="AA454" s="7" t="s">
        <v>3111</v>
      </c>
    </row>
    <row r="455" spans="1:28" ht="15" customHeight="1">
      <c r="A455" s="290"/>
      <c r="C455" s="16">
        <v>30</v>
      </c>
      <c r="D455" s="16">
        <v>19362</v>
      </c>
      <c r="E455" s="16" t="s">
        <v>2465</v>
      </c>
      <c r="F455" s="3">
        <v>29209208800855</v>
      </c>
      <c r="G455" s="16" t="s">
        <v>184</v>
      </c>
      <c r="H455" s="16" t="s">
        <v>2485</v>
      </c>
      <c r="I455" s="16" t="s">
        <v>66</v>
      </c>
      <c r="J455" s="45">
        <v>42994</v>
      </c>
      <c r="K455" s="16" t="s">
        <v>8</v>
      </c>
      <c r="L455" s="16" t="s">
        <v>12</v>
      </c>
      <c r="M455" s="16"/>
      <c r="N455" s="16"/>
      <c r="W455" s="16" t="s">
        <v>60</v>
      </c>
      <c r="X455" s="16"/>
      <c r="Y455" s="45">
        <v>43020</v>
      </c>
      <c r="Z455" s="16" t="s">
        <v>66</v>
      </c>
      <c r="AA455" s="45">
        <v>43052</v>
      </c>
      <c r="AB455" s="16"/>
    </row>
    <row r="456" spans="1:28" ht="15" customHeight="1">
      <c r="A456" s="290"/>
      <c r="C456" s="12">
        <v>30</v>
      </c>
      <c r="D456" s="2">
        <v>19363</v>
      </c>
      <c r="E456" s="2" t="s">
        <v>2466</v>
      </c>
      <c r="F456" s="3">
        <v>28911078800036</v>
      </c>
      <c r="G456" s="2" t="s">
        <v>34</v>
      </c>
      <c r="H456" s="2" t="s">
        <v>2486</v>
      </c>
      <c r="I456" s="12" t="s">
        <v>66</v>
      </c>
      <c r="J456" s="7">
        <v>42994</v>
      </c>
      <c r="K456" s="12" t="s">
        <v>8</v>
      </c>
      <c r="L456" s="12" t="s">
        <v>12</v>
      </c>
      <c r="W456" s="16" t="s">
        <v>60</v>
      </c>
      <c r="X456" s="12"/>
      <c r="Y456" s="7">
        <v>43020</v>
      </c>
      <c r="Z456" s="16" t="s">
        <v>66</v>
      </c>
      <c r="AA456" s="7">
        <v>43031</v>
      </c>
    </row>
    <row r="457" spans="1:28" ht="15" customHeight="1">
      <c r="A457" s="290"/>
      <c r="C457" s="12">
        <v>30</v>
      </c>
      <c r="D457" s="2">
        <v>19364</v>
      </c>
      <c r="E457" s="2" t="s">
        <v>2467</v>
      </c>
      <c r="F457" s="3">
        <v>29609170101514</v>
      </c>
      <c r="G457" s="2" t="s">
        <v>184</v>
      </c>
      <c r="H457" s="2" t="s">
        <v>2487</v>
      </c>
      <c r="I457" s="12" t="s">
        <v>66</v>
      </c>
      <c r="J457" s="7">
        <v>42994</v>
      </c>
      <c r="K457" s="12" t="s">
        <v>8</v>
      </c>
      <c r="L457" s="12" t="s">
        <v>12</v>
      </c>
      <c r="W457" s="16" t="s">
        <v>61</v>
      </c>
      <c r="Y457" s="7">
        <v>43020</v>
      </c>
      <c r="Z457" s="16" t="s">
        <v>67</v>
      </c>
      <c r="AA457" s="7" t="s">
        <v>3111</v>
      </c>
    </row>
    <row r="458" spans="1:28" ht="15" customHeight="1">
      <c r="A458" s="290"/>
      <c r="C458" s="12">
        <v>30</v>
      </c>
      <c r="D458" s="2">
        <v>19365</v>
      </c>
      <c r="E458" s="2" t="s">
        <v>2468</v>
      </c>
      <c r="F458" s="3">
        <v>28109152103805</v>
      </c>
      <c r="G458" s="2" t="s">
        <v>34</v>
      </c>
      <c r="H458" s="2" t="s">
        <v>2488</v>
      </c>
      <c r="I458" s="12" t="s">
        <v>66</v>
      </c>
      <c r="J458" s="7">
        <v>42994</v>
      </c>
      <c r="K458" s="12" t="s">
        <v>8</v>
      </c>
      <c r="L458" s="12" t="s">
        <v>12</v>
      </c>
      <c r="W458" s="16" t="s">
        <v>111</v>
      </c>
      <c r="X458" s="12"/>
      <c r="Y458" s="7">
        <v>43020</v>
      </c>
      <c r="Z458" s="16" t="s">
        <v>66</v>
      </c>
      <c r="AA458" s="7">
        <v>43051</v>
      </c>
      <c r="AB458" s="2" t="s">
        <v>4819</v>
      </c>
    </row>
    <row r="459" spans="1:28" ht="15" customHeight="1">
      <c r="A459" s="290"/>
      <c r="C459" s="12">
        <v>30</v>
      </c>
      <c r="D459" s="2">
        <v>19366</v>
      </c>
      <c r="E459" s="2" t="s">
        <v>2469</v>
      </c>
      <c r="F459" s="3">
        <v>28812060104034</v>
      </c>
      <c r="G459" s="2" t="s">
        <v>34</v>
      </c>
      <c r="H459" s="2" t="s">
        <v>2489</v>
      </c>
      <c r="I459" s="12" t="s">
        <v>66</v>
      </c>
      <c r="J459" s="7">
        <v>42994</v>
      </c>
      <c r="K459" s="12" t="s">
        <v>8</v>
      </c>
      <c r="L459" s="12" t="s">
        <v>12</v>
      </c>
      <c r="W459" s="16" t="s">
        <v>60</v>
      </c>
      <c r="Y459" s="7">
        <v>43020</v>
      </c>
      <c r="Z459" s="16" t="s">
        <v>66</v>
      </c>
      <c r="AA459" s="7">
        <v>43031</v>
      </c>
    </row>
    <row r="460" spans="1:28" ht="15" customHeight="1">
      <c r="A460" s="290"/>
      <c r="C460" s="12">
        <v>30</v>
      </c>
      <c r="D460" s="2">
        <v>19367</v>
      </c>
      <c r="E460" s="2" t="s">
        <v>2470</v>
      </c>
      <c r="F460" s="3">
        <v>29208190100862</v>
      </c>
      <c r="G460" s="2" t="s">
        <v>184</v>
      </c>
      <c r="H460" s="2" t="s">
        <v>2490</v>
      </c>
      <c r="I460" s="12" t="s">
        <v>66</v>
      </c>
      <c r="J460" s="7">
        <v>42994</v>
      </c>
      <c r="K460" s="12" t="s">
        <v>8</v>
      </c>
      <c r="L460" s="12" t="s">
        <v>12</v>
      </c>
      <c r="W460" s="16" t="s">
        <v>60</v>
      </c>
      <c r="Y460" s="7">
        <v>43020</v>
      </c>
      <c r="Z460" s="16" t="s">
        <v>66</v>
      </c>
      <c r="AA460" s="7">
        <v>43024</v>
      </c>
    </row>
    <row r="461" spans="1:28" ht="15" customHeight="1">
      <c r="A461" s="290"/>
      <c r="C461" s="2">
        <v>30</v>
      </c>
      <c r="D461" s="2">
        <v>19368</v>
      </c>
      <c r="E461" s="2" t="s">
        <v>2471</v>
      </c>
      <c r="F461" s="3">
        <v>29307190102472</v>
      </c>
      <c r="G461" s="2" t="s">
        <v>34</v>
      </c>
      <c r="H461" s="2" t="s">
        <v>2491</v>
      </c>
      <c r="I461" s="12" t="s">
        <v>66</v>
      </c>
      <c r="J461" s="4">
        <v>42994</v>
      </c>
      <c r="K461" s="12" t="s">
        <v>8</v>
      </c>
      <c r="L461" s="12" t="s">
        <v>12</v>
      </c>
      <c r="W461" s="16" t="s">
        <v>60</v>
      </c>
      <c r="X461" s="16" t="s">
        <v>66</v>
      </c>
      <c r="Y461" s="7">
        <v>43020</v>
      </c>
      <c r="Z461" s="16" t="s">
        <v>66</v>
      </c>
      <c r="AA461" s="7">
        <v>43040</v>
      </c>
    </row>
    <row r="462" spans="1:28" ht="15" customHeight="1">
      <c r="A462" s="290"/>
      <c r="C462" s="12">
        <v>30</v>
      </c>
      <c r="D462" s="2">
        <v>19369</v>
      </c>
      <c r="E462" s="2" t="s">
        <v>2472</v>
      </c>
      <c r="F462" s="3">
        <v>29304040102751</v>
      </c>
      <c r="G462" s="2" t="s">
        <v>34</v>
      </c>
      <c r="H462" s="2" t="s">
        <v>2492</v>
      </c>
      <c r="I462" s="12" t="s">
        <v>66</v>
      </c>
      <c r="J462" s="4">
        <v>42994</v>
      </c>
      <c r="K462" s="12" t="s">
        <v>8</v>
      </c>
      <c r="L462" s="12" t="s">
        <v>12</v>
      </c>
      <c r="W462" s="16" t="s">
        <v>60</v>
      </c>
      <c r="Y462" s="7">
        <v>43020</v>
      </c>
      <c r="Z462" s="16" t="s">
        <v>67</v>
      </c>
      <c r="AA462" s="7" t="s">
        <v>3111</v>
      </c>
    </row>
    <row r="463" spans="1:28" ht="15" customHeight="1">
      <c r="A463" s="290"/>
      <c r="C463" s="12">
        <v>30</v>
      </c>
      <c r="D463" s="2">
        <v>19370</v>
      </c>
      <c r="E463" s="2" t="s">
        <v>2473</v>
      </c>
      <c r="F463" s="3">
        <v>29507302701918</v>
      </c>
      <c r="G463" s="2" t="s">
        <v>34</v>
      </c>
      <c r="H463" s="2" t="s">
        <v>2493</v>
      </c>
      <c r="I463" s="12" t="s">
        <v>66</v>
      </c>
      <c r="J463" s="4">
        <v>42994</v>
      </c>
      <c r="K463" s="12" t="s">
        <v>8</v>
      </c>
      <c r="L463" s="12" t="s">
        <v>12</v>
      </c>
      <c r="W463" s="16" t="s">
        <v>61</v>
      </c>
      <c r="Y463" s="7">
        <v>43020</v>
      </c>
      <c r="Z463" s="16" t="s">
        <v>67</v>
      </c>
      <c r="AA463" s="7" t="s">
        <v>3111</v>
      </c>
    </row>
    <row r="464" spans="1:28" ht="15" customHeight="1">
      <c r="A464" s="290"/>
      <c r="C464" s="12">
        <v>30</v>
      </c>
      <c r="D464" s="2">
        <v>19371</v>
      </c>
      <c r="E464" s="2" t="s">
        <v>2474</v>
      </c>
      <c r="F464" s="3">
        <v>29410212101845</v>
      </c>
      <c r="G464" s="2" t="s">
        <v>34</v>
      </c>
      <c r="H464" s="2" t="s">
        <v>2494</v>
      </c>
      <c r="I464" s="12" t="s">
        <v>66</v>
      </c>
      <c r="J464" s="4">
        <v>42994</v>
      </c>
      <c r="K464" s="12" t="s">
        <v>8</v>
      </c>
      <c r="L464" s="12" t="s">
        <v>12</v>
      </c>
      <c r="W464" s="16" t="s">
        <v>111</v>
      </c>
      <c r="Y464" s="7">
        <v>43020</v>
      </c>
      <c r="Z464" s="16" t="s">
        <v>66</v>
      </c>
      <c r="AA464" s="7">
        <v>43030</v>
      </c>
    </row>
    <row r="465" spans="1:28" ht="15" customHeight="1">
      <c r="A465" s="290"/>
      <c r="C465" s="12">
        <v>30</v>
      </c>
      <c r="D465" s="2">
        <v>19372</v>
      </c>
      <c r="E465" s="2" t="s">
        <v>2475</v>
      </c>
      <c r="F465" s="3">
        <v>29501020101901</v>
      </c>
      <c r="G465" s="2" t="s">
        <v>34</v>
      </c>
      <c r="H465" s="2" t="s">
        <v>2495</v>
      </c>
      <c r="I465" s="12" t="s">
        <v>66</v>
      </c>
      <c r="J465" s="4">
        <v>42994</v>
      </c>
      <c r="K465" s="12" t="s">
        <v>8</v>
      </c>
      <c r="L465" s="12" t="s">
        <v>12</v>
      </c>
      <c r="W465" s="16" t="s">
        <v>60</v>
      </c>
      <c r="X465" s="16" t="s">
        <v>66</v>
      </c>
      <c r="Y465" s="7">
        <v>43020</v>
      </c>
      <c r="Z465" s="16" t="s">
        <v>66</v>
      </c>
      <c r="AA465" s="7">
        <v>43045</v>
      </c>
    </row>
    <row r="466" spans="1:28" ht="15.75" customHeight="1" thickBot="1">
      <c r="A466" s="291"/>
      <c r="C466" s="28">
        <v>30</v>
      </c>
      <c r="D466" s="28">
        <v>19228</v>
      </c>
      <c r="E466" s="28" t="s">
        <v>2476</v>
      </c>
      <c r="F466" s="29">
        <v>27609168800211</v>
      </c>
      <c r="G466" s="28" t="s">
        <v>34</v>
      </c>
      <c r="H466" s="28" t="s">
        <v>2496</v>
      </c>
      <c r="I466" s="28" t="s">
        <v>66</v>
      </c>
      <c r="J466" s="30">
        <v>42994</v>
      </c>
      <c r="K466" s="28" t="s">
        <v>8</v>
      </c>
      <c r="L466" s="28" t="s">
        <v>12</v>
      </c>
      <c r="M466" s="28"/>
      <c r="N466" s="28"/>
      <c r="O466" s="226"/>
      <c r="P466" s="28"/>
      <c r="Q466" s="226"/>
      <c r="R466" s="28"/>
      <c r="S466" s="28"/>
      <c r="T466" s="28"/>
      <c r="U466" s="28"/>
      <c r="V466" s="28"/>
      <c r="W466" s="28" t="s">
        <v>60</v>
      </c>
      <c r="X466" s="28"/>
      <c r="Y466" s="30">
        <v>43020</v>
      </c>
      <c r="Z466" s="28" t="s">
        <v>66</v>
      </c>
      <c r="AA466" s="30">
        <v>43045</v>
      </c>
      <c r="AB466" s="28"/>
    </row>
    <row r="467" spans="1:28" ht="15.75" customHeight="1" thickTop="1">
      <c r="A467" s="289" t="s">
        <v>3124</v>
      </c>
      <c r="C467" s="16">
        <v>31</v>
      </c>
      <c r="D467" s="16">
        <v>19373</v>
      </c>
      <c r="E467" s="16" t="s">
        <v>2425</v>
      </c>
      <c r="F467" s="3">
        <v>28509152104796</v>
      </c>
      <c r="G467" s="16" t="s">
        <v>34</v>
      </c>
      <c r="H467" s="16" t="s">
        <v>2440</v>
      </c>
      <c r="I467" s="16" t="s">
        <v>66</v>
      </c>
      <c r="J467" s="45">
        <v>43001</v>
      </c>
      <c r="K467" s="16" t="s">
        <v>8</v>
      </c>
      <c r="L467" s="16" t="s">
        <v>12</v>
      </c>
      <c r="M467" s="16"/>
      <c r="N467" s="16"/>
      <c r="W467" s="16" t="s">
        <v>64</v>
      </c>
      <c r="X467" s="16"/>
      <c r="Y467" s="45"/>
      <c r="Z467" s="16" t="str">
        <f>IF(OR(W467="Dismissed", W467="Resigned"),"No","")</f>
        <v>No</v>
      </c>
      <c r="AA467" s="45"/>
      <c r="AB467" s="16"/>
    </row>
    <row r="468" spans="1:28" ht="15" customHeight="1">
      <c r="A468" s="290"/>
      <c r="C468" s="12">
        <v>31</v>
      </c>
      <c r="D468" s="2">
        <v>19375</v>
      </c>
      <c r="E468" s="2" t="s">
        <v>2426</v>
      </c>
      <c r="F468" s="3">
        <v>28806220102858</v>
      </c>
      <c r="G468" s="2" t="s">
        <v>34</v>
      </c>
      <c r="H468" s="2" t="s">
        <v>2441</v>
      </c>
      <c r="I468" s="12" t="s">
        <v>66</v>
      </c>
      <c r="J468" s="4">
        <v>43001</v>
      </c>
      <c r="K468" s="12" t="s">
        <v>8</v>
      </c>
      <c r="L468" s="12" t="s">
        <v>12</v>
      </c>
      <c r="W468" s="16" t="s">
        <v>111</v>
      </c>
      <c r="Y468" s="7">
        <v>43026</v>
      </c>
      <c r="Z468" s="16" t="s">
        <v>66</v>
      </c>
      <c r="AA468" s="7" t="s">
        <v>3111</v>
      </c>
      <c r="AB468" s="2" t="s">
        <v>6402</v>
      </c>
    </row>
    <row r="469" spans="1:28" ht="15" customHeight="1">
      <c r="A469" s="290"/>
      <c r="C469" s="12">
        <v>31</v>
      </c>
      <c r="D469" s="2">
        <v>19376</v>
      </c>
      <c r="E469" s="2" t="s">
        <v>2427</v>
      </c>
      <c r="F469" s="3">
        <v>295040188000079</v>
      </c>
      <c r="G469" s="2" t="s">
        <v>34</v>
      </c>
      <c r="H469" s="2" t="s">
        <v>2442</v>
      </c>
      <c r="I469" s="12" t="s">
        <v>66</v>
      </c>
      <c r="J469" s="4">
        <v>43001</v>
      </c>
      <c r="K469" s="12" t="s">
        <v>8</v>
      </c>
      <c r="L469" s="12" t="s">
        <v>12</v>
      </c>
      <c r="W469" s="16" t="s">
        <v>60</v>
      </c>
      <c r="Y469" s="7">
        <v>43026</v>
      </c>
      <c r="Z469" s="16" t="s">
        <v>67</v>
      </c>
      <c r="AA469" s="7" t="s">
        <v>3111</v>
      </c>
    </row>
    <row r="470" spans="1:28" ht="15" customHeight="1">
      <c r="A470" s="290"/>
      <c r="C470" s="12">
        <v>31</v>
      </c>
      <c r="D470" s="2">
        <v>19377</v>
      </c>
      <c r="E470" s="2" t="s">
        <v>2428</v>
      </c>
      <c r="F470" s="3">
        <v>29307272100117</v>
      </c>
      <c r="G470" s="2" t="s">
        <v>184</v>
      </c>
      <c r="H470" s="2" t="s">
        <v>2443</v>
      </c>
      <c r="I470" s="12" t="s">
        <v>66</v>
      </c>
      <c r="J470" s="4">
        <v>43001</v>
      </c>
      <c r="K470" s="12" t="s">
        <v>8</v>
      </c>
      <c r="L470" s="12" t="s">
        <v>12</v>
      </c>
      <c r="W470" s="16" t="s">
        <v>60</v>
      </c>
      <c r="Y470" s="7">
        <v>43026</v>
      </c>
      <c r="Z470" s="16" t="s">
        <v>66</v>
      </c>
      <c r="AA470" s="7">
        <v>43052</v>
      </c>
    </row>
    <row r="471" spans="1:28" ht="15" customHeight="1">
      <c r="A471" s="290"/>
      <c r="C471" s="12">
        <v>31</v>
      </c>
      <c r="D471" s="2">
        <v>19378</v>
      </c>
      <c r="E471" s="2" t="s">
        <v>2429</v>
      </c>
      <c r="F471" s="3">
        <v>29505090101335</v>
      </c>
      <c r="G471" s="2" t="s">
        <v>34</v>
      </c>
      <c r="H471" s="2" t="s">
        <v>2444</v>
      </c>
      <c r="I471" s="12" t="s">
        <v>66</v>
      </c>
      <c r="J471" s="4">
        <v>43001</v>
      </c>
      <c r="K471" s="12" t="s">
        <v>8</v>
      </c>
      <c r="L471" s="12" t="s">
        <v>12</v>
      </c>
      <c r="W471" s="16" t="s">
        <v>60</v>
      </c>
      <c r="X471" s="2" t="s">
        <v>66</v>
      </c>
      <c r="Y471" s="7">
        <v>43026</v>
      </c>
      <c r="Z471" s="16" t="s">
        <v>66</v>
      </c>
      <c r="AA471" s="7">
        <v>43059</v>
      </c>
    </row>
    <row r="472" spans="1:28" ht="15" customHeight="1">
      <c r="A472" s="290"/>
      <c r="C472" s="2">
        <v>31</v>
      </c>
      <c r="D472" s="2">
        <v>19379</v>
      </c>
      <c r="E472" s="2" t="s">
        <v>2430</v>
      </c>
      <c r="F472" s="3">
        <v>29404110300177</v>
      </c>
      <c r="G472" s="2" t="s">
        <v>34</v>
      </c>
      <c r="H472" s="2" t="s">
        <v>2445</v>
      </c>
      <c r="I472" s="12" t="s">
        <v>66</v>
      </c>
      <c r="J472" s="4">
        <v>43001</v>
      </c>
      <c r="K472" s="12" t="s">
        <v>8</v>
      </c>
      <c r="L472" s="12" t="s">
        <v>12</v>
      </c>
      <c r="W472" s="16" t="s">
        <v>60</v>
      </c>
      <c r="Y472" s="7">
        <v>43026</v>
      </c>
      <c r="Z472" s="16" t="s">
        <v>66</v>
      </c>
      <c r="AA472" s="7">
        <v>43052</v>
      </c>
    </row>
    <row r="473" spans="1:28" ht="15" customHeight="1">
      <c r="A473" s="290"/>
      <c r="C473" s="12">
        <v>31</v>
      </c>
      <c r="D473" s="2">
        <v>19380</v>
      </c>
      <c r="E473" s="2" t="s">
        <v>2431</v>
      </c>
      <c r="F473" s="3">
        <v>29310140101026</v>
      </c>
      <c r="G473" s="2" t="s">
        <v>34</v>
      </c>
      <c r="H473" s="2" t="s">
        <v>2446</v>
      </c>
      <c r="I473" s="12" t="s">
        <v>66</v>
      </c>
      <c r="J473" s="4">
        <v>43001</v>
      </c>
      <c r="K473" s="12" t="s">
        <v>8</v>
      </c>
      <c r="L473" s="12" t="s">
        <v>12</v>
      </c>
      <c r="W473" s="16" t="s">
        <v>60</v>
      </c>
      <c r="Y473" s="7">
        <v>43026</v>
      </c>
      <c r="Z473" s="16" t="s">
        <v>66</v>
      </c>
      <c r="AA473" s="7">
        <v>43031</v>
      </c>
    </row>
    <row r="474" spans="1:28" ht="15" customHeight="1">
      <c r="A474" s="290"/>
      <c r="C474" s="12">
        <v>31</v>
      </c>
      <c r="D474" s="2">
        <v>19381</v>
      </c>
      <c r="E474" s="2" t="s">
        <v>2432</v>
      </c>
      <c r="F474" s="3">
        <v>29309120100416</v>
      </c>
      <c r="G474" s="15" t="s">
        <v>34</v>
      </c>
      <c r="H474" s="2" t="s">
        <v>2447</v>
      </c>
      <c r="I474" s="12" t="s">
        <v>66</v>
      </c>
      <c r="J474" s="4">
        <v>43001</v>
      </c>
      <c r="K474" s="12" t="s">
        <v>8</v>
      </c>
      <c r="L474" s="12" t="s">
        <v>12</v>
      </c>
      <c r="W474" s="16" t="s">
        <v>111</v>
      </c>
      <c r="X474" s="2" t="s">
        <v>66</v>
      </c>
      <c r="Y474" s="7">
        <v>43026</v>
      </c>
      <c r="Z474" s="16" t="s">
        <v>67</v>
      </c>
      <c r="AA474" s="7" t="s">
        <v>3111</v>
      </c>
      <c r="AB474" s="2" t="s">
        <v>4727</v>
      </c>
    </row>
    <row r="475" spans="1:28" ht="15" customHeight="1">
      <c r="A475" s="290"/>
      <c r="C475" s="12">
        <v>31</v>
      </c>
      <c r="D475" s="2">
        <v>19382</v>
      </c>
      <c r="E475" s="2" t="s">
        <v>2433</v>
      </c>
      <c r="F475" s="3">
        <v>29404202104005</v>
      </c>
      <c r="G475" s="2" t="s">
        <v>34</v>
      </c>
      <c r="H475" s="2" t="s">
        <v>2448</v>
      </c>
      <c r="I475" s="12" t="s">
        <v>66</v>
      </c>
      <c r="J475" s="4">
        <v>43001</v>
      </c>
      <c r="K475" s="12" t="s">
        <v>8</v>
      </c>
      <c r="L475" s="12" t="s">
        <v>12</v>
      </c>
      <c r="W475" s="16" t="s">
        <v>64</v>
      </c>
      <c r="Z475" s="16" t="s">
        <v>67</v>
      </c>
      <c r="AA475" s="7" t="s">
        <v>3111</v>
      </c>
    </row>
    <row r="476" spans="1:28" ht="15" customHeight="1">
      <c r="A476" s="290"/>
      <c r="C476" s="16">
        <v>31</v>
      </c>
      <c r="D476" s="16">
        <v>19383</v>
      </c>
      <c r="E476" s="16" t="s">
        <v>2434</v>
      </c>
      <c r="F476" s="3">
        <v>29508130103548</v>
      </c>
      <c r="G476" s="16" t="s">
        <v>34</v>
      </c>
      <c r="H476" s="16" t="s">
        <v>2449</v>
      </c>
      <c r="I476" s="16" t="s">
        <v>66</v>
      </c>
      <c r="J476" s="45">
        <v>43001</v>
      </c>
      <c r="K476" s="16" t="s">
        <v>8</v>
      </c>
      <c r="L476" s="16" t="s">
        <v>12</v>
      </c>
      <c r="M476" s="16"/>
      <c r="N476" s="16"/>
      <c r="W476" s="16" t="s">
        <v>60</v>
      </c>
      <c r="X476" s="16"/>
      <c r="Y476" s="45">
        <v>43026</v>
      </c>
      <c r="Z476" s="16" t="s">
        <v>66</v>
      </c>
      <c r="AA476" s="45" t="s">
        <v>3111</v>
      </c>
      <c r="AB476" s="16"/>
    </row>
    <row r="477" spans="1:28" ht="15" customHeight="1">
      <c r="A477" s="290"/>
      <c r="C477" s="12">
        <v>31</v>
      </c>
      <c r="D477" s="2">
        <v>19384</v>
      </c>
      <c r="E477" s="2" t="s">
        <v>2435</v>
      </c>
      <c r="F477" s="3">
        <v>29501012414151</v>
      </c>
      <c r="G477" s="2" t="s">
        <v>34</v>
      </c>
      <c r="H477" s="2" t="s">
        <v>2450</v>
      </c>
      <c r="I477" s="12" t="s">
        <v>66</v>
      </c>
      <c r="J477" s="4">
        <v>43001</v>
      </c>
      <c r="K477" s="12" t="s">
        <v>8</v>
      </c>
      <c r="L477" s="12" t="s">
        <v>12</v>
      </c>
      <c r="W477" s="16" t="s">
        <v>111</v>
      </c>
      <c r="Y477" s="7">
        <v>43026</v>
      </c>
      <c r="Z477" s="16" t="s">
        <v>67</v>
      </c>
      <c r="AA477" s="7" t="s">
        <v>3111</v>
      </c>
    </row>
    <row r="478" spans="1:28" ht="15" customHeight="1">
      <c r="A478" s="290"/>
      <c r="C478" s="12">
        <v>31</v>
      </c>
      <c r="D478" s="2">
        <v>6670</v>
      </c>
      <c r="E478" s="2" t="s">
        <v>2436</v>
      </c>
      <c r="F478" s="3">
        <v>29012130100039</v>
      </c>
      <c r="G478" s="2" t="s">
        <v>34</v>
      </c>
      <c r="H478" s="2" t="s">
        <v>2451</v>
      </c>
      <c r="I478" s="12" t="s">
        <v>67</v>
      </c>
      <c r="J478" s="4">
        <v>43001</v>
      </c>
      <c r="K478" s="12" t="s">
        <v>8</v>
      </c>
      <c r="L478" s="12" t="s">
        <v>12</v>
      </c>
      <c r="W478" s="16" t="s">
        <v>61</v>
      </c>
      <c r="X478" s="2" t="s">
        <v>66</v>
      </c>
      <c r="Y478" s="7">
        <v>43026</v>
      </c>
      <c r="Z478" s="16" t="s">
        <v>67</v>
      </c>
      <c r="AA478" s="7" t="s">
        <v>3111</v>
      </c>
    </row>
    <row r="479" spans="1:28" ht="15" customHeight="1">
      <c r="A479" s="290"/>
      <c r="C479" s="12">
        <v>31</v>
      </c>
      <c r="D479" s="2">
        <v>19385</v>
      </c>
      <c r="E479" s="2" t="s">
        <v>2437</v>
      </c>
      <c r="F479" s="3">
        <v>29311122100141</v>
      </c>
      <c r="G479" s="12" t="s">
        <v>34</v>
      </c>
      <c r="H479" s="2" t="s">
        <v>2452</v>
      </c>
      <c r="I479" s="12" t="s">
        <v>66</v>
      </c>
      <c r="J479" s="4">
        <v>43001</v>
      </c>
      <c r="K479" s="12" t="s">
        <v>8</v>
      </c>
      <c r="L479" s="12" t="s">
        <v>12</v>
      </c>
      <c r="M479" s="12"/>
      <c r="W479" s="16" t="s">
        <v>59</v>
      </c>
      <c r="X479" s="2" t="s">
        <v>66</v>
      </c>
      <c r="Y479" s="7">
        <v>43026</v>
      </c>
      <c r="Z479" s="16" t="s">
        <v>67</v>
      </c>
      <c r="AA479" s="7" t="s">
        <v>3111</v>
      </c>
    </row>
    <row r="480" spans="1:28" ht="15" customHeight="1">
      <c r="A480" s="290"/>
      <c r="C480" s="12">
        <v>31</v>
      </c>
      <c r="D480" s="2">
        <v>19386</v>
      </c>
      <c r="E480" s="2" t="s">
        <v>2438</v>
      </c>
      <c r="F480" s="3">
        <v>28010060111805</v>
      </c>
      <c r="G480" s="2" t="s">
        <v>34</v>
      </c>
      <c r="H480" s="2" t="s">
        <v>2453</v>
      </c>
      <c r="I480" s="12" t="s">
        <v>66</v>
      </c>
      <c r="J480" s="4">
        <v>43001</v>
      </c>
      <c r="K480" s="12" t="s">
        <v>8</v>
      </c>
      <c r="L480" s="12" t="s">
        <v>12</v>
      </c>
      <c r="W480" s="16" t="s">
        <v>59</v>
      </c>
      <c r="X480" s="2" t="s">
        <v>66</v>
      </c>
      <c r="Y480" s="7">
        <v>43026</v>
      </c>
      <c r="Z480" s="16" t="s">
        <v>67</v>
      </c>
      <c r="AA480" s="7" t="s">
        <v>3111</v>
      </c>
    </row>
    <row r="481" spans="1:28" ht="15.75" customHeight="1" thickBot="1">
      <c r="A481" s="291"/>
      <c r="C481" s="28">
        <v>31</v>
      </c>
      <c r="D481" s="28">
        <v>19387</v>
      </c>
      <c r="E481" s="28" t="s">
        <v>2439</v>
      </c>
      <c r="F481" s="29">
        <v>28710090100401</v>
      </c>
      <c r="G481" s="28" t="s">
        <v>34</v>
      </c>
      <c r="H481" s="28" t="s">
        <v>2454</v>
      </c>
      <c r="I481" s="28" t="s">
        <v>66</v>
      </c>
      <c r="J481" s="30">
        <v>43001</v>
      </c>
      <c r="K481" s="28" t="s">
        <v>8</v>
      </c>
      <c r="L481" s="28" t="s">
        <v>12</v>
      </c>
      <c r="M481" s="28"/>
      <c r="N481" s="28"/>
      <c r="O481" s="226"/>
      <c r="P481" s="28"/>
      <c r="Q481" s="226"/>
      <c r="R481" s="28"/>
      <c r="S481" s="28"/>
      <c r="T481" s="28"/>
      <c r="U481" s="28"/>
      <c r="V481" s="28"/>
      <c r="W481" s="28" t="s">
        <v>64</v>
      </c>
      <c r="X481" s="28"/>
      <c r="Y481" s="30"/>
      <c r="Z481" s="28" t="s">
        <v>67</v>
      </c>
      <c r="AA481" s="30" t="s">
        <v>3111</v>
      </c>
      <c r="AB481" s="28"/>
    </row>
    <row r="482" spans="1:28" ht="15.75" customHeight="1" thickTop="1">
      <c r="A482" s="289" t="s">
        <v>3122</v>
      </c>
      <c r="C482" s="12">
        <v>32</v>
      </c>
      <c r="D482" s="2">
        <v>19388</v>
      </c>
      <c r="E482" s="2" t="s">
        <v>2382</v>
      </c>
      <c r="F482" s="3">
        <v>29505180100559</v>
      </c>
      <c r="G482" s="2" t="s">
        <v>34</v>
      </c>
      <c r="H482" s="2" t="s">
        <v>2404</v>
      </c>
      <c r="I482" s="12" t="s">
        <v>66</v>
      </c>
      <c r="J482" s="4">
        <v>43008</v>
      </c>
      <c r="K482" s="12" t="s">
        <v>8</v>
      </c>
      <c r="L482" s="12" t="s">
        <v>12</v>
      </c>
      <c r="W482" s="16" t="s">
        <v>60</v>
      </c>
      <c r="X482" s="2" t="s">
        <v>66</v>
      </c>
      <c r="Y482" s="7">
        <v>43034</v>
      </c>
      <c r="Z482" s="16" t="s">
        <v>66</v>
      </c>
      <c r="AA482" s="7">
        <v>43059</v>
      </c>
    </row>
    <row r="483" spans="1:28" ht="15" customHeight="1">
      <c r="A483" s="290"/>
      <c r="C483" s="12">
        <v>32</v>
      </c>
      <c r="D483" s="2">
        <v>19389</v>
      </c>
      <c r="E483" s="2" t="s">
        <v>2383</v>
      </c>
      <c r="F483" s="3">
        <v>29004300101571</v>
      </c>
      <c r="G483" s="2" t="s">
        <v>34</v>
      </c>
      <c r="H483" s="2" t="s">
        <v>2405</v>
      </c>
      <c r="I483" s="12" t="s">
        <v>66</v>
      </c>
      <c r="J483" s="4">
        <v>43008</v>
      </c>
      <c r="K483" s="12" t="s">
        <v>8</v>
      </c>
      <c r="L483" s="12" t="s">
        <v>12</v>
      </c>
      <c r="W483" s="16" t="s">
        <v>63</v>
      </c>
      <c r="Z483" s="16" t="str">
        <f>IF(OR(W483="Dismissed", W483="Resigned"),"No","")</f>
        <v>No</v>
      </c>
      <c r="AA483" s="7" t="s">
        <v>3111</v>
      </c>
    </row>
    <row r="484" spans="1:28" ht="15" customHeight="1">
      <c r="A484" s="290"/>
      <c r="C484" s="12">
        <v>32</v>
      </c>
      <c r="D484" s="2">
        <v>19390</v>
      </c>
      <c r="E484" s="2" t="s">
        <v>2384</v>
      </c>
      <c r="F484" s="3">
        <v>29409181600068</v>
      </c>
      <c r="G484" s="2" t="s">
        <v>34</v>
      </c>
      <c r="H484" s="2" t="s">
        <v>2406</v>
      </c>
      <c r="I484" s="12" t="s">
        <v>66</v>
      </c>
      <c r="J484" s="4">
        <v>43008</v>
      </c>
      <c r="K484" s="12" t="s">
        <v>8</v>
      </c>
      <c r="L484" s="12" t="s">
        <v>12</v>
      </c>
      <c r="W484" s="16" t="s">
        <v>61</v>
      </c>
      <c r="X484" s="2" t="s">
        <v>66</v>
      </c>
      <c r="Y484" s="7">
        <v>43034</v>
      </c>
      <c r="Z484" s="16" t="s">
        <v>66</v>
      </c>
      <c r="AA484" s="7">
        <v>43114</v>
      </c>
    </row>
    <row r="485" spans="1:28" ht="15" customHeight="1">
      <c r="A485" s="290"/>
      <c r="C485" s="16">
        <v>32</v>
      </c>
      <c r="D485" s="16">
        <v>19391</v>
      </c>
      <c r="E485" s="16" t="s">
        <v>2385</v>
      </c>
      <c r="F485" s="3">
        <v>29409190101538</v>
      </c>
      <c r="G485" s="16" t="s">
        <v>34</v>
      </c>
      <c r="H485" s="16" t="s">
        <v>2407</v>
      </c>
      <c r="I485" s="16" t="s">
        <v>66</v>
      </c>
      <c r="J485" s="45">
        <v>43008</v>
      </c>
      <c r="K485" s="16" t="s">
        <v>8</v>
      </c>
      <c r="L485" s="16" t="s">
        <v>12</v>
      </c>
      <c r="M485" s="16"/>
      <c r="N485" s="16"/>
      <c r="W485" s="16" t="s">
        <v>63</v>
      </c>
      <c r="X485" s="16"/>
      <c r="Y485" s="45"/>
      <c r="Z485" s="16" t="str">
        <f>IF(OR(W485="Dismissed", W485="Resigned"),"No","")</f>
        <v>No</v>
      </c>
      <c r="AA485" s="45" t="s">
        <v>3111</v>
      </c>
      <c r="AB485" s="16"/>
    </row>
    <row r="486" spans="1:28" ht="15" customHeight="1">
      <c r="A486" s="290"/>
      <c r="C486" s="12">
        <v>32</v>
      </c>
      <c r="D486" s="2">
        <v>19392</v>
      </c>
      <c r="E486" s="2" t="s">
        <v>2386</v>
      </c>
      <c r="F486" s="3">
        <v>29008282100193</v>
      </c>
      <c r="G486" s="2" t="s">
        <v>34</v>
      </c>
      <c r="H486" s="2" t="s">
        <v>2408</v>
      </c>
      <c r="I486" s="12" t="s">
        <v>66</v>
      </c>
      <c r="J486" s="4">
        <v>43008</v>
      </c>
      <c r="K486" s="12" t="s">
        <v>8</v>
      </c>
      <c r="L486" s="12" t="s">
        <v>12</v>
      </c>
      <c r="W486" s="16" t="s">
        <v>63</v>
      </c>
      <c r="Z486" s="16" t="str">
        <f>IF(OR(W486="Dismissed", W486="Resigned"),"No","")</f>
        <v>No</v>
      </c>
      <c r="AA486" s="7" t="s">
        <v>3111</v>
      </c>
    </row>
    <row r="487" spans="1:28" ht="15" customHeight="1">
      <c r="A487" s="290"/>
      <c r="C487" s="12">
        <v>32</v>
      </c>
      <c r="D487" s="2">
        <v>19393</v>
      </c>
      <c r="E487" s="2" t="s">
        <v>2387</v>
      </c>
      <c r="F487" s="3">
        <v>29605013400375</v>
      </c>
      <c r="G487" s="12" t="s">
        <v>184</v>
      </c>
      <c r="H487" s="16" t="s">
        <v>2409</v>
      </c>
      <c r="I487" s="12" t="s">
        <v>66</v>
      </c>
      <c r="J487" s="7">
        <v>43008</v>
      </c>
      <c r="K487" s="12" t="s">
        <v>8</v>
      </c>
      <c r="L487" s="12" t="s">
        <v>12</v>
      </c>
      <c r="W487" s="16" t="s">
        <v>111</v>
      </c>
      <c r="Y487" s="7">
        <v>43034</v>
      </c>
      <c r="Z487" s="16" t="s">
        <v>67</v>
      </c>
      <c r="AA487" s="7" t="s">
        <v>3111</v>
      </c>
    </row>
    <row r="488" spans="1:28" ht="15" customHeight="1">
      <c r="A488" s="290"/>
      <c r="C488" s="12">
        <v>32</v>
      </c>
      <c r="D488" s="2">
        <v>19394</v>
      </c>
      <c r="E488" s="2" t="s">
        <v>2388</v>
      </c>
      <c r="F488" s="3">
        <v>29306270100113</v>
      </c>
      <c r="G488" s="2" t="s">
        <v>184</v>
      </c>
      <c r="H488" s="2" t="s">
        <v>2410</v>
      </c>
      <c r="I488" s="12" t="s">
        <v>66</v>
      </c>
      <c r="J488" s="7">
        <v>43008</v>
      </c>
      <c r="K488" s="12" t="s">
        <v>8</v>
      </c>
      <c r="L488" s="12" t="s">
        <v>12</v>
      </c>
      <c r="W488" s="16" t="s">
        <v>60</v>
      </c>
      <c r="Y488" s="7">
        <v>43034</v>
      </c>
      <c r="Z488" s="16" t="s">
        <v>66</v>
      </c>
      <c r="AA488" s="7">
        <v>43052</v>
      </c>
    </row>
    <row r="489" spans="1:28" ht="15" customHeight="1">
      <c r="A489" s="290"/>
      <c r="C489" s="12">
        <v>32</v>
      </c>
      <c r="D489" s="2">
        <v>19395</v>
      </c>
      <c r="E489" s="2" t="s">
        <v>2389</v>
      </c>
      <c r="F489" s="3">
        <v>29509071600709</v>
      </c>
      <c r="G489" s="2" t="s">
        <v>34</v>
      </c>
      <c r="H489" s="2" t="s">
        <v>2411</v>
      </c>
      <c r="I489" s="12" t="s">
        <v>66</v>
      </c>
      <c r="J489" s="7">
        <v>43008</v>
      </c>
      <c r="K489" s="12" t="s">
        <v>8</v>
      </c>
      <c r="L489" s="12" t="s">
        <v>12</v>
      </c>
      <c r="M489" s="12"/>
      <c r="W489" s="16" t="s">
        <v>61</v>
      </c>
      <c r="Y489" s="7">
        <v>43034</v>
      </c>
      <c r="Z489" s="16" t="s">
        <v>67</v>
      </c>
      <c r="AA489" s="7" t="s">
        <v>3111</v>
      </c>
    </row>
    <row r="490" spans="1:28" ht="15" customHeight="1">
      <c r="A490" s="290"/>
      <c r="C490" s="12">
        <v>32</v>
      </c>
      <c r="D490" s="2">
        <v>19396</v>
      </c>
      <c r="E490" s="2" t="s">
        <v>2390</v>
      </c>
      <c r="F490" s="3">
        <v>29105062102379</v>
      </c>
      <c r="G490" s="12" t="s">
        <v>34</v>
      </c>
      <c r="H490" s="2" t="s">
        <v>2412</v>
      </c>
      <c r="I490" s="12" t="s">
        <v>66</v>
      </c>
      <c r="J490" s="7">
        <v>43008</v>
      </c>
      <c r="K490" s="12" t="s">
        <v>8</v>
      </c>
      <c r="L490" s="12" t="s">
        <v>12</v>
      </c>
      <c r="W490" s="16" t="s">
        <v>60</v>
      </c>
      <c r="Y490" s="7">
        <v>43034</v>
      </c>
      <c r="Z490" s="16" t="s">
        <v>66</v>
      </c>
      <c r="AA490" s="7">
        <v>43045</v>
      </c>
    </row>
    <row r="491" spans="1:28" ht="15" customHeight="1">
      <c r="A491" s="290"/>
      <c r="C491" s="12">
        <v>32</v>
      </c>
      <c r="D491" s="2">
        <v>17394</v>
      </c>
      <c r="E491" s="2" t="s">
        <v>2391</v>
      </c>
      <c r="F491" s="3">
        <v>29111010100971</v>
      </c>
      <c r="G491" s="12" t="s">
        <v>34</v>
      </c>
      <c r="H491" s="2" t="s">
        <v>2413</v>
      </c>
      <c r="I491" s="12" t="s">
        <v>67</v>
      </c>
      <c r="J491" s="7">
        <v>43008</v>
      </c>
      <c r="K491" s="12" t="s">
        <v>8</v>
      </c>
      <c r="L491" s="12" t="s">
        <v>12</v>
      </c>
      <c r="W491" s="16" t="s">
        <v>60</v>
      </c>
      <c r="X491" s="2" t="s">
        <v>66</v>
      </c>
      <c r="Y491" s="7">
        <v>43034</v>
      </c>
      <c r="Z491" s="16" t="s">
        <v>66</v>
      </c>
      <c r="AA491" s="7">
        <v>43059</v>
      </c>
    </row>
    <row r="492" spans="1:28" ht="15" customHeight="1">
      <c r="A492" s="290"/>
      <c r="C492" s="12">
        <v>32</v>
      </c>
      <c r="D492" s="2">
        <v>19397</v>
      </c>
      <c r="E492" s="2" t="s">
        <v>2392</v>
      </c>
      <c r="F492" s="3">
        <v>28211080101992</v>
      </c>
      <c r="G492" s="12" t="s">
        <v>34</v>
      </c>
      <c r="H492" s="2" t="s">
        <v>2414</v>
      </c>
      <c r="I492" s="12" t="s">
        <v>66</v>
      </c>
      <c r="J492" s="7">
        <v>43008</v>
      </c>
      <c r="K492" s="12" t="s">
        <v>8</v>
      </c>
      <c r="L492" s="12" t="s">
        <v>12</v>
      </c>
      <c r="W492" s="16" t="s">
        <v>61</v>
      </c>
      <c r="X492" s="2" t="s">
        <v>66</v>
      </c>
      <c r="Y492" s="7">
        <v>43034</v>
      </c>
      <c r="Z492" s="16" t="s">
        <v>66</v>
      </c>
      <c r="AA492" s="7">
        <v>43094</v>
      </c>
    </row>
    <row r="493" spans="1:28" ht="15" customHeight="1">
      <c r="A493" s="290"/>
      <c r="C493" s="16">
        <v>32</v>
      </c>
      <c r="D493" s="16">
        <v>19398</v>
      </c>
      <c r="E493" s="16" t="s">
        <v>2393</v>
      </c>
      <c r="F493" s="3">
        <v>29312310107817</v>
      </c>
      <c r="G493" s="16" t="s">
        <v>184</v>
      </c>
      <c r="H493" s="16" t="s">
        <v>2415</v>
      </c>
      <c r="I493" s="16" t="s">
        <v>66</v>
      </c>
      <c r="J493" s="45">
        <v>43008</v>
      </c>
      <c r="K493" s="16" t="s">
        <v>8</v>
      </c>
      <c r="L493" s="16" t="s">
        <v>12</v>
      </c>
      <c r="M493" s="16"/>
      <c r="N493" s="16"/>
      <c r="W493" s="16" t="s">
        <v>61</v>
      </c>
      <c r="X493" s="16" t="s">
        <v>66</v>
      </c>
      <c r="Y493" s="45">
        <v>43034</v>
      </c>
      <c r="Z493" s="16" t="s">
        <v>66</v>
      </c>
      <c r="AA493" s="45">
        <v>43094</v>
      </c>
      <c r="AB493" s="16"/>
    </row>
    <row r="494" spans="1:28" ht="15" customHeight="1">
      <c r="A494" s="290"/>
      <c r="C494" s="12">
        <v>32</v>
      </c>
      <c r="D494" s="2">
        <v>19399</v>
      </c>
      <c r="E494" s="2" t="s">
        <v>2394</v>
      </c>
      <c r="F494" s="3">
        <v>29409181601927</v>
      </c>
      <c r="G494" s="12" t="s">
        <v>34</v>
      </c>
      <c r="H494" s="2" t="s">
        <v>2416</v>
      </c>
      <c r="I494" s="12" t="s">
        <v>66</v>
      </c>
      <c r="J494" s="7">
        <v>43008</v>
      </c>
      <c r="K494" s="12" t="s">
        <v>8</v>
      </c>
      <c r="L494" s="12" t="s">
        <v>12</v>
      </c>
      <c r="W494" s="16" t="s">
        <v>60</v>
      </c>
      <c r="Y494" s="7">
        <v>43034</v>
      </c>
      <c r="Z494" s="16" t="s">
        <v>66</v>
      </c>
      <c r="AA494" s="7">
        <v>43045</v>
      </c>
    </row>
    <row r="495" spans="1:28" ht="15" customHeight="1">
      <c r="A495" s="290"/>
      <c r="C495" s="12">
        <v>32</v>
      </c>
      <c r="D495" s="2">
        <v>19400</v>
      </c>
      <c r="E495" s="2" t="s">
        <v>2395</v>
      </c>
      <c r="F495" s="3">
        <v>29601172100484</v>
      </c>
      <c r="G495" s="12" t="s">
        <v>34</v>
      </c>
      <c r="H495" s="2" t="s">
        <v>2417</v>
      </c>
      <c r="I495" s="12" t="s">
        <v>66</v>
      </c>
      <c r="J495" s="7">
        <v>43008</v>
      </c>
      <c r="K495" s="12" t="s">
        <v>8</v>
      </c>
      <c r="L495" s="12" t="s">
        <v>12</v>
      </c>
      <c r="W495" s="16" t="s">
        <v>111</v>
      </c>
      <c r="X495" s="2" t="s">
        <v>66</v>
      </c>
      <c r="Y495" s="7">
        <v>43034</v>
      </c>
      <c r="Z495" s="16" t="s">
        <v>67</v>
      </c>
      <c r="AA495" s="7" t="s">
        <v>3111</v>
      </c>
    </row>
    <row r="496" spans="1:28" ht="15" customHeight="1">
      <c r="A496" s="290"/>
      <c r="C496" s="12">
        <v>32</v>
      </c>
      <c r="D496" s="2">
        <v>19401</v>
      </c>
      <c r="E496" s="2" t="s">
        <v>2396</v>
      </c>
      <c r="F496" s="3" t="s">
        <v>2397</v>
      </c>
      <c r="G496" s="12" t="s">
        <v>184</v>
      </c>
      <c r="H496" s="2" t="s">
        <v>2418</v>
      </c>
      <c r="I496" s="12" t="s">
        <v>66</v>
      </c>
      <c r="J496" s="7">
        <v>43008</v>
      </c>
      <c r="K496" s="12" t="s">
        <v>8</v>
      </c>
      <c r="L496" s="12" t="s">
        <v>12</v>
      </c>
      <c r="W496" s="16" t="s">
        <v>60</v>
      </c>
      <c r="Y496" s="7">
        <v>43034</v>
      </c>
      <c r="Z496" s="16" t="s">
        <v>66</v>
      </c>
      <c r="AA496" s="7">
        <v>43052</v>
      </c>
    </row>
    <row r="497" spans="1:28" ht="15" customHeight="1">
      <c r="A497" s="290"/>
      <c r="C497" s="12">
        <v>32</v>
      </c>
      <c r="D497" s="2">
        <v>19402</v>
      </c>
      <c r="E497" s="2" t="s">
        <v>2398</v>
      </c>
      <c r="F497" s="3">
        <v>29404140101489</v>
      </c>
      <c r="G497" s="2" t="s">
        <v>34</v>
      </c>
      <c r="H497" s="2" t="s">
        <v>2419</v>
      </c>
      <c r="I497" s="12" t="s">
        <v>66</v>
      </c>
      <c r="J497" s="7">
        <v>43008</v>
      </c>
      <c r="K497" s="12" t="s">
        <v>8</v>
      </c>
      <c r="L497" s="12" t="s">
        <v>12</v>
      </c>
      <c r="W497" s="16" t="s">
        <v>111</v>
      </c>
      <c r="X497" s="2" t="s">
        <v>66</v>
      </c>
      <c r="Y497" s="7">
        <v>43034</v>
      </c>
      <c r="Z497" s="16" t="s">
        <v>67</v>
      </c>
      <c r="AA497" s="7" t="s">
        <v>3111</v>
      </c>
    </row>
    <row r="498" spans="1:28" ht="15" customHeight="1">
      <c r="A498" s="290"/>
      <c r="C498" s="12">
        <v>32</v>
      </c>
      <c r="D498" s="2">
        <v>19403</v>
      </c>
      <c r="E498" s="2" t="s">
        <v>2399</v>
      </c>
      <c r="F498" s="3">
        <v>29505262100743</v>
      </c>
      <c r="G498" s="2" t="s">
        <v>34</v>
      </c>
      <c r="H498" s="2" t="s">
        <v>2420</v>
      </c>
      <c r="I498" s="12" t="s">
        <v>66</v>
      </c>
      <c r="J498" s="7">
        <v>43008</v>
      </c>
      <c r="K498" s="12" t="s">
        <v>8</v>
      </c>
      <c r="L498" s="12" t="s">
        <v>12</v>
      </c>
      <c r="W498" s="16" t="s">
        <v>60</v>
      </c>
      <c r="Y498" s="7">
        <v>43034</v>
      </c>
      <c r="Z498" s="16" t="s">
        <v>66</v>
      </c>
      <c r="AA498" s="7">
        <v>43040</v>
      </c>
    </row>
    <row r="499" spans="1:28" ht="15" customHeight="1">
      <c r="A499" s="290"/>
      <c r="C499" s="12">
        <v>32</v>
      </c>
      <c r="D499" s="2">
        <v>19404</v>
      </c>
      <c r="E499" s="2" t="s">
        <v>2400</v>
      </c>
      <c r="F499" s="3">
        <v>29306278800149</v>
      </c>
      <c r="G499" s="2" t="s">
        <v>34</v>
      </c>
      <c r="H499" s="2" t="s">
        <v>2421</v>
      </c>
      <c r="I499" s="12" t="s">
        <v>66</v>
      </c>
      <c r="J499" s="7">
        <v>43008</v>
      </c>
      <c r="K499" s="12" t="s">
        <v>8</v>
      </c>
      <c r="L499" s="12" t="s">
        <v>12</v>
      </c>
      <c r="W499" s="16" t="s">
        <v>60</v>
      </c>
      <c r="Y499" s="7">
        <v>43034</v>
      </c>
      <c r="Z499" s="16" t="s">
        <v>66</v>
      </c>
      <c r="AA499" s="7">
        <v>43040</v>
      </c>
    </row>
    <row r="500" spans="1:28" ht="15" customHeight="1">
      <c r="A500" s="290"/>
      <c r="C500" s="12">
        <v>32</v>
      </c>
      <c r="D500" s="2">
        <v>19405</v>
      </c>
      <c r="E500" s="2" t="s">
        <v>2401</v>
      </c>
      <c r="F500" s="3">
        <v>29507011705649</v>
      </c>
      <c r="G500" s="2" t="s">
        <v>34</v>
      </c>
      <c r="H500" s="2" t="s">
        <v>2422</v>
      </c>
      <c r="I500" s="12" t="s">
        <v>66</v>
      </c>
      <c r="J500" s="4">
        <v>43008</v>
      </c>
      <c r="K500" s="12" t="s">
        <v>8</v>
      </c>
      <c r="L500" s="12" t="s">
        <v>12</v>
      </c>
      <c r="W500" s="16" t="s">
        <v>60</v>
      </c>
      <c r="X500" s="2" t="s">
        <v>66</v>
      </c>
      <c r="Y500" s="7">
        <v>43034</v>
      </c>
      <c r="Z500" s="16" t="s">
        <v>66</v>
      </c>
      <c r="AA500" s="7">
        <v>43059</v>
      </c>
    </row>
    <row r="501" spans="1:28" ht="15" customHeight="1">
      <c r="A501" s="290"/>
      <c r="C501" s="12">
        <v>32</v>
      </c>
      <c r="D501" s="2">
        <v>19406</v>
      </c>
      <c r="E501" s="2" t="s">
        <v>2402</v>
      </c>
      <c r="F501" s="3">
        <v>29505262100069</v>
      </c>
      <c r="G501" s="15" t="s">
        <v>34</v>
      </c>
      <c r="H501" s="2" t="s">
        <v>2423</v>
      </c>
      <c r="I501" s="12" t="s">
        <v>66</v>
      </c>
      <c r="J501" s="4">
        <v>43008</v>
      </c>
      <c r="K501" s="12" t="s">
        <v>8</v>
      </c>
      <c r="L501" s="12" t="s">
        <v>12</v>
      </c>
      <c r="W501" s="16" t="s">
        <v>61</v>
      </c>
      <c r="X501" s="2" t="s">
        <v>66</v>
      </c>
      <c r="Y501" s="7">
        <v>43034</v>
      </c>
      <c r="Z501" s="16" t="s">
        <v>67</v>
      </c>
    </row>
    <row r="502" spans="1:28" ht="15.75" customHeight="1" thickBot="1">
      <c r="A502" s="291"/>
      <c r="C502" s="28">
        <v>32</v>
      </c>
      <c r="D502" s="28">
        <v>19407</v>
      </c>
      <c r="E502" s="28" t="s">
        <v>2403</v>
      </c>
      <c r="F502" s="29">
        <v>29507122100428</v>
      </c>
      <c r="G502" s="28" t="s">
        <v>34</v>
      </c>
      <c r="H502" s="28" t="s">
        <v>2424</v>
      </c>
      <c r="I502" s="28" t="s">
        <v>66</v>
      </c>
      <c r="J502" s="30">
        <v>43008</v>
      </c>
      <c r="K502" s="28" t="s">
        <v>8</v>
      </c>
      <c r="L502" s="28" t="s">
        <v>12</v>
      </c>
      <c r="M502" s="28"/>
      <c r="N502" s="28"/>
      <c r="O502" s="226"/>
      <c r="P502" s="28"/>
      <c r="Q502" s="226"/>
      <c r="R502" s="28"/>
      <c r="S502" s="28"/>
      <c r="T502" s="28"/>
      <c r="U502" s="28"/>
      <c r="V502" s="28"/>
      <c r="W502" s="28" t="s">
        <v>111</v>
      </c>
      <c r="X502" s="28" t="s">
        <v>66</v>
      </c>
      <c r="Y502" s="30">
        <v>43034</v>
      </c>
      <c r="Z502" s="28" t="s">
        <v>67</v>
      </c>
      <c r="AA502" s="30"/>
      <c r="AB502" s="28"/>
    </row>
    <row r="503" spans="1:28" ht="15.75" customHeight="1" thickTop="1">
      <c r="A503" s="289" t="s">
        <v>3118</v>
      </c>
      <c r="C503" s="16">
        <v>33</v>
      </c>
      <c r="D503" s="16">
        <v>15552</v>
      </c>
      <c r="E503" s="16" t="s">
        <v>2358</v>
      </c>
      <c r="F503" s="3" t="s">
        <v>2359</v>
      </c>
      <c r="G503" s="16" t="s">
        <v>34</v>
      </c>
      <c r="H503" s="16" t="s">
        <v>2376</v>
      </c>
      <c r="I503" s="16" t="s">
        <v>66</v>
      </c>
      <c r="J503" s="7">
        <v>43015</v>
      </c>
      <c r="K503" s="16" t="s">
        <v>8</v>
      </c>
      <c r="L503" s="16" t="s">
        <v>12</v>
      </c>
      <c r="M503" s="16"/>
      <c r="N503" s="16"/>
      <c r="X503" s="16"/>
      <c r="Y503" s="7">
        <v>43040</v>
      </c>
      <c r="Z503" s="16" t="s">
        <v>67</v>
      </c>
      <c r="AB503" s="16"/>
    </row>
    <row r="504" spans="1:28" ht="15" customHeight="1">
      <c r="A504" s="290"/>
      <c r="C504" s="16">
        <v>33</v>
      </c>
      <c r="D504" s="16">
        <v>19408</v>
      </c>
      <c r="E504" s="16" t="s">
        <v>2355</v>
      </c>
      <c r="F504" s="3">
        <v>29502011320834</v>
      </c>
      <c r="G504" s="16" t="s">
        <v>4</v>
      </c>
      <c r="H504" s="16" t="s">
        <v>2373</v>
      </c>
      <c r="I504" s="16" t="s">
        <v>66</v>
      </c>
      <c r="J504" s="45">
        <v>43015</v>
      </c>
      <c r="K504" s="16" t="s">
        <v>8</v>
      </c>
      <c r="L504" s="16" t="s">
        <v>12</v>
      </c>
      <c r="M504" s="16"/>
      <c r="N504" s="16"/>
      <c r="W504" s="16" t="s">
        <v>60</v>
      </c>
      <c r="X504" s="16"/>
      <c r="Y504" s="45">
        <v>43040</v>
      </c>
      <c r="Z504" s="16" t="s">
        <v>66</v>
      </c>
      <c r="AA504" s="45">
        <v>43052</v>
      </c>
      <c r="AB504" s="16"/>
    </row>
    <row r="505" spans="1:28" ht="15" customHeight="1">
      <c r="A505" s="290"/>
      <c r="C505" s="12">
        <v>33</v>
      </c>
      <c r="D505" s="2">
        <v>19409</v>
      </c>
      <c r="E505" s="2" t="s">
        <v>2350</v>
      </c>
      <c r="F505" s="3">
        <v>29302102401447</v>
      </c>
      <c r="G505" s="2" t="s">
        <v>34</v>
      </c>
      <c r="H505" s="2" t="s">
        <v>2368</v>
      </c>
      <c r="I505" s="12" t="s">
        <v>66</v>
      </c>
      <c r="J505" s="4">
        <v>43015</v>
      </c>
      <c r="K505" s="12" t="s">
        <v>8</v>
      </c>
      <c r="L505" s="12" t="s">
        <v>12</v>
      </c>
      <c r="W505" s="16" t="s">
        <v>111</v>
      </c>
      <c r="Y505" s="7">
        <v>43040</v>
      </c>
      <c r="Z505" s="16" t="s">
        <v>67</v>
      </c>
      <c r="AA505" s="7" t="s">
        <v>3111</v>
      </c>
    </row>
    <row r="506" spans="1:28" ht="15" customHeight="1">
      <c r="A506" s="290"/>
      <c r="C506" s="12">
        <v>33</v>
      </c>
      <c r="D506" s="2">
        <v>19410</v>
      </c>
      <c r="E506" s="2" t="s">
        <v>2360</v>
      </c>
      <c r="F506" s="3">
        <v>29107088800735</v>
      </c>
      <c r="G506" s="12" t="s">
        <v>34</v>
      </c>
      <c r="H506" s="2" t="s">
        <v>2377</v>
      </c>
      <c r="I506" s="12" t="s">
        <v>66</v>
      </c>
      <c r="J506" s="4">
        <v>43015</v>
      </c>
      <c r="K506" s="12" t="s">
        <v>8</v>
      </c>
      <c r="L506" s="12" t="s">
        <v>12</v>
      </c>
      <c r="W506" s="16" t="s">
        <v>60</v>
      </c>
      <c r="Y506" s="7">
        <v>43040</v>
      </c>
      <c r="Z506" s="16" t="s">
        <v>66</v>
      </c>
      <c r="AA506" s="7">
        <v>43052</v>
      </c>
    </row>
    <row r="507" spans="1:28" ht="15" customHeight="1">
      <c r="A507" s="290"/>
      <c r="C507" s="12">
        <v>33</v>
      </c>
      <c r="D507" s="2">
        <v>19411</v>
      </c>
      <c r="E507" s="2" t="s">
        <v>2361</v>
      </c>
      <c r="F507" s="3">
        <v>29707151202808</v>
      </c>
      <c r="G507" s="2" t="s">
        <v>4</v>
      </c>
      <c r="H507" s="2" t="s">
        <v>2378</v>
      </c>
      <c r="I507" s="12" t="s">
        <v>66</v>
      </c>
      <c r="J507" s="4">
        <v>43015</v>
      </c>
      <c r="K507" s="12" t="s">
        <v>8</v>
      </c>
      <c r="L507" s="12" t="s">
        <v>12</v>
      </c>
      <c r="W507" s="16" t="s">
        <v>64</v>
      </c>
      <c r="Y507" s="7">
        <v>43040</v>
      </c>
      <c r="Z507" s="16" t="s">
        <v>67</v>
      </c>
      <c r="AA507" s="7" t="s">
        <v>3111</v>
      </c>
    </row>
    <row r="508" spans="1:28" ht="15" customHeight="1">
      <c r="A508" s="290"/>
      <c r="C508" s="12">
        <v>33</v>
      </c>
      <c r="D508" s="2">
        <v>19412</v>
      </c>
      <c r="E508" s="2" t="s">
        <v>2363</v>
      </c>
      <c r="F508" s="3">
        <v>29512120102524</v>
      </c>
      <c r="G508" s="2" t="s">
        <v>34</v>
      </c>
      <c r="H508" s="2" t="s">
        <v>2380</v>
      </c>
      <c r="I508" s="12" t="s">
        <v>66</v>
      </c>
      <c r="J508" s="4">
        <v>43015</v>
      </c>
      <c r="K508" s="12" t="s">
        <v>8</v>
      </c>
      <c r="L508" s="12" t="s">
        <v>12</v>
      </c>
      <c r="W508" s="16" t="s">
        <v>111</v>
      </c>
      <c r="Y508" s="7">
        <v>43040</v>
      </c>
      <c r="Z508" s="16" t="s">
        <v>66</v>
      </c>
      <c r="AA508" s="7">
        <v>43051</v>
      </c>
    </row>
    <row r="509" spans="1:28" ht="15" customHeight="1">
      <c r="A509" s="290"/>
      <c r="C509" s="16">
        <v>33</v>
      </c>
      <c r="D509" s="16">
        <v>19413</v>
      </c>
      <c r="E509" s="16" t="s">
        <v>2364</v>
      </c>
      <c r="F509" s="3">
        <v>29506060102384</v>
      </c>
      <c r="G509" s="16" t="s">
        <v>34</v>
      </c>
      <c r="H509" s="16" t="s">
        <v>2381</v>
      </c>
      <c r="I509" s="16" t="s">
        <v>66</v>
      </c>
      <c r="J509" s="45">
        <v>43015</v>
      </c>
      <c r="K509" s="16" t="s">
        <v>8</v>
      </c>
      <c r="L509" s="16" t="s">
        <v>12</v>
      </c>
      <c r="M509" s="16"/>
      <c r="N509" s="16"/>
      <c r="W509" s="16" t="s">
        <v>61</v>
      </c>
      <c r="X509" s="16"/>
      <c r="Y509" s="45">
        <v>43040</v>
      </c>
      <c r="Z509" s="16" t="s">
        <v>67</v>
      </c>
      <c r="AA509" s="45" t="s">
        <v>3111</v>
      </c>
      <c r="AB509" s="16"/>
    </row>
    <row r="510" spans="1:28" ht="15" customHeight="1">
      <c r="A510" s="290"/>
      <c r="C510" s="12">
        <v>33</v>
      </c>
      <c r="D510" s="2">
        <v>19414</v>
      </c>
      <c r="E510" s="2" t="s">
        <v>2362</v>
      </c>
      <c r="F510" s="3">
        <v>28309011505411</v>
      </c>
      <c r="G510" s="2" t="s">
        <v>34</v>
      </c>
      <c r="H510" s="2" t="s">
        <v>2379</v>
      </c>
      <c r="I510" s="12" t="s">
        <v>66</v>
      </c>
      <c r="J510" s="4">
        <v>43015</v>
      </c>
      <c r="K510" s="12" t="s">
        <v>8</v>
      </c>
      <c r="L510" s="12" t="s">
        <v>12</v>
      </c>
      <c r="W510" s="16" t="s">
        <v>60</v>
      </c>
      <c r="Y510" s="7">
        <v>43040</v>
      </c>
      <c r="Z510" s="16" t="s">
        <v>66</v>
      </c>
      <c r="AA510" s="7">
        <v>43109</v>
      </c>
      <c r="AB510" s="2" t="s">
        <v>3178</v>
      </c>
    </row>
    <row r="511" spans="1:28" ht="15" customHeight="1">
      <c r="A511" s="290"/>
      <c r="C511" s="15">
        <v>33</v>
      </c>
      <c r="D511" s="2">
        <v>19415</v>
      </c>
      <c r="E511" s="2" t="s">
        <v>2349</v>
      </c>
      <c r="F511" s="3">
        <v>29510252104183</v>
      </c>
      <c r="G511" s="15" t="s">
        <v>34</v>
      </c>
      <c r="H511" s="2" t="s">
        <v>2367</v>
      </c>
      <c r="I511" s="15" t="s">
        <v>66</v>
      </c>
      <c r="J511" s="7">
        <v>43015</v>
      </c>
      <c r="K511" s="15" t="s">
        <v>8</v>
      </c>
      <c r="L511" s="15" t="s">
        <v>12</v>
      </c>
      <c r="W511" s="16" t="s">
        <v>60</v>
      </c>
      <c r="Y511" s="7">
        <v>43040</v>
      </c>
      <c r="Z511" s="16" t="s">
        <v>67</v>
      </c>
      <c r="AA511" s="7" t="s">
        <v>3111</v>
      </c>
    </row>
    <row r="512" spans="1:28" ht="15" customHeight="1">
      <c r="A512" s="290"/>
      <c r="C512" s="15">
        <v>33</v>
      </c>
      <c r="D512" s="2">
        <v>19416</v>
      </c>
      <c r="E512" s="2" t="s">
        <v>2352</v>
      </c>
      <c r="F512" s="3">
        <v>29008190101321</v>
      </c>
      <c r="G512" s="2" t="s">
        <v>34</v>
      </c>
      <c r="H512" s="2" t="s">
        <v>2370</v>
      </c>
      <c r="I512" s="15" t="s">
        <v>66</v>
      </c>
      <c r="J512" s="4">
        <v>43015</v>
      </c>
      <c r="K512" s="15" t="s">
        <v>8</v>
      </c>
      <c r="L512" s="15" t="s">
        <v>12</v>
      </c>
      <c r="W512" s="16" t="s">
        <v>61</v>
      </c>
      <c r="X512" s="2" t="s">
        <v>66</v>
      </c>
      <c r="Y512" s="7">
        <v>43040</v>
      </c>
      <c r="Z512" s="16" t="s">
        <v>66</v>
      </c>
      <c r="AA512" s="7">
        <v>43080</v>
      </c>
    </row>
    <row r="513" spans="1:28" ht="15" customHeight="1">
      <c r="A513" s="290"/>
      <c r="C513" s="16">
        <v>33</v>
      </c>
      <c r="D513" s="16">
        <v>19417</v>
      </c>
      <c r="E513" s="16" t="s">
        <v>2351</v>
      </c>
      <c r="F513" s="3">
        <v>27806238800141</v>
      </c>
      <c r="G513" s="16" t="s">
        <v>34</v>
      </c>
      <c r="H513" s="16" t="s">
        <v>2369</v>
      </c>
      <c r="I513" s="16" t="s">
        <v>66</v>
      </c>
      <c r="J513" s="7">
        <v>43015</v>
      </c>
      <c r="K513" s="16" t="s">
        <v>8</v>
      </c>
      <c r="L513" s="16" t="s">
        <v>12</v>
      </c>
      <c r="M513" s="16"/>
      <c r="N513" s="16"/>
      <c r="W513" s="16" t="s">
        <v>61</v>
      </c>
      <c r="X513" s="16" t="s">
        <v>66</v>
      </c>
      <c r="Y513" s="7">
        <v>43040</v>
      </c>
      <c r="Z513" s="16" t="s">
        <v>66</v>
      </c>
      <c r="AA513" s="7">
        <v>43080</v>
      </c>
      <c r="AB513" s="16"/>
    </row>
    <row r="514" spans="1:28" ht="15" customHeight="1">
      <c r="A514" s="290"/>
      <c r="C514" s="15">
        <v>33</v>
      </c>
      <c r="D514" s="2">
        <v>19418</v>
      </c>
      <c r="E514" s="2" t="s">
        <v>2353</v>
      </c>
      <c r="F514" s="3">
        <v>29509262102849</v>
      </c>
      <c r="G514" s="2" t="s">
        <v>34</v>
      </c>
      <c r="H514" s="2" t="s">
        <v>2371</v>
      </c>
      <c r="I514" s="15" t="s">
        <v>66</v>
      </c>
      <c r="J514" s="4">
        <v>43015</v>
      </c>
      <c r="K514" s="15" t="s">
        <v>8</v>
      </c>
      <c r="L514" s="15" t="s">
        <v>12</v>
      </c>
      <c r="W514" s="16" t="s">
        <v>111</v>
      </c>
      <c r="Y514" s="7">
        <v>43040</v>
      </c>
      <c r="Z514" s="16" t="s">
        <v>67</v>
      </c>
      <c r="AA514" s="7" t="s">
        <v>3111</v>
      </c>
    </row>
    <row r="515" spans="1:28" ht="15" customHeight="1">
      <c r="A515" s="290"/>
      <c r="C515" s="15">
        <v>33</v>
      </c>
      <c r="D515" s="2">
        <v>19419</v>
      </c>
      <c r="E515" s="2" t="s">
        <v>2357</v>
      </c>
      <c r="F515" s="3">
        <v>28304151402695</v>
      </c>
      <c r="G515" s="2" t="s">
        <v>34</v>
      </c>
      <c r="H515" s="2" t="s">
        <v>2375</v>
      </c>
      <c r="I515" s="15" t="s">
        <v>66</v>
      </c>
      <c r="J515" s="4">
        <v>43015</v>
      </c>
      <c r="K515" s="15" t="s">
        <v>8</v>
      </c>
      <c r="L515" s="15" t="s">
        <v>12</v>
      </c>
      <c r="W515" s="16" t="s">
        <v>64</v>
      </c>
      <c r="Y515" s="7">
        <v>43040</v>
      </c>
      <c r="Z515" s="16" t="s">
        <v>67</v>
      </c>
      <c r="AA515" s="7" t="s">
        <v>3111</v>
      </c>
      <c r="AB515" s="2" t="s">
        <v>6744</v>
      </c>
    </row>
    <row r="516" spans="1:28" ht="15" customHeight="1">
      <c r="A516" s="290"/>
      <c r="C516" s="15">
        <v>33</v>
      </c>
      <c r="D516" s="2">
        <v>19420</v>
      </c>
      <c r="E516" s="2" t="s">
        <v>2354</v>
      </c>
      <c r="F516" s="3">
        <v>29509302105862</v>
      </c>
      <c r="G516" s="2" t="s">
        <v>34</v>
      </c>
      <c r="H516" s="2" t="s">
        <v>2372</v>
      </c>
      <c r="I516" s="15" t="s">
        <v>66</v>
      </c>
      <c r="J516" s="4">
        <v>43015</v>
      </c>
      <c r="K516" s="15" t="s">
        <v>8</v>
      </c>
      <c r="L516" s="15" t="s">
        <v>12</v>
      </c>
      <c r="W516" s="16" t="s">
        <v>61</v>
      </c>
      <c r="Y516" s="7">
        <v>43040</v>
      </c>
      <c r="Z516" s="16" t="s">
        <v>67</v>
      </c>
      <c r="AA516" s="7" t="s">
        <v>3111</v>
      </c>
    </row>
    <row r="517" spans="1:28" ht="15" customHeight="1">
      <c r="A517" s="290"/>
      <c r="C517" s="15">
        <v>33</v>
      </c>
      <c r="D517" s="2">
        <v>19421</v>
      </c>
      <c r="E517" s="2" t="s">
        <v>2347</v>
      </c>
      <c r="F517" s="3">
        <v>29405228800316</v>
      </c>
      <c r="G517" s="2" t="s">
        <v>34</v>
      </c>
      <c r="H517" s="2" t="s">
        <v>2365</v>
      </c>
      <c r="I517" s="15" t="s">
        <v>66</v>
      </c>
      <c r="J517" s="4">
        <v>43015</v>
      </c>
      <c r="K517" s="15" t="s">
        <v>8</v>
      </c>
      <c r="L517" s="15" t="s">
        <v>12</v>
      </c>
      <c r="W517" s="16" t="s">
        <v>60</v>
      </c>
      <c r="Y517" s="7">
        <v>43040</v>
      </c>
      <c r="Z517" s="16" t="s">
        <v>66</v>
      </c>
      <c r="AA517" s="7">
        <v>43052</v>
      </c>
    </row>
    <row r="518" spans="1:28" ht="15" customHeight="1">
      <c r="A518" s="290"/>
      <c r="C518" s="15">
        <v>33</v>
      </c>
      <c r="D518" s="2">
        <v>19422</v>
      </c>
      <c r="E518" s="2" t="s">
        <v>2356</v>
      </c>
      <c r="F518" s="3">
        <v>29404050103598</v>
      </c>
      <c r="G518" s="2" t="s">
        <v>34</v>
      </c>
      <c r="H518" s="2" t="s">
        <v>2374</v>
      </c>
      <c r="I518" s="15" t="s">
        <v>66</v>
      </c>
      <c r="J518" s="4">
        <v>43015</v>
      </c>
      <c r="K518" s="15" t="s">
        <v>8</v>
      </c>
      <c r="L518" s="15" t="s">
        <v>12</v>
      </c>
      <c r="W518" s="16" t="s">
        <v>111</v>
      </c>
      <c r="X518" s="2" t="s">
        <v>66</v>
      </c>
      <c r="Y518" s="7">
        <v>43040</v>
      </c>
      <c r="Z518" s="16" t="s">
        <v>67</v>
      </c>
      <c r="AA518" s="7" t="s">
        <v>3111</v>
      </c>
    </row>
    <row r="519" spans="1:28" ht="15.75" customHeight="1" thickBot="1">
      <c r="A519" s="291"/>
      <c r="C519" s="28">
        <v>33</v>
      </c>
      <c r="D519" s="28">
        <v>19423</v>
      </c>
      <c r="E519" s="28" t="s">
        <v>2348</v>
      </c>
      <c r="F519" s="29">
        <v>29412241601191</v>
      </c>
      <c r="G519" s="28" t="s">
        <v>34</v>
      </c>
      <c r="H519" s="28" t="s">
        <v>2366</v>
      </c>
      <c r="I519" s="28" t="s">
        <v>66</v>
      </c>
      <c r="J519" s="30">
        <v>43015</v>
      </c>
      <c r="K519" s="28" t="s">
        <v>8</v>
      </c>
      <c r="L519" s="28" t="s">
        <v>12</v>
      </c>
      <c r="M519" s="28"/>
      <c r="N519" s="28"/>
      <c r="O519" s="226"/>
      <c r="P519" s="28"/>
      <c r="Q519" s="226"/>
      <c r="R519" s="28"/>
      <c r="S519" s="28"/>
      <c r="T519" s="28"/>
      <c r="U519" s="28"/>
      <c r="V519" s="28"/>
      <c r="W519" s="28" t="s">
        <v>111</v>
      </c>
      <c r="X519" s="28" t="s">
        <v>66</v>
      </c>
      <c r="Y519" s="30">
        <v>43040</v>
      </c>
      <c r="Z519" s="28" t="s">
        <v>67</v>
      </c>
      <c r="AA519" s="30" t="s">
        <v>3111</v>
      </c>
      <c r="AB519" s="28"/>
    </row>
    <row r="520" spans="1:28" ht="15.75" customHeight="1" thickTop="1">
      <c r="A520" s="289" t="s">
        <v>3127</v>
      </c>
      <c r="C520" s="15">
        <v>34</v>
      </c>
      <c r="D520" s="2">
        <v>19424</v>
      </c>
      <c r="E520" s="2" t="s">
        <v>2313</v>
      </c>
      <c r="F520" s="3">
        <v>29801250105896</v>
      </c>
      <c r="G520" s="2" t="s">
        <v>184</v>
      </c>
      <c r="H520" s="2" t="s">
        <v>2330</v>
      </c>
      <c r="I520" s="15" t="s">
        <v>66</v>
      </c>
      <c r="J520" s="4">
        <v>43015</v>
      </c>
      <c r="K520" s="15" t="s">
        <v>8</v>
      </c>
      <c r="L520" s="15" t="s">
        <v>12</v>
      </c>
      <c r="W520" s="16" t="s">
        <v>63</v>
      </c>
      <c r="Y520" s="7">
        <v>43044</v>
      </c>
      <c r="Z520" s="16" t="s">
        <v>67</v>
      </c>
      <c r="AA520" s="7" t="s">
        <v>3111</v>
      </c>
    </row>
    <row r="521" spans="1:28" ht="15" customHeight="1">
      <c r="A521" s="290"/>
      <c r="C521" s="15">
        <v>34</v>
      </c>
      <c r="D521" s="2">
        <v>19425</v>
      </c>
      <c r="E521" s="2" t="s">
        <v>2314</v>
      </c>
      <c r="F521" s="3">
        <v>28903070105034</v>
      </c>
      <c r="G521" s="2" t="s">
        <v>34</v>
      </c>
      <c r="H521" s="2" t="s">
        <v>2331</v>
      </c>
      <c r="I521" s="15" t="s">
        <v>66</v>
      </c>
      <c r="J521" s="4">
        <v>43015</v>
      </c>
      <c r="K521" s="15" t="s">
        <v>8</v>
      </c>
      <c r="L521" s="15" t="s">
        <v>12</v>
      </c>
      <c r="W521" s="16" t="s">
        <v>111</v>
      </c>
      <c r="Y521" s="7">
        <v>43044</v>
      </c>
      <c r="Z521" s="16" t="s">
        <v>66</v>
      </c>
      <c r="AA521" s="7">
        <v>43051</v>
      </c>
      <c r="AB521" s="2" t="s">
        <v>3177</v>
      </c>
    </row>
    <row r="522" spans="1:28" ht="15" customHeight="1">
      <c r="A522" s="290"/>
      <c r="C522" s="16">
        <v>34</v>
      </c>
      <c r="D522" s="16">
        <v>19426</v>
      </c>
      <c r="E522" s="16" t="s">
        <v>2315</v>
      </c>
      <c r="F522" s="3">
        <v>29301012502515</v>
      </c>
      <c r="G522" s="16" t="s">
        <v>34</v>
      </c>
      <c r="H522" s="16" t="s">
        <v>2332</v>
      </c>
      <c r="I522" s="16" t="s">
        <v>66</v>
      </c>
      <c r="J522" s="45">
        <v>43015</v>
      </c>
      <c r="K522" s="16" t="s">
        <v>8</v>
      </c>
      <c r="L522" s="16" t="s">
        <v>12</v>
      </c>
      <c r="M522" s="16"/>
      <c r="N522" s="16"/>
      <c r="W522" s="16" t="s">
        <v>111</v>
      </c>
      <c r="X522" s="16"/>
      <c r="Y522" s="45">
        <v>43044</v>
      </c>
      <c r="Z522" s="16" t="s">
        <v>67</v>
      </c>
      <c r="AA522" s="45" t="s">
        <v>3111</v>
      </c>
      <c r="AB522" s="16"/>
    </row>
    <row r="523" spans="1:28" ht="15" customHeight="1">
      <c r="A523" s="290"/>
      <c r="C523" s="15">
        <v>34</v>
      </c>
      <c r="D523" s="2">
        <v>19427</v>
      </c>
      <c r="E523" s="2" t="s">
        <v>2316</v>
      </c>
      <c r="F523" s="3">
        <v>29507048800684</v>
      </c>
      <c r="G523" s="2" t="s">
        <v>184</v>
      </c>
      <c r="H523" s="2" t="s">
        <v>2333</v>
      </c>
      <c r="I523" s="15" t="s">
        <v>66</v>
      </c>
      <c r="J523" s="4">
        <v>43015</v>
      </c>
      <c r="K523" s="15" t="s">
        <v>8</v>
      </c>
      <c r="L523" s="15" t="s">
        <v>12</v>
      </c>
      <c r="W523" s="16" t="s">
        <v>60</v>
      </c>
      <c r="Y523" s="7">
        <v>43044</v>
      </c>
      <c r="Z523" s="16" t="s">
        <v>66</v>
      </c>
      <c r="AA523" s="7">
        <v>43052</v>
      </c>
      <c r="AB523" s="2" t="s">
        <v>4586</v>
      </c>
    </row>
    <row r="524" spans="1:28" ht="15" customHeight="1">
      <c r="A524" s="290"/>
      <c r="C524" s="16">
        <v>34</v>
      </c>
      <c r="D524" s="16">
        <v>19428</v>
      </c>
      <c r="E524" s="16" t="s">
        <v>2317</v>
      </c>
      <c r="F524" s="3">
        <v>29310151601322</v>
      </c>
      <c r="G524" s="16" t="s">
        <v>34</v>
      </c>
      <c r="H524" s="16" t="s">
        <v>2334</v>
      </c>
      <c r="I524" s="16" t="s">
        <v>66</v>
      </c>
      <c r="J524" s="45">
        <v>43015</v>
      </c>
      <c r="K524" s="16" t="s">
        <v>8</v>
      </c>
      <c r="L524" s="16" t="s">
        <v>12</v>
      </c>
      <c r="M524" s="16"/>
      <c r="N524" s="16"/>
      <c r="W524" s="16" t="s">
        <v>61</v>
      </c>
      <c r="X524" s="16"/>
      <c r="Y524" s="45">
        <v>43044</v>
      </c>
      <c r="Z524" s="16" t="s">
        <v>66</v>
      </c>
      <c r="AA524" s="45">
        <v>43080</v>
      </c>
      <c r="AB524" s="16"/>
    </row>
    <row r="525" spans="1:28" ht="15" customHeight="1">
      <c r="A525" s="290"/>
      <c r="C525" s="15">
        <v>34</v>
      </c>
      <c r="D525" s="2">
        <v>19429</v>
      </c>
      <c r="E525" s="2" t="s">
        <v>2318</v>
      </c>
      <c r="F525" s="3">
        <v>29510120400115</v>
      </c>
      <c r="G525" s="2" t="s">
        <v>34</v>
      </c>
      <c r="H525" s="8" t="s">
        <v>2341</v>
      </c>
      <c r="I525" s="15" t="s">
        <v>66</v>
      </c>
      <c r="J525" s="4">
        <v>43015</v>
      </c>
      <c r="K525" s="15" t="s">
        <v>8</v>
      </c>
      <c r="L525" s="15" t="s">
        <v>12</v>
      </c>
      <c r="W525" s="16" t="s">
        <v>60</v>
      </c>
      <c r="Y525" s="7">
        <v>43044</v>
      </c>
      <c r="Z525" s="16" t="s">
        <v>66</v>
      </c>
      <c r="AA525" s="7">
        <v>43094</v>
      </c>
    </row>
    <row r="526" spans="1:28" ht="15" customHeight="1">
      <c r="A526" s="290"/>
      <c r="C526" s="15">
        <v>34</v>
      </c>
      <c r="D526" s="2">
        <v>19430</v>
      </c>
      <c r="E526" s="2" t="s">
        <v>2319</v>
      </c>
      <c r="F526" s="3">
        <v>29307021200414</v>
      </c>
      <c r="G526" s="2" t="s">
        <v>34</v>
      </c>
      <c r="H526" s="8" t="s">
        <v>2342</v>
      </c>
      <c r="I526" s="15" t="s">
        <v>66</v>
      </c>
      <c r="J526" s="7">
        <v>43015</v>
      </c>
      <c r="K526" s="15" t="s">
        <v>8</v>
      </c>
      <c r="L526" s="15" t="s">
        <v>12</v>
      </c>
      <c r="W526" s="16" t="s">
        <v>61</v>
      </c>
      <c r="Y526" s="7">
        <v>43044</v>
      </c>
      <c r="Z526" s="16" t="s">
        <v>66</v>
      </c>
      <c r="AA526" s="7">
        <v>43080</v>
      </c>
      <c r="AB526" s="2" t="s">
        <v>5519</v>
      </c>
    </row>
    <row r="527" spans="1:28" ht="15" customHeight="1">
      <c r="A527" s="290"/>
      <c r="C527" s="15">
        <v>34</v>
      </c>
      <c r="D527" s="2">
        <v>19431</v>
      </c>
      <c r="E527" s="2" t="s">
        <v>2320</v>
      </c>
      <c r="F527" s="3">
        <v>29408232301251</v>
      </c>
      <c r="G527" s="2" t="s">
        <v>34</v>
      </c>
      <c r="H527" s="2" t="s">
        <v>2335</v>
      </c>
      <c r="I527" s="15" t="s">
        <v>66</v>
      </c>
      <c r="J527" s="7">
        <v>43015</v>
      </c>
      <c r="K527" s="15" t="s">
        <v>8</v>
      </c>
      <c r="L527" s="15" t="s">
        <v>12</v>
      </c>
      <c r="W527" s="16" t="s">
        <v>111</v>
      </c>
      <c r="X527" s="2" t="s">
        <v>66</v>
      </c>
      <c r="Y527" s="7">
        <v>43044</v>
      </c>
      <c r="Z527" s="16" t="s">
        <v>67</v>
      </c>
      <c r="AA527" s="7" t="s">
        <v>3111</v>
      </c>
    </row>
    <row r="528" spans="1:28" ht="15" customHeight="1">
      <c r="A528" s="290"/>
      <c r="C528" s="15">
        <v>34</v>
      </c>
      <c r="D528" s="2">
        <v>19432</v>
      </c>
      <c r="E528" s="2" t="s">
        <v>2321</v>
      </c>
      <c r="F528" s="3">
        <v>29212122102374</v>
      </c>
      <c r="G528" s="15" t="s">
        <v>34</v>
      </c>
      <c r="H528" s="2" t="s">
        <v>2336</v>
      </c>
      <c r="I528" s="15" t="s">
        <v>66</v>
      </c>
      <c r="J528" s="7">
        <v>43015</v>
      </c>
      <c r="K528" s="15" t="s">
        <v>8</v>
      </c>
      <c r="L528" s="15" t="s">
        <v>12</v>
      </c>
      <c r="W528" s="16" t="s">
        <v>111</v>
      </c>
      <c r="X528" s="2" t="s">
        <v>66</v>
      </c>
      <c r="Y528" s="7">
        <v>43044</v>
      </c>
      <c r="Z528" s="16" t="s">
        <v>67</v>
      </c>
      <c r="AA528" s="7" t="s">
        <v>3111</v>
      </c>
    </row>
    <row r="529" spans="1:28" ht="15" customHeight="1">
      <c r="A529" s="290"/>
      <c r="C529" s="15">
        <v>34</v>
      </c>
      <c r="D529" s="2">
        <v>19433</v>
      </c>
      <c r="E529" s="2" t="s">
        <v>2322</v>
      </c>
      <c r="F529" s="3">
        <v>29508272100589</v>
      </c>
      <c r="G529" s="2" t="s">
        <v>34</v>
      </c>
      <c r="H529" s="2" t="s">
        <v>2337</v>
      </c>
      <c r="I529" s="15" t="s">
        <v>66</v>
      </c>
      <c r="J529" s="7">
        <v>43015</v>
      </c>
      <c r="K529" s="15" t="s">
        <v>8</v>
      </c>
      <c r="L529" s="15" t="s">
        <v>12</v>
      </c>
      <c r="M529" s="15"/>
      <c r="W529" s="16" t="s">
        <v>111</v>
      </c>
      <c r="Y529" s="7">
        <v>43044</v>
      </c>
      <c r="Z529" s="16" t="s">
        <v>67</v>
      </c>
      <c r="AA529" s="7" t="s">
        <v>3111</v>
      </c>
    </row>
    <row r="530" spans="1:28" ht="15" customHeight="1">
      <c r="A530" s="290"/>
      <c r="C530" s="15">
        <v>34</v>
      </c>
      <c r="D530" s="2">
        <v>19434</v>
      </c>
      <c r="E530" s="2" t="s">
        <v>2323</v>
      </c>
      <c r="F530" s="3">
        <v>29408140103223</v>
      </c>
      <c r="G530" s="2" t="s">
        <v>34</v>
      </c>
      <c r="H530" s="8" t="s">
        <v>2343</v>
      </c>
      <c r="I530" s="15" t="s">
        <v>66</v>
      </c>
      <c r="J530" s="7">
        <v>43015</v>
      </c>
      <c r="K530" s="15" t="s">
        <v>8</v>
      </c>
      <c r="L530" s="15" t="s">
        <v>12</v>
      </c>
      <c r="W530" s="16" t="s">
        <v>60</v>
      </c>
      <c r="Y530" s="7">
        <v>43044</v>
      </c>
      <c r="Z530" s="16" t="s">
        <v>67</v>
      </c>
      <c r="AA530" s="7" t="s">
        <v>3111</v>
      </c>
    </row>
    <row r="531" spans="1:28" ht="15" customHeight="1">
      <c r="A531" s="290"/>
      <c r="C531" s="15">
        <v>34</v>
      </c>
      <c r="D531" s="2">
        <v>19435</v>
      </c>
      <c r="E531" s="2" t="s">
        <v>2324</v>
      </c>
      <c r="F531" s="3">
        <v>29504220103177</v>
      </c>
      <c r="G531" s="15" t="s">
        <v>34</v>
      </c>
      <c r="H531" s="8" t="s">
        <v>2344</v>
      </c>
      <c r="I531" s="15" t="s">
        <v>66</v>
      </c>
      <c r="J531" s="7">
        <v>43015</v>
      </c>
      <c r="K531" s="15" t="s">
        <v>8</v>
      </c>
      <c r="L531" s="15" t="s">
        <v>12</v>
      </c>
      <c r="W531" s="16" t="s">
        <v>60</v>
      </c>
      <c r="Y531" s="7">
        <v>43044</v>
      </c>
      <c r="Z531" s="16" t="s">
        <v>66</v>
      </c>
      <c r="AA531" s="7">
        <v>43052</v>
      </c>
    </row>
    <row r="532" spans="1:28" ht="15" customHeight="1">
      <c r="A532" s="290"/>
      <c r="C532" s="15">
        <v>34</v>
      </c>
      <c r="D532" s="2">
        <v>19436</v>
      </c>
      <c r="E532" s="2" t="s">
        <v>2325</v>
      </c>
      <c r="F532" s="3">
        <v>28704120200111</v>
      </c>
      <c r="G532" s="2" t="s">
        <v>34</v>
      </c>
      <c r="H532" s="8" t="s">
        <v>2345</v>
      </c>
      <c r="I532" s="15" t="s">
        <v>66</v>
      </c>
      <c r="J532" s="7">
        <v>43015</v>
      </c>
      <c r="K532" s="15" t="s">
        <v>8</v>
      </c>
      <c r="L532" s="15" t="s">
        <v>12</v>
      </c>
      <c r="W532" s="16" t="s">
        <v>60</v>
      </c>
      <c r="Y532" s="7">
        <v>43044</v>
      </c>
      <c r="Z532" s="16" t="s">
        <v>66</v>
      </c>
      <c r="AA532" s="7">
        <v>43066</v>
      </c>
    </row>
    <row r="533" spans="1:28" ht="15" customHeight="1">
      <c r="A533" s="290"/>
      <c r="C533" s="15">
        <v>34</v>
      </c>
      <c r="D533" s="2">
        <v>19437</v>
      </c>
      <c r="E533" s="2" t="s">
        <v>2326</v>
      </c>
      <c r="F533" s="3">
        <v>29601200100541</v>
      </c>
      <c r="G533" s="2" t="s">
        <v>34</v>
      </c>
      <c r="H533" s="2" t="s">
        <v>2338</v>
      </c>
      <c r="I533" s="15" t="s">
        <v>66</v>
      </c>
      <c r="J533" s="7">
        <v>43015</v>
      </c>
      <c r="K533" s="15" t="s">
        <v>8</v>
      </c>
      <c r="L533" s="15" t="s">
        <v>12</v>
      </c>
      <c r="W533" s="16" t="s">
        <v>111</v>
      </c>
      <c r="X533" s="2" t="s">
        <v>66</v>
      </c>
      <c r="Y533" s="7">
        <v>43044</v>
      </c>
      <c r="Z533" s="16" t="s">
        <v>67</v>
      </c>
      <c r="AA533" s="7" t="s">
        <v>3111</v>
      </c>
    </row>
    <row r="534" spans="1:28" ht="15" customHeight="1">
      <c r="A534" s="290"/>
      <c r="C534" s="15">
        <v>34</v>
      </c>
      <c r="D534" s="2">
        <v>19438</v>
      </c>
      <c r="E534" s="2" t="s">
        <v>2327</v>
      </c>
      <c r="F534" s="3">
        <v>29508062100462</v>
      </c>
      <c r="G534" s="2" t="s">
        <v>34</v>
      </c>
      <c r="H534" s="2" t="s">
        <v>2339</v>
      </c>
      <c r="I534" s="15" t="s">
        <v>66</v>
      </c>
      <c r="J534" s="7">
        <v>43015</v>
      </c>
      <c r="K534" s="15" t="s">
        <v>8</v>
      </c>
      <c r="L534" s="15" t="s">
        <v>12</v>
      </c>
      <c r="W534" s="16" t="s">
        <v>61</v>
      </c>
      <c r="X534" s="2" t="s">
        <v>66</v>
      </c>
      <c r="Y534" s="7">
        <v>43044</v>
      </c>
      <c r="Z534" s="16" t="s">
        <v>67</v>
      </c>
      <c r="AA534" s="7" t="s">
        <v>3111</v>
      </c>
    </row>
    <row r="535" spans="1:28" ht="15" customHeight="1">
      <c r="A535" s="290"/>
      <c r="C535" s="16">
        <v>34</v>
      </c>
      <c r="D535" s="16">
        <v>19439</v>
      </c>
      <c r="E535" s="16" t="s">
        <v>2328</v>
      </c>
      <c r="F535" s="3">
        <v>29905172100645</v>
      </c>
      <c r="G535" s="16" t="s">
        <v>184</v>
      </c>
      <c r="H535" s="8" t="s">
        <v>2346</v>
      </c>
      <c r="I535" s="16" t="s">
        <v>66</v>
      </c>
      <c r="J535" s="45">
        <v>43015</v>
      </c>
      <c r="K535" s="16" t="s">
        <v>8</v>
      </c>
      <c r="L535" s="16" t="s">
        <v>12</v>
      </c>
      <c r="M535" s="16"/>
      <c r="N535" s="16"/>
      <c r="W535" s="16" t="s">
        <v>60</v>
      </c>
      <c r="X535" s="16"/>
      <c r="Y535" s="45">
        <v>43044</v>
      </c>
      <c r="Z535" s="16" t="s">
        <v>66</v>
      </c>
      <c r="AA535" s="45">
        <v>43052</v>
      </c>
      <c r="AB535" s="16"/>
    </row>
    <row r="536" spans="1:28" ht="15.75" customHeight="1" thickBot="1">
      <c r="A536" s="291"/>
      <c r="C536" s="28">
        <v>34</v>
      </c>
      <c r="D536" s="28">
        <v>19440</v>
      </c>
      <c r="E536" s="28" t="s">
        <v>2329</v>
      </c>
      <c r="F536" s="29">
        <v>29311030102066</v>
      </c>
      <c r="G536" s="28" t="s">
        <v>34</v>
      </c>
      <c r="H536" s="28" t="s">
        <v>2340</v>
      </c>
      <c r="I536" s="28" t="s">
        <v>66</v>
      </c>
      <c r="J536" s="30">
        <v>43015</v>
      </c>
      <c r="K536" s="28" t="s">
        <v>8</v>
      </c>
      <c r="L536" s="28" t="s">
        <v>12</v>
      </c>
      <c r="M536" s="28"/>
      <c r="N536" s="28"/>
      <c r="O536" s="226"/>
      <c r="P536" s="28"/>
      <c r="Q536" s="226"/>
      <c r="R536" s="28"/>
      <c r="S536" s="28"/>
      <c r="T536" s="28"/>
      <c r="U536" s="28"/>
      <c r="V536" s="28"/>
      <c r="W536" s="28" t="s">
        <v>59</v>
      </c>
      <c r="X536" s="28"/>
      <c r="Y536" s="30">
        <v>43044</v>
      </c>
      <c r="Z536" s="28" t="s">
        <v>67</v>
      </c>
      <c r="AA536" s="30" t="s">
        <v>3111</v>
      </c>
      <c r="AB536" s="28"/>
    </row>
    <row r="537" spans="1:28" ht="15.75" customHeight="1" thickTop="1">
      <c r="A537" s="289" t="s">
        <v>3119</v>
      </c>
      <c r="C537" s="15">
        <v>35</v>
      </c>
      <c r="D537" s="2">
        <v>19535</v>
      </c>
      <c r="E537" s="2" t="s">
        <v>2283</v>
      </c>
      <c r="F537" s="3">
        <v>29411230100313</v>
      </c>
      <c r="G537" s="2" t="s">
        <v>34</v>
      </c>
      <c r="H537" s="2" t="s">
        <v>2299</v>
      </c>
      <c r="I537" s="15" t="s">
        <v>66</v>
      </c>
      <c r="J537" s="7">
        <v>43022</v>
      </c>
      <c r="K537" s="15" t="s">
        <v>8</v>
      </c>
      <c r="L537" s="15" t="s">
        <v>12</v>
      </c>
      <c r="W537" s="16" t="s">
        <v>111</v>
      </c>
      <c r="X537" s="2" t="s">
        <v>66</v>
      </c>
      <c r="Y537" s="7">
        <v>43044</v>
      </c>
      <c r="Z537" s="16" t="s">
        <v>66</v>
      </c>
      <c r="AA537" s="7">
        <v>43072</v>
      </c>
    </row>
    <row r="538" spans="1:28" ht="15" customHeight="1">
      <c r="A538" s="290"/>
      <c r="C538" s="15">
        <v>35</v>
      </c>
      <c r="D538" s="2">
        <v>19536</v>
      </c>
      <c r="E538" s="2" t="s">
        <v>2284</v>
      </c>
      <c r="F538" s="3">
        <v>29503210103717</v>
      </c>
      <c r="G538" s="2" t="s">
        <v>184</v>
      </c>
      <c r="H538" s="2" t="s">
        <v>2300</v>
      </c>
      <c r="I538" s="15" t="s">
        <v>66</v>
      </c>
      <c r="J538" s="7">
        <v>43022</v>
      </c>
      <c r="K538" s="15" t="s">
        <v>8</v>
      </c>
      <c r="L538" s="15" t="s">
        <v>12</v>
      </c>
      <c r="W538" s="16" t="s">
        <v>61</v>
      </c>
      <c r="Y538" s="7">
        <v>43044</v>
      </c>
      <c r="Z538" s="16" t="s">
        <v>66</v>
      </c>
      <c r="AA538" s="7">
        <v>43131</v>
      </c>
    </row>
    <row r="539" spans="1:28" ht="15" customHeight="1">
      <c r="A539" s="290"/>
      <c r="C539" s="15">
        <v>35</v>
      </c>
      <c r="D539" s="2">
        <v>19537</v>
      </c>
      <c r="E539" s="2" t="s">
        <v>2285</v>
      </c>
      <c r="F539" s="3">
        <v>28206080100593</v>
      </c>
      <c r="G539" s="15" t="s">
        <v>34</v>
      </c>
      <c r="H539" s="2" t="s">
        <v>2301</v>
      </c>
      <c r="I539" s="15" t="s">
        <v>66</v>
      </c>
      <c r="J539" s="7">
        <v>43022</v>
      </c>
      <c r="K539" s="15" t="s">
        <v>8</v>
      </c>
      <c r="L539" s="15" t="s">
        <v>12</v>
      </c>
      <c r="W539" s="16" t="s">
        <v>111</v>
      </c>
      <c r="Y539" s="7">
        <v>43044</v>
      </c>
      <c r="Z539" s="16" t="s">
        <v>67</v>
      </c>
      <c r="AA539" s="7" t="s">
        <v>3111</v>
      </c>
    </row>
    <row r="540" spans="1:28" ht="15" customHeight="1">
      <c r="A540" s="290"/>
      <c r="C540" s="15">
        <v>35</v>
      </c>
      <c r="D540" s="2">
        <v>19538</v>
      </c>
      <c r="E540" s="2" t="s">
        <v>2286</v>
      </c>
      <c r="F540" s="3">
        <v>29601251401996</v>
      </c>
      <c r="G540" s="2" t="s">
        <v>184</v>
      </c>
      <c r="H540" s="2" t="s">
        <v>2302</v>
      </c>
      <c r="I540" s="15" t="s">
        <v>66</v>
      </c>
      <c r="J540" s="7">
        <v>43022</v>
      </c>
      <c r="K540" s="15" t="s">
        <v>8</v>
      </c>
      <c r="L540" s="15" t="s">
        <v>12</v>
      </c>
      <c r="W540" s="16" t="s">
        <v>60</v>
      </c>
      <c r="Y540" s="7">
        <v>43044</v>
      </c>
      <c r="Z540" s="16" t="s">
        <v>66</v>
      </c>
      <c r="AA540" s="7">
        <v>43059</v>
      </c>
    </row>
    <row r="541" spans="1:28" ht="15" customHeight="1">
      <c r="A541" s="290"/>
      <c r="C541" s="15">
        <v>35</v>
      </c>
      <c r="D541" s="2">
        <v>19539</v>
      </c>
      <c r="E541" s="2" t="s">
        <v>2287</v>
      </c>
      <c r="F541" s="3">
        <v>28312041600117</v>
      </c>
      <c r="G541" s="15" t="s">
        <v>34</v>
      </c>
      <c r="H541" s="2" t="s">
        <v>2303</v>
      </c>
      <c r="I541" s="15" t="s">
        <v>66</v>
      </c>
      <c r="J541" s="7">
        <v>43022</v>
      </c>
      <c r="K541" s="15" t="s">
        <v>8</v>
      </c>
      <c r="L541" s="15" t="s">
        <v>12</v>
      </c>
      <c r="W541" s="16" t="s">
        <v>111</v>
      </c>
      <c r="Y541" s="7">
        <v>43044</v>
      </c>
      <c r="Z541" s="16" t="s">
        <v>67</v>
      </c>
      <c r="AA541" s="7" t="s">
        <v>3111</v>
      </c>
    </row>
    <row r="542" spans="1:28" ht="15" customHeight="1">
      <c r="A542" s="290"/>
      <c r="C542" s="15">
        <v>35</v>
      </c>
      <c r="D542" s="2">
        <v>19540</v>
      </c>
      <c r="E542" s="2" t="s">
        <v>2288</v>
      </c>
      <c r="F542" s="3">
        <v>29510048800201</v>
      </c>
      <c r="G542" s="2" t="s">
        <v>34</v>
      </c>
      <c r="H542" s="2" t="s">
        <v>2304</v>
      </c>
      <c r="I542" s="15" t="s">
        <v>66</v>
      </c>
      <c r="J542" s="7">
        <v>43022</v>
      </c>
      <c r="K542" s="15" t="s">
        <v>8</v>
      </c>
      <c r="L542" s="15" t="s">
        <v>12</v>
      </c>
      <c r="W542" s="16" t="s">
        <v>60</v>
      </c>
      <c r="Y542" s="7">
        <v>43044</v>
      </c>
      <c r="Z542" s="16" t="s">
        <v>66</v>
      </c>
      <c r="AA542" s="7">
        <v>43059</v>
      </c>
    </row>
    <row r="543" spans="1:28" ht="15" customHeight="1">
      <c r="A543" s="290"/>
      <c r="C543" s="15">
        <v>35</v>
      </c>
      <c r="D543" s="2">
        <v>19541</v>
      </c>
      <c r="E543" s="2" t="s">
        <v>2289</v>
      </c>
      <c r="F543" s="3">
        <v>29407021803555</v>
      </c>
      <c r="G543" s="2" t="s">
        <v>34</v>
      </c>
      <c r="H543" s="2" t="s">
        <v>2305</v>
      </c>
      <c r="I543" s="15" t="s">
        <v>66</v>
      </c>
      <c r="J543" s="7">
        <v>43022</v>
      </c>
      <c r="K543" s="15" t="s">
        <v>8</v>
      </c>
      <c r="L543" s="15" t="s">
        <v>12</v>
      </c>
      <c r="W543" s="16" t="s">
        <v>63</v>
      </c>
      <c r="Y543" s="7">
        <v>43044</v>
      </c>
      <c r="Z543" s="16" t="s">
        <v>67</v>
      </c>
      <c r="AA543" s="7" t="s">
        <v>3111</v>
      </c>
    </row>
    <row r="544" spans="1:28" ht="15" customHeight="1">
      <c r="A544" s="290"/>
      <c r="C544" s="2">
        <v>35</v>
      </c>
      <c r="D544" s="2">
        <v>19542</v>
      </c>
      <c r="E544" s="2" t="s">
        <v>2290</v>
      </c>
      <c r="F544" s="3">
        <v>29509202106161</v>
      </c>
      <c r="G544" s="2" t="s">
        <v>34</v>
      </c>
      <c r="H544" s="2" t="s">
        <v>2306</v>
      </c>
      <c r="I544" s="15" t="s">
        <v>66</v>
      </c>
      <c r="J544" s="7">
        <v>43022</v>
      </c>
      <c r="K544" s="15" t="s">
        <v>8</v>
      </c>
      <c r="L544" s="15" t="s">
        <v>12</v>
      </c>
      <c r="W544" s="16" t="s">
        <v>60</v>
      </c>
      <c r="X544" s="2" t="s">
        <v>66</v>
      </c>
      <c r="Y544" s="7">
        <v>43044</v>
      </c>
      <c r="Z544" s="16" t="s">
        <v>66</v>
      </c>
      <c r="AA544" s="7">
        <v>43066</v>
      </c>
    </row>
    <row r="545" spans="1:28" ht="15" customHeight="1">
      <c r="A545" s="290"/>
      <c r="C545" s="16">
        <v>35</v>
      </c>
      <c r="D545" s="16">
        <v>19543</v>
      </c>
      <c r="E545" s="16" t="s">
        <v>2291</v>
      </c>
      <c r="F545" s="3">
        <v>29509272101395</v>
      </c>
      <c r="G545" s="16" t="s">
        <v>34</v>
      </c>
      <c r="H545" s="16" t="s">
        <v>2307</v>
      </c>
      <c r="I545" s="16" t="s">
        <v>66</v>
      </c>
      <c r="J545" s="45">
        <v>43022</v>
      </c>
      <c r="K545" s="16" t="s">
        <v>8</v>
      </c>
      <c r="L545" s="16" t="s">
        <v>12</v>
      </c>
      <c r="M545" s="16"/>
      <c r="N545" s="16"/>
      <c r="W545" s="16" t="s">
        <v>60</v>
      </c>
      <c r="X545" s="16" t="s">
        <v>66</v>
      </c>
      <c r="Y545" s="45">
        <v>43044</v>
      </c>
      <c r="Z545" s="16" t="s">
        <v>66</v>
      </c>
      <c r="AA545" s="45">
        <v>43066</v>
      </c>
      <c r="AB545" s="16"/>
    </row>
    <row r="546" spans="1:28" ht="15" customHeight="1">
      <c r="A546" s="290"/>
      <c r="C546" s="15">
        <v>35</v>
      </c>
      <c r="D546" s="2">
        <v>19544</v>
      </c>
      <c r="E546" s="2" t="s">
        <v>2292</v>
      </c>
      <c r="F546" s="3" t="s">
        <v>2293</v>
      </c>
      <c r="G546" s="2" t="s">
        <v>184</v>
      </c>
      <c r="H546" s="2" t="s">
        <v>2308</v>
      </c>
      <c r="I546" s="15" t="s">
        <v>66</v>
      </c>
      <c r="J546" s="7">
        <v>43022</v>
      </c>
      <c r="K546" s="15" t="s">
        <v>8</v>
      </c>
      <c r="L546" s="15" t="s">
        <v>12</v>
      </c>
      <c r="W546" s="16" t="s">
        <v>64</v>
      </c>
      <c r="Y546" s="7">
        <v>43044</v>
      </c>
      <c r="Z546" s="16" t="s">
        <v>67</v>
      </c>
      <c r="AA546" s="7" t="s">
        <v>3111</v>
      </c>
    </row>
    <row r="547" spans="1:28" ht="15" customHeight="1">
      <c r="A547" s="290"/>
      <c r="C547" s="15">
        <v>35</v>
      </c>
      <c r="D547" s="2">
        <v>19545</v>
      </c>
      <c r="E547" s="2" t="s">
        <v>2294</v>
      </c>
      <c r="F547" s="3" t="s">
        <v>2295</v>
      </c>
      <c r="G547" s="15" t="s">
        <v>184</v>
      </c>
      <c r="H547" s="2" t="s">
        <v>2309</v>
      </c>
      <c r="I547" s="15" t="s">
        <v>66</v>
      </c>
      <c r="J547" s="7">
        <v>43022</v>
      </c>
      <c r="K547" s="15" t="s">
        <v>8</v>
      </c>
      <c r="L547" s="15" t="s">
        <v>12</v>
      </c>
      <c r="W547" s="16" t="s">
        <v>60</v>
      </c>
      <c r="Y547" s="7">
        <v>43044</v>
      </c>
      <c r="Z547" s="16" t="s">
        <v>66</v>
      </c>
      <c r="AA547" s="7">
        <v>43059</v>
      </c>
    </row>
    <row r="548" spans="1:28" ht="15" customHeight="1">
      <c r="A548" s="290"/>
      <c r="C548" s="15">
        <v>35</v>
      </c>
      <c r="D548" s="2">
        <v>19546</v>
      </c>
      <c r="E548" s="2" t="s">
        <v>2296</v>
      </c>
      <c r="F548" s="3">
        <v>29602258800264</v>
      </c>
      <c r="G548" s="2" t="s">
        <v>34</v>
      </c>
      <c r="H548" s="16" t="s">
        <v>2310</v>
      </c>
      <c r="I548" s="15" t="s">
        <v>66</v>
      </c>
      <c r="J548" s="7">
        <v>43022</v>
      </c>
      <c r="K548" s="15" t="s">
        <v>8</v>
      </c>
      <c r="L548" s="15" t="s">
        <v>12</v>
      </c>
      <c r="W548" s="16" t="s">
        <v>60</v>
      </c>
      <c r="Y548" s="7">
        <v>43044</v>
      </c>
      <c r="Z548" s="16" t="s">
        <v>66</v>
      </c>
      <c r="AA548" s="7">
        <v>43059</v>
      </c>
    </row>
    <row r="549" spans="1:28" ht="15" customHeight="1">
      <c r="A549" s="290"/>
      <c r="C549" s="15">
        <v>35</v>
      </c>
      <c r="D549" s="2">
        <v>19547</v>
      </c>
      <c r="E549" s="2" t="s">
        <v>2297</v>
      </c>
      <c r="F549" s="3">
        <v>29309250105037</v>
      </c>
      <c r="G549" s="2" t="s">
        <v>34</v>
      </c>
      <c r="H549" s="16" t="s">
        <v>2311</v>
      </c>
      <c r="I549" s="15" t="s">
        <v>66</v>
      </c>
      <c r="J549" s="7">
        <v>43022</v>
      </c>
      <c r="K549" s="15" t="s">
        <v>8</v>
      </c>
      <c r="L549" s="15" t="s">
        <v>12</v>
      </c>
      <c r="W549" s="16" t="s">
        <v>111</v>
      </c>
      <c r="X549" s="2" t="s">
        <v>66</v>
      </c>
      <c r="Y549" s="7">
        <v>43044</v>
      </c>
      <c r="Z549" s="16" t="s">
        <v>67</v>
      </c>
      <c r="AA549" s="7" t="s">
        <v>3111</v>
      </c>
    </row>
    <row r="550" spans="1:28" ht="15.75" customHeight="1" thickBot="1">
      <c r="A550" s="291"/>
      <c r="C550" s="28">
        <v>35</v>
      </c>
      <c r="D550" s="28">
        <v>19548</v>
      </c>
      <c r="E550" s="28" t="s">
        <v>2298</v>
      </c>
      <c r="F550" s="29">
        <v>29011260100956</v>
      </c>
      <c r="G550" s="28" t="s">
        <v>34</v>
      </c>
      <c r="H550" s="28" t="s">
        <v>2312</v>
      </c>
      <c r="I550" s="28" t="s">
        <v>66</v>
      </c>
      <c r="J550" s="30">
        <v>43022</v>
      </c>
      <c r="K550" s="28" t="s">
        <v>8</v>
      </c>
      <c r="L550" s="28" t="s">
        <v>12</v>
      </c>
      <c r="M550" s="28"/>
      <c r="N550" s="28"/>
      <c r="O550" s="226"/>
      <c r="P550" s="28"/>
      <c r="Q550" s="226"/>
      <c r="R550" s="28"/>
      <c r="S550" s="28"/>
      <c r="T550" s="28"/>
      <c r="U550" s="28"/>
      <c r="V550" s="28"/>
      <c r="W550" s="28" t="s">
        <v>111</v>
      </c>
      <c r="X550" s="28" t="s">
        <v>66</v>
      </c>
      <c r="Y550" s="30">
        <v>43044</v>
      </c>
      <c r="Z550" s="28" t="s">
        <v>66</v>
      </c>
      <c r="AA550" s="30">
        <v>43072</v>
      </c>
      <c r="AB550" s="28"/>
    </row>
    <row r="551" spans="1:28" ht="15.75" customHeight="1" thickTop="1">
      <c r="A551" s="284" t="s">
        <v>3124</v>
      </c>
      <c r="C551" s="15">
        <v>36</v>
      </c>
      <c r="D551" s="2">
        <v>19550</v>
      </c>
      <c r="E551" s="2" t="s">
        <v>2241</v>
      </c>
      <c r="F551" s="3">
        <v>28610140103533</v>
      </c>
      <c r="G551" s="2" t="s">
        <v>34</v>
      </c>
      <c r="H551" s="2" t="s">
        <v>2262</v>
      </c>
      <c r="I551" s="15" t="s">
        <v>66</v>
      </c>
      <c r="J551" s="7">
        <v>43029</v>
      </c>
      <c r="K551" s="15" t="s">
        <v>8</v>
      </c>
      <c r="L551" s="15" t="s">
        <v>12</v>
      </c>
      <c r="W551" s="16" t="s">
        <v>64</v>
      </c>
      <c r="Y551" s="7">
        <v>43055</v>
      </c>
      <c r="Z551" s="16" t="s">
        <v>67</v>
      </c>
      <c r="AA551" s="7" t="s">
        <v>3111</v>
      </c>
    </row>
    <row r="552" spans="1:28" ht="15" customHeight="1">
      <c r="A552" s="285"/>
      <c r="C552" s="16">
        <v>36</v>
      </c>
      <c r="D552" s="16">
        <v>19551</v>
      </c>
      <c r="E552" s="16" t="s">
        <v>2242</v>
      </c>
      <c r="F552" s="3">
        <v>29304080103393</v>
      </c>
      <c r="G552" s="16" t="s">
        <v>34</v>
      </c>
      <c r="H552" s="16" t="s">
        <v>2263</v>
      </c>
      <c r="I552" s="16" t="s">
        <v>66</v>
      </c>
      <c r="J552" s="45">
        <v>43029</v>
      </c>
      <c r="K552" s="16" t="s">
        <v>8</v>
      </c>
      <c r="L552" s="16" t="s">
        <v>12</v>
      </c>
      <c r="M552" s="16"/>
      <c r="N552" s="16"/>
      <c r="W552" s="16" t="s">
        <v>63</v>
      </c>
      <c r="X552" s="16"/>
      <c r="Y552" s="45">
        <v>43055</v>
      </c>
      <c r="Z552" s="16" t="s">
        <v>67</v>
      </c>
      <c r="AA552" s="45" t="s">
        <v>3111</v>
      </c>
      <c r="AB552" s="16"/>
    </row>
    <row r="553" spans="1:28" ht="15" customHeight="1">
      <c r="A553" s="285"/>
      <c r="C553" s="15">
        <v>36</v>
      </c>
      <c r="D553" s="2">
        <v>19552</v>
      </c>
      <c r="E553" s="2" t="s">
        <v>2243</v>
      </c>
      <c r="F553" s="3">
        <v>29508051300095</v>
      </c>
      <c r="G553" s="2" t="s">
        <v>184</v>
      </c>
      <c r="H553" s="16" t="s">
        <v>2264</v>
      </c>
      <c r="I553" s="15" t="s">
        <v>66</v>
      </c>
      <c r="J553" s="7">
        <v>43029</v>
      </c>
      <c r="K553" s="15" t="s">
        <v>8</v>
      </c>
      <c r="L553" s="15" t="s">
        <v>12</v>
      </c>
      <c r="W553" s="16" t="s">
        <v>111</v>
      </c>
      <c r="Y553" s="7">
        <v>43055</v>
      </c>
      <c r="Z553" s="16" t="s">
        <v>66</v>
      </c>
      <c r="AA553" s="7">
        <v>43102</v>
      </c>
    </row>
    <row r="554" spans="1:28" ht="15" customHeight="1">
      <c r="A554" s="285"/>
      <c r="C554" s="15">
        <v>36</v>
      </c>
      <c r="D554" s="2">
        <v>19553</v>
      </c>
      <c r="E554" s="2" t="s">
        <v>2244</v>
      </c>
      <c r="F554" s="3">
        <v>29509178800034</v>
      </c>
      <c r="G554" s="2" t="s">
        <v>34</v>
      </c>
      <c r="H554" s="16" t="s">
        <v>2265</v>
      </c>
      <c r="I554" s="15" t="s">
        <v>66</v>
      </c>
      <c r="J554" s="7">
        <v>43029</v>
      </c>
      <c r="K554" s="15" t="s">
        <v>8</v>
      </c>
      <c r="L554" s="15" t="s">
        <v>12</v>
      </c>
      <c r="W554" s="16" t="s">
        <v>64</v>
      </c>
      <c r="Y554" s="7">
        <v>43055</v>
      </c>
      <c r="Z554" s="16" t="s">
        <v>67</v>
      </c>
      <c r="AA554" s="7" t="s">
        <v>3111</v>
      </c>
    </row>
    <row r="555" spans="1:28" ht="15" customHeight="1">
      <c r="A555" s="285"/>
      <c r="C555" s="15">
        <v>36</v>
      </c>
      <c r="D555" s="2">
        <v>19554</v>
      </c>
      <c r="E555" s="2" t="s">
        <v>2245</v>
      </c>
      <c r="F555" s="3">
        <v>29703292102763</v>
      </c>
      <c r="G555" s="15" t="s">
        <v>184</v>
      </c>
      <c r="H555" s="16" t="s">
        <v>2266</v>
      </c>
      <c r="I555" s="15" t="s">
        <v>66</v>
      </c>
      <c r="J555" s="7">
        <v>43029</v>
      </c>
      <c r="K555" s="15" t="s">
        <v>8</v>
      </c>
      <c r="L555" s="15" t="s">
        <v>12</v>
      </c>
      <c r="W555" s="16" t="s">
        <v>60</v>
      </c>
      <c r="Y555" s="7">
        <v>43055</v>
      </c>
      <c r="Z555" s="16" t="s">
        <v>66</v>
      </c>
      <c r="AA555" s="7">
        <v>43066</v>
      </c>
    </row>
    <row r="556" spans="1:28" ht="15" customHeight="1">
      <c r="A556" s="285"/>
      <c r="C556" s="16">
        <v>36</v>
      </c>
      <c r="D556" s="16">
        <v>19555</v>
      </c>
      <c r="E556" s="16" t="s">
        <v>2246</v>
      </c>
      <c r="F556" s="3">
        <v>29008201300177</v>
      </c>
      <c r="G556" s="16" t="s">
        <v>34</v>
      </c>
      <c r="H556" s="16" t="s">
        <v>2267</v>
      </c>
      <c r="I556" s="16" t="s">
        <v>66</v>
      </c>
      <c r="J556" s="45">
        <v>43029</v>
      </c>
      <c r="K556" s="16" t="s">
        <v>8</v>
      </c>
      <c r="L556" s="16" t="s">
        <v>12</v>
      </c>
      <c r="M556" s="16"/>
      <c r="N556" s="16"/>
      <c r="W556" s="16" t="s">
        <v>59</v>
      </c>
      <c r="X556" s="16" t="s">
        <v>66</v>
      </c>
      <c r="Y556" s="45">
        <v>43055</v>
      </c>
      <c r="Z556" s="16" t="s">
        <v>67</v>
      </c>
      <c r="AA556" s="45" t="s">
        <v>3111</v>
      </c>
      <c r="AB556" s="16"/>
    </row>
    <row r="557" spans="1:28" ht="15" customHeight="1">
      <c r="A557" s="285"/>
      <c r="C557" s="15">
        <v>36</v>
      </c>
      <c r="D557" s="2">
        <v>19556</v>
      </c>
      <c r="E557" s="2" t="s">
        <v>2247</v>
      </c>
      <c r="F557" s="3">
        <v>29509260101888</v>
      </c>
      <c r="G557" s="2" t="s">
        <v>34</v>
      </c>
      <c r="H557" s="2" t="s">
        <v>2268</v>
      </c>
      <c r="I557" s="15" t="s">
        <v>66</v>
      </c>
      <c r="J557" s="7">
        <v>43029</v>
      </c>
      <c r="K557" s="15" t="s">
        <v>8</v>
      </c>
      <c r="L557" s="15" t="s">
        <v>12</v>
      </c>
      <c r="W557" s="16" t="s">
        <v>60</v>
      </c>
      <c r="Y557" s="7">
        <v>43055</v>
      </c>
      <c r="Z557" s="16" t="s">
        <v>66</v>
      </c>
      <c r="AA557" s="7">
        <v>43066</v>
      </c>
    </row>
    <row r="558" spans="1:28" ht="15" customHeight="1">
      <c r="A558" s="285"/>
      <c r="C558" s="15">
        <v>36</v>
      </c>
      <c r="D558" s="2">
        <v>19557</v>
      </c>
      <c r="E558" s="2" t="s">
        <v>2248</v>
      </c>
      <c r="F558" s="3">
        <v>28805081802134</v>
      </c>
      <c r="G558" s="2" t="s">
        <v>34</v>
      </c>
      <c r="H558" s="16" t="s">
        <v>2269</v>
      </c>
      <c r="I558" s="15" t="s">
        <v>66</v>
      </c>
      <c r="J558" s="7">
        <v>43029</v>
      </c>
      <c r="K558" s="15" t="s">
        <v>8</v>
      </c>
      <c r="L558" s="15" t="s">
        <v>12</v>
      </c>
      <c r="W558" s="16" t="s">
        <v>64</v>
      </c>
      <c r="X558" s="2" t="s">
        <v>66</v>
      </c>
      <c r="Y558" s="7">
        <v>43055</v>
      </c>
      <c r="Z558" s="16" t="s">
        <v>67</v>
      </c>
      <c r="AA558" s="7" t="s">
        <v>3111</v>
      </c>
    </row>
    <row r="559" spans="1:28" ht="15" customHeight="1">
      <c r="A559" s="285"/>
      <c r="C559" s="15">
        <v>36</v>
      </c>
      <c r="D559" s="2">
        <v>19559</v>
      </c>
      <c r="E559" s="2" t="s">
        <v>2249</v>
      </c>
      <c r="F559" s="3">
        <v>29510010212925</v>
      </c>
      <c r="G559" s="15" t="s">
        <v>184</v>
      </c>
      <c r="H559" s="2" t="s">
        <v>2270</v>
      </c>
      <c r="I559" s="15" t="s">
        <v>66</v>
      </c>
      <c r="J559" s="7">
        <v>43029</v>
      </c>
      <c r="K559" s="15" t="s">
        <v>8</v>
      </c>
      <c r="L559" s="15" t="s">
        <v>12</v>
      </c>
      <c r="W559" s="16" t="s">
        <v>59</v>
      </c>
      <c r="Y559" s="7">
        <v>43055</v>
      </c>
      <c r="Z559" s="16" t="s">
        <v>67</v>
      </c>
      <c r="AA559" s="7" t="s">
        <v>3111</v>
      </c>
    </row>
    <row r="560" spans="1:28" ht="15" customHeight="1">
      <c r="A560" s="285"/>
      <c r="C560" s="15">
        <v>36</v>
      </c>
      <c r="D560" s="2">
        <v>19560</v>
      </c>
      <c r="E560" s="2" t="s">
        <v>2250</v>
      </c>
      <c r="F560" s="3">
        <v>29612180102749</v>
      </c>
      <c r="G560" s="15" t="s">
        <v>184</v>
      </c>
      <c r="H560" s="2" t="s">
        <v>2271</v>
      </c>
      <c r="I560" s="15" t="s">
        <v>66</v>
      </c>
      <c r="J560" s="7">
        <v>43029</v>
      </c>
      <c r="K560" s="15" t="s">
        <v>8</v>
      </c>
      <c r="L560" s="15" t="s">
        <v>12</v>
      </c>
      <c r="W560" s="16" t="s">
        <v>60</v>
      </c>
      <c r="Y560" s="7">
        <v>43055</v>
      </c>
      <c r="Z560" s="16" t="s">
        <v>66</v>
      </c>
      <c r="AA560" s="7">
        <v>43066</v>
      </c>
    </row>
    <row r="561" spans="1:28" ht="15" customHeight="1">
      <c r="A561" s="285"/>
      <c r="C561" s="15">
        <v>36</v>
      </c>
      <c r="D561" s="2">
        <v>19562</v>
      </c>
      <c r="E561" s="2" t="s">
        <v>2251</v>
      </c>
      <c r="F561" s="3">
        <v>29307100103343</v>
      </c>
      <c r="G561" s="2" t="s">
        <v>34</v>
      </c>
      <c r="H561" s="2" t="s">
        <v>2272</v>
      </c>
      <c r="I561" s="15" t="s">
        <v>66</v>
      </c>
      <c r="J561" s="7">
        <v>43029</v>
      </c>
      <c r="K561" s="15" t="s">
        <v>8</v>
      </c>
      <c r="L561" s="15" t="s">
        <v>12</v>
      </c>
      <c r="W561" s="16" t="s">
        <v>64</v>
      </c>
      <c r="Y561" s="7">
        <v>43055</v>
      </c>
      <c r="Z561" s="16" t="s">
        <v>67</v>
      </c>
      <c r="AA561" s="7" t="s">
        <v>3111</v>
      </c>
    </row>
    <row r="562" spans="1:28" ht="15" customHeight="1">
      <c r="A562" s="285"/>
      <c r="C562" s="2">
        <v>36</v>
      </c>
      <c r="D562" s="2">
        <v>19563</v>
      </c>
      <c r="E562" s="2" t="s">
        <v>2252</v>
      </c>
      <c r="F562" s="3">
        <v>29412050100991</v>
      </c>
      <c r="G562" s="2" t="s">
        <v>34</v>
      </c>
      <c r="H562" s="2" t="s">
        <v>2273</v>
      </c>
      <c r="I562" s="15" t="s">
        <v>66</v>
      </c>
      <c r="J562" s="7">
        <v>43029</v>
      </c>
      <c r="K562" s="15" t="s">
        <v>8</v>
      </c>
      <c r="L562" s="15" t="s">
        <v>12</v>
      </c>
      <c r="W562" s="16" t="s">
        <v>61</v>
      </c>
      <c r="Y562" s="7">
        <v>43055</v>
      </c>
      <c r="Z562" s="16" t="s">
        <v>66</v>
      </c>
      <c r="AA562" s="7">
        <v>43080</v>
      </c>
    </row>
    <row r="563" spans="1:28" ht="15" customHeight="1">
      <c r="A563" s="285"/>
      <c r="C563" s="15">
        <v>36</v>
      </c>
      <c r="D563" s="2">
        <v>19564</v>
      </c>
      <c r="E563" s="2" t="s">
        <v>2253</v>
      </c>
      <c r="F563" s="3">
        <v>29109120103572</v>
      </c>
      <c r="G563" s="2" t="s">
        <v>34</v>
      </c>
      <c r="H563" s="2" t="s">
        <v>2274</v>
      </c>
      <c r="I563" s="15" t="s">
        <v>66</v>
      </c>
      <c r="J563" s="7">
        <v>43029</v>
      </c>
      <c r="K563" s="15" t="s">
        <v>8</v>
      </c>
      <c r="L563" s="15" t="s">
        <v>12</v>
      </c>
      <c r="W563" s="16" t="s">
        <v>111</v>
      </c>
      <c r="X563" s="2" t="s">
        <v>66</v>
      </c>
      <c r="Y563" s="7">
        <v>43055</v>
      </c>
      <c r="Z563" s="16" t="s">
        <v>67</v>
      </c>
      <c r="AA563" s="7" t="s">
        <v>3111</v>
      </c>
    </row>
    <row r="564" spans="1:28" ht="15" customHeight="1">
      <c r="A564" s="285"/>
      <c r="C564" s="15">
        <v>36</v>
      </c>
      <c r="D564" s="2">
        <v>19565</v>
      </c>
      <c r="E564" s="2" t="s">
        <v>2254</v>
      </c>
      <c r="F564" s="3">
        <v>29104090103759</v>
      </c>
      <c r="G564" s="15" t="s">
        <v>34</v>
      </c>
      <c r="H564" s="2" t="s">
        <v>2275</v>
      </c>
      <c r="I564" s="15" t="s">
        <v>66</v>
      </c>
      <c r="J564" s="7">
        <v>43029</v>
      </c>
      <c r="K564" s="15" t="s">
        <v>8</v>
      </c>
      <c r="L564" s="15" t="s">
        <v>12</v>
      </c>
      <c r="W564" s="16" t="s">
        <v>111</v>
      </c>
      <c r="Y564" s="7">
        <v>43055</v>
      </c>
      <c r="Z564" s="16" t="s">
        <v>67</v>
      </c>
      <c r="AA564" s="7" t="s">
        <v>3111</v>
      </c>
    </row>
    <row r="565" spans="1:28" ht="15" customHeight="1">
      <c r="A565" s="285"/>
      <c r="C565" s="15">
        <v>36</v>
      </c>
      <c r="D565" s="2">
        <v>19566</v>
      </c>
      <c r="E565" s="2" t="s">
        <v>2255</v>
      </c>
      <c r="F565" s="3">
        <v>29202122102221</v>
      </c>
      <c r="G565" s="2" t="s">
        <v>34</v>
      </c>
      <c r="H565" s="2" t="s">
        <v>2276</v>
      </c>
      <c r="I565" s="15" t="s">
        <v>66</v>
      </c>
      <c r="J565" s="7">
        <v>43029</v>
      </c>
      <c r="K565" s="15" t="s">
        <v>8</v>
      </c>
      <c r="L565" s="15" t="s">
        <v>12</v>
      </c>
      <c r="W565" s="16" t="s">
        <v>60</v>
      </c>
      <c r="Y565" s="7">
        <v>43055</v>
      </c>
      <c r="Z565" s="16" t="s">
        <v>66</v>
      </c>
      <c r="AA565" s="7">
        <v>43066</v>
      </c>
    </row>
    <row r="566" spans="1:28" ht="15" customHeight="1">
      <c r="A566" s="285"/>
      <c r="C566" s="15">
        <v>36</v>
      </c>
      <c r="D566" s="2">
        <v>19567</v>
      </c>
      <c r="E566" s="2" t="s">
        <v>2256</v>
      </c>
      <c r="F566" s="3">
        <v>29603272100875</v>
      </c>
      <c r="G566" s="2" t="s">
        <v>34</v>
      </c>
      <c r="H566" s="2" t="s">
        <v>2277</v>
      </c>
      <c r="I566" s="15" t="s">
        <v>66</v>
      </c>
      <c r="J566" s="7">
        <v>43029</v>
      </c>
      <c r="K566" s="15" t="s">
        <v>8</v>
      </c>
      <c r="L566" s="15" t="s">
        <v>12</v>
      </c>
      <c r="W566" s="16" t="s">
        <v>60</v>
      </c>
      <c r="X566" s="2" t="s">
        <v>66</v>
      </c>
      <c r="Y566" s="7">
        <v>43055</v>
      </c>
      <c r="Z566" s="16" t="s">
        <v>66</v>
      </c>
      <c r="AA566" s="7">
        <v>43066</v>
      </c>
    </row>
    <row r="567" spans="1:28" ht="15" customHeight="1">
      <c r="A567" s="285"/>
      <c r="C567" s="15">
        <v>36</v>
      </c>
      <c r="D567" s="2">
        <v>19568</v>
      </c>
      <c r="E567" s="2" t="s">
        <v>2257</v>
      </c>
      <c r="F567" s="3">
        <v>2941206230243</v>
      </c>
      <c r="G567" s="15" t="s">
        <v>34</v>
      </c>
      <c r="H567" s="2" t="s">
        <v>2278</v>
      </c>
      <c r="I567" s="15" t="s">
        <v>66</v>
      </c>
      <c r="J567" s="7">
        <v>43029</v>
      </c>
      <c r="K567" s="15" t="s">
        <v>8</v>
      </c>
      <c r="L567" s="15" t="s">
        <v>12</v>
      </c>
      <c r="W567" s="16" t="s">
        <v>61</v>
      </c>
      <c r="X567" s="2" t="s">
        <v>66</v>
      </c>
      <c r="Y567" s="7">
        <v>43055</v>
      </c>
      <c r="Z567" s="16" t="s">
        <v>67</v>
      </c>
      <c r="AA567" s="7" t="s">
        <v>3111</v>
      </c>
    </row>
    <row r="568" spans="1:28" ht="15" customHeight="1">
      <c r="A568" s="285"/>
      <c r="C568" s="15">
        <v>36</v>
      </c>
      <c r="D568" s="2">
        <v>19569</v>
      </c>
      <c r="E568" s="2" t="s">
        <v>2258</v>
      </c>
      <c r="F568" s="3">
        <v>29302080106144</v>
      </c>
      <c r="G568" s="2" t="s">
        <v>34</v>
      </c>
      <c r="H568" s="2" t="s">
        <v>2279</v>
      </c>
      <c r="I568" s="15" t="s">
        <v>66</v>
      </c>
      <c r="J568" s="7">
        <v>43029</v>
      </c>
      <c r="K568" s="15" t="s">
        <v>8</v>
      </c>
      <c r="L568" s="15" t="s">
        <v>12</v>
      </c>
      <c r="W568" s="16" t="s">
        <v>64</v>
      </c>
      <c r="X568" s="2" t="s">
        <v>66</v>
      </c>
      <c r="Y568" s="7">
        <v>43055</v>
      </c>
      <c r="Z568" s="16" t="s">
        <v>67</v>
      </c>
      <c r="AA568" s="7" t="s">
        <v>3111</v>
      </c>
    </row>
    <row r="569" spans="1:28" ht="15" customHeight="1">
      <c r="A569" s="285"/>
      <c r="C569" s="15">
        <v>36</v>
      </c>
      <c r="D569" s="2">
        <v>19570</v>
      </c>
      <c r="E569" s="2" t="s">
        <v>2259</v>
      </c>
      <c r="F569" s="3">
        <v>29503071201946</v>
      </c>
      <c r="G569" s="2" t="s">
        <v>34</v>
      </c>
      <c r="H569" s="2" t="s">
        <v>2280</v>
      </c>
      <c r="I569" s="15" t="s">
        <v>66</v>
      </c>
      <c r="J569" s="7">
        <v>43029</v>
      </c>
      <c r="K569" s="15" t="s">
        <v>8</v>
      </c>
      <c r="L569" s="15" t="s">
        <v>12</v>
      </c>
      <c r="W569" s="16" t="s">
        <v>64</v>
      </c>
      <c r="Y569" s="7">
        <v>43055</v>
      </c>
      <c r="Z569" s="16" t="s">
        <v>67</v>
      </c>
      <c r="AA569" s="7" t="s">
        <v>3111</v>
      </c>
    </row>
    <row r="570" spans="1:28" ht="15" customHeight="1">
      <c r="A570" s="285"/>
      <c r="C570" s="15">
        <v>36</v>
      </c>
      <c r="D570" s="2">
        <v>19571</v>
      </c>
      <c r="E570" s="2" t="s">
        <v>2260</v>
      </c>
      <c r="F570" s="3">
        <v>29403152104886</v>
      </c>
      <c r="G570" s="2" t="s">
        <v>34</v>
      </c>
      <c r="H570" s="2" t="s">
        <v>2281</v>
      </c>
      <c r="I570" s="15" t="s">
        <v>66</v>
      </c>
      <c r="J570" s="7">
        <v>43029</v>
      </c>
      <c r="K570" s="15" t="s">
        <v>8</v>
      </c>
      <c r="L570" s="15" t="s">
        <v>12</v>
      </c>
      <c r="W570" s="16" t="s">
        <v>63</v>
      </c>
      <c r="Y570" s="7">
        <v>43055</v>
      </c>
      <c r="Z570" s="16" t="s">
        <v>67</v>
      </c>
      <c r="AA570" s="7" t="s">
        <v>3111</v>
      </c>
    </row>
    <row r="571" spans="1:28" ht="15.75" customHeight="1" thickBot="1">
      <c r="A571" s="286"/>
      <c r="C571" s="28">
        <v>36</v>
      </c>
      <c r="D571" s="28">
        <v>12817</v>
      </c>
      <c r="E571" s="28" t="s">
        <v>2261</v>
      </c>
      <c r="F571" s="29">
        <v>28801231200094</v>
      </c>
      <c r="G571" s="28" t="s">
        <v>34</v>
      </c>
      <c r="H571" s="28" t="s">
        <v>2282</v>
      </c>
      <c r="I571" s="28" t="s">
        <v>67</v>
      </c>
      <c r="J571" s="30">
        <v>43029</v>
      </c>
      <c r="K571" s="28" t="s">
        <v>8</v>
      </c>
      <c r="L571" s="28" t="s">
        <v>12</v>
      </c>
      <c r="M571" s="28"/>
      <c r="N571" s="28"/>
      <c r="O571" s="226"/>
      <c r="P571" s="28"/>
      <c r="Q571" s="226"/>
      <c r="R571" s="28"/>
      <c r="S571" s="28"/>
      <c r="T571" s="28"/>
      <c r="U571" s="28"/>
      <c r="V571" s="28"/>
      <c r="W571" s="28" t="s">
        <v>61</v>
      </c>
      <c r="X571" s="28"/>
      <c r="Y571" s="30">
        <v>43055</v>
      </c>
      <c r="Z571" s="28" t="s">
        <v>66</v>
      </c>
      <c r="AA571" s="30">
        <v>43080</v>
      </c>
      <c r="AB571" s="28"/>
    </row>
    <row r="572" spans="1:28" ht="15.75" customHeight="1" thickTop="1">
      <c r="A572" s="289" t="s">
        <v>3121</v>
      </c>
      <c r="C572" s="15">
        <v>37</v>
      </c>
      <c r="D572" s="2">
        <v>19573</v>
      </c>
      <c r="E572" s="2" t="s">
        <v>2210</v>
      </c>
      <c r="F572" s="3">
        <v>29310153400031</v>
      </c>
      <c r="G572" s="2" t="s">
        <v>34</v>
      </c>
      <c r="H572" s="2" t="s">
        <v>2226</v>
      </c>
      <c r="I572" s="15" t="s">
        <v>66</v>
      </c>
      <c r="J572" s="7">
        <v>43032</v>
      </c>
      <c r="K572" s="15" t="s">
        <v>8</v>
      </c>
      <c r="L572" s="15" t="s">
        <v>12</v>
      </c>
      <c r="W572" s="16" t="s">
        <v>64</v>
      </c>
      <c r="Y572" s="7">
        <v>43058</v>
      </c>
      <c r="Z572" s="25" t="s">
        <v>67</v>
      </c>
      <c r="AA572" s="7" t="s">
        <v>3111</v>
      </c>
      <c r="AB572" s="2" t="s">
        <v>5286</v>
      </c>
    </row>
    <row r="573" spans="1:28" ht="15" customHeight="1">
      <c r="A573" s="290"/>
      <c r="C573" s="15">
        <v>37</v>
      </c>
      <c r="D573" s="2">
        <v>19574</v>
      </c>
      <c r="E573" s="2" t="s">
        <v>2211</v>
      </c>
      <c r="F573" s="3">
        <v>29509302108373</v>
      </c>
      <c r="G573" s="2" t="s">
        <v>34</v>
      </c>
      <c r="H573" s="2" t="s">
        <v>2227</v>
      </c>
      <c r="I573" s="15" t="s">
        <v>66</v>
      </c>
      <c r="J573" s="7">
        <v>43032</v>
      </c>
      <c r="K573" s="15" t="s">
        <v>8</v>
      </c>
      <c r="L573" s="15" t="s">
        <v>12</v>
      </c>
      <c r="W573" s="16" t="s">
        <v>60</v>
      </c>
      <c r="Y573" s="7">
        <v>43058</v>
      </c>
      <c r="Z573" s="16" t="s">
        <v>66</v>
      </c>
      <c r="AA573" s="7">
        <v>43066</v>
      </c>
    </row>
    <row r="574" spans="1:28" ht="15" customHeight="1">
      <c r="A574" s="290"/>
      <c r="C574" s="15">
        <v>37</v>
      </c>
      <c r="D574" s="2">
        <v>19575</v>
      </c>
      <c r="E574" s="2" t="s">
        <v>2212</v>
      </c>
      <c r="F574" s="3">
        <v>29312120102525</v>
      </c>
      <c r="G574" s="2" t="s">
        <v>34</v>
      </c>
      <c r="H574" s="2" t="s">
        <v>2228</v>
      </c>
      <c r="I574" s="15" t="s">
        <v>66</v>
      </c>
      <c r="J574" s="7">
        <v>43032</v>
      </c>
      <c r="K574" s="15" t="s">
        <v>8</v>
      </c>
      <c r="L574" s="15" t="s">
        <v>12</v>
      </c>
      <c r="W574" s="16" t="s">
        <v>60</v>
      </c>
      <c r="X574" s="2" t="s">
        <v>66</v>
      </c>
      <c r="Y574" s="7">
        <v>43058</v>
      </c>
      <c r="Z574" s="16" t="s">
        <v>66</v>
      </c>
      <c r="AA574" s="7">
        <v>43082</v>
      </c>
    </row>
    <row r="575" spans="1:28" ht="15" customHeight="1">
      <c r="A575" s="290"/>
      <c r="C575" s="15">
        <v>37</v>
      </c>
      <c r="D575" s="2">
        <v>19576</v>
      </c>
      <c r="E575" s="2" t="s">
        <v>2213</v>
      </c>
      <c r="F575" s="3">
        <v>29401191100283</v>
      </c>
      <c r="G575" s="2" t="s">
        <v>34</v>
      </c>
      <c r="H575" s="2" t="s">
        <v>2229</v>
      </c>
      <c r="I575" s="15" t="s">
        <v>66</v>
      </c>
      <c r="J575" s="7">
        <v>43032</v>
      </c>
      <c r="K575" s="15" t="s">
        <v>8</v>
      </c>
      <c r="L575" s="15" t="s">
        <v>12</v>
      </c>
      <c r="W575" s="16" t="s">
        <v>111</v>
      </c>
      <c r="Y575" s="7">
        <v>43058</v>
      </c>
      <c r="Z575" s="16" t="s">
        <v>66</v>
      </c>
      <c r="AA575" s="7">
        <v>43072</v>
      </c>
      <c r="AB575" s="2" t="s">
        <v>6403</v>
      </c>
    </row>
    <row r="576" spans="1:28" ht="15" customHeight="1">
      <c r="A576" s="290"/>
      <c r="C576" s="15">
        <v>37</v>
      </c>
      <c r="D576" s="2">
        <v>19577</v>
      </c>
      <c r="E576" s="2" t="s">
        <v>2214</v>
      </c>
      <c r="F576" s="3" t="s">
        <v>2215</v>
      </c>
      <c r="G576" s="2" t="s">
        <v>34</v>
      </c>
      <c r="H576" s="2" t="s">
        <v>2230</v>
      </c>
      <c r="I576" s="15" t="s">
        <v>66</v>
      </c>
      <c r="J576" s="7">
        <v>43032</v>
      </c>
      <c r="K576" s="15" t="s">
        <v>8</v>
      </c>
      <c r="L576" s="15" t="s">
        <v>12</v>
      </c>
      <c r="W576" s="16" t="s">
        <v>63</v>
      </c>
      <c r="Y576" s="7">
        <v>43058</v>
      </c>
      <c r="Z576" s="25" t="s">
        <v>67</v>
      </c>
      <c r="AA576" s="7" t="s">
        <v>3111</v>
      </c>
    </row>
    <row r="577" spans="1:28" ht="15" customHeight="1">
      <c r="A577" s="290"/>
      <c r="C577" s="2">
        <v>37</v>
      </c>
      <c r="D577" s="2">
        <v>19578</v>
      </c>
      <c r="E577" s="2" t="s">
        <v>2216</v>
      </c>
      <c r="F577" s="3">
        <v>29411152100981</v>
      </c>
      <c r="G577" s="15" t="s">
        <v>34</v>
      </c>
      <c r="H577" s="2" t="s">
        <v>2231</v>
      </c>
      <c r="I577" s="15" t="s">
        <v>66</v>
      </c>
      <c r="J577" s="4">
        <v>43032</v>
      </c>
      <c r="K577" s="15" t="s">
        <v>8</v>
      </c>
      <c r="L577" s="15" t="s">
        <v>12</v>
      </c>
      <c r="W577" s="16" t="s">
        <v>60</v>
      </c>
      <c r="Y577" s="7">
        <v>43058</v>
      </c>
      <c r="Z577" s="16" t="s">
        <v>66</v>
      </c>
      <c r="AA577" s="7">
        <v>43082</v>
      </c>
    </row>
    <row r="578" spans="1:28" ht="15" customHeight="1">
      <c r="A578" s="290"/>
      <c r="C578" s="15">
        <v>37</v>
      </c>
      <c r="D578" s="2">
        <v>19579</v>
      </c>
      <c r="E578" s="2" t="s">
        <v>2217</v>
      </c>
      <c r="F578" s="3">
        <v>27711120201374</v>
      </c>
      <c r="G578" s="2" t="s">
        <v>34</v>
      </c>
      <c r="H578" s="2" t="s">
        <v>2232</v>
      </c>
      <c r="I578" s="15" t="s">
        <v>66</v>
      </c>
      <c r="J578" s="4">
        <v>43032</v>
      </c>
      <c r="K578" s="15" t="s">
        <v>8</v>
      </c>
      <c r="L578" s="15" t="s">
        <v>12</v>
      </c>
      <c r="W578" s="16" t="s">
        <v>111</v>
      </c>
      <c r="Y578" s="7">
        <v>43058</v>
      </c>
      <c r="Z578" s="16" t="s">
        <v>66</v>
      </c>
      <c r="AA578" s="7">
        <v>43109</v>
      </c>
    </row>
    <row r="579" spans="1:28" ht="15" customHeight="1">
      <c r="A579" s="290"/>
      <c r="C579" s="15">
        <v>37</v>
      </c>
      <c r="D579" s="2">
        <v>19580</v>
      </c>
      <c r="E579" s="2" t="s">
        <v>2218</v>
      </c>
      <c r="F579" s="3">
        <v>28312150103671</v>
      </c>
      <c r="G579" s="2" t="s">
        <v>34</v>
      </c>
      <c r="H579" s="2" t="s">
        <v>2233</v>
      </c>
      <c r="I579" s="15" t="s">
        <v>66</v>
      </c>
      <c r="J579" s="4">
        <v>43032</v>
      </c>
      <c r="K579" s="15" t="s">
        <v>8</v>
      </c>
      <c r="L579" s="15" t="s">
        <v>12</v>
      </c>
      <c r="W579" s="16" t="s">
        <v>61</v>
      </c>
      <c r="Y579" s="7">
        <v>43058</v>
      </c>
      <c r="Z579" s="16" t="s">
        <v>66</v>
      </c>
      <c r="AA579" s="7">
        <v>43080</v>
      </c>
    </row>
    <row r="580" spans="1:28" ht="15" customHeight="1">
      <c r="A580" s="290"/>
      <c r="C580" s="15">
        <v>37</v>
      </c>
      <c r="D580" s="2">
        <v>19581</v>
      </c>
      <c r="E580" s="2" t="s">
        <v>2219</v>
      </c>
      <c r="F580" s="3">
        <v>29301011606171</v>
      </c>
      <c r="G580" s="15" t="s">
        <v>34</v>
      </c>
      <c r="H580" s="2" t="s">
        <v>2234</v>
      </c>
      <c r="I580" s="15" t="s">
        <v>66</v>
      </c>
      <c r="J580" s="4">
        <v>43032</v>
      </c>
      <c r="K580" s="15" t="s">
        <v>8</v>
      </c>
      <c r="L580" s="15" t="s">
        <v>12</v>
      </c>
      <c r="W580" s="16" t="s">
        <v>111</v>
      </c>
      <c r="Y580" s="7">
        <v>43058</v>
      </c>
      <c r="Z580" s="16" t="s">
        <v>66</v>
      </c>
      <c r="AA580" s="7">
        <v>43072</v>
      </c>
    </row>
    <row r="581" spans="1:28" ht="15" customHeight="1">
      <c r="A581" s="290"/>
      <c r="C581" s="15">
        <v>37</v>
      </c>
      <c r="D581" s="2">
        <v>19582</v>
      </c>
      <c r="E581" s="2" t="s">
        <v>2220</v>
      </c>
      <c r="F581" s="3">
        <v>29305030103097</v>
      </c>
      <c r="G581" s="2" t="s">
        <v>34</v>
      </c>
      <c r="H581" s="2" t="s">
        <v>2235</v>
      </c>
      <c r="I581" s="15" t="s">
        <v>66</v>
      </c>
      <c r="J581" s="4">
        <v>43032</v>
      </c>
      <c r="K581" s="15" t="s">
        <v>8</v>
      </c>
      <c r="L581" s="15" t="s">
        <v>12</v>
      </c>
      <c r="W581" s="16" t="s">
        <v>62</v>
      </c>
      <c r="X581" s="2" t="s">
        <v>66</v>
      </c>
      <c r="Y581" s="7">
        <v>43058</v>
      </c>
      <c r="Z581" s="25" t="s">
        <v>67</v>
      </c>
      <c r="AA581" s="7" t="s">
        <v>3111</v>
      </c>
    </row>
    <row r="582" spans="1:28" ht="15" customHeight="1">
      <c r="A582" s="290"/>
      <c r="C582" s="16">
        <v>37</v>
      </c>
      <c r="D582" s="16">
        <v>19583</v>
      </c>
      <c r="E582" s="16" t="s">
        <v>2221</v>
      </c>
      <c r="F582" s="3">
        <v>29501180103706</v>
      </c>
      <c r="G582" s="16" t="s">
        <v>34</v>
      </c>
      <c r="H582" s="16" t="s">
        <v>2236</v>
      </c>
      <c r="I582" s="16" t="s">
        <v>66</v>
      </c>
      <c r="J582" s="45">
        <v>43032</v>
      </c>
      <c r="K582" s="16" t="s">
        <v>8</v>
      </c>
      <c r="L582" s="16" t="s">
        <v>12</v>
      </c>
      <c r="M582" s="16"/>
      <c r="N582" s="16"/>
      <c r="W582" s="16" t="s">
        <v>61</v>
      </c>
      <c r="X582" s="16"/>
      <c r="Y582" s="45">
        <v>43058</v>
      </c>
      <c r="Z582" s="16" t="s">
        <v>66</v>
      </c>
      <c r="AA582" s="45">
        <v>43080</v>
      </c>
      <c r="AB582" s="16"/>
    </row>
    <row r="583" spans="1:28" ht="15" customHeight="1">
      <c r="A583" s="290"/>
      <c r="C583" s="15">
        <v>37</v>
      </c>
      <c r="D583" s="2">
        <v>19584</v>
      </c>
      <c r="E583" s="2" t="s">
        <v>2222</v>
      </c>
      <c r="F583" s="3">
        <v>29608122101051</v>
      </c>
      <c r="G583" s="16" t="s">
        <v>3636</v>
      </c>
      <c r="H583" s="2" t="s">
        <v>2237</v>
      </c>
      <c r="I583" s="15" t="s">
        <v>66</v>
      </c>
      <c r="J583" s="4">
        <v>43032</v>
      </c>
      <c r="K583" s="15" t="s">
        <v>8</v>
      </c>
      <c r="L583" s="15" t="s">
        <v>12</v>
      </c>
      <c r="W583" s="16" t="s">
        <v>60</v>
      </c>
      <c r="Y583" s="7">
        <v>43058</v>
      </c>
      <c r="Z583" s="16" t="s">
        <v>66</v>
      </c>
      <c r="AA583" s="7">
        <v>43066</v>
      </c>
    </row>
    <row r="584" spans="1:28" ht="15" customHeight="1">
      <c r="A584" s="290"/>
      <c r="C584" s="15">
        <v>37</v>
      </c>
      <c r="D584" s="2">
        <v>19585</v>
      </c>
      <c r="E584" s="2" t="s">
        <v>2223</v>
      </c>
      <c r="F584" s="3">
        <v>29510012112448</v>
      </c>
      <c r="G584" s="15" t="s">
        <v>34</v>
      </c>
      <c r="H584" s="2" t="s">
        <v>2238</v>
      </c>
      <c r="I584" s="15" t="s">
        <v>66</v>
      </c>
      <c r="J584" s="4">
        <v>43032</v>
      </c>
      <c r="K584" s="15" t="s">
        <v>8</v>
      </c>
      <c r="L584" s="15" t="s">
        <v>12</v>
      </c>
      <c r="W584" s="16" t="s">
        <v>59</v>
      </c>
      <c r="X584" s="2" t="s">
        <v>66</v>
      </c>
      <c r="Y584" s="7">
        <v>43058</v>
      </c>
      <c r="Z584" s="25" t="s">
        <v>67</v>
      </c>
      <c r="AA584" s="7" t="s">
        <v>3111</v>
      </c>
    </row>
    <row r="585" spans="1:28" ht="15" customHeight="1">
      <c r="A585" s="290"/>
      <c r="C585" s="15">
        <v>37</v>
      </c>
      <c r="D585" s="2">
        <v>19558</v>
      </c>
      <c r="E585" s="2" t="s">
        <v>2224</v>
      </c>
      <c r="F585" s="3">
        <v>29402062100044</v>
      </c>
      <c r="G585" s="15" t="s">
        <v>34</v>
      </c>
      <c r="H585" s="2" t="s">
        <v>2239</v>
      </c>
      <c r="I585" s="15" t="s">
        <v>66</v>
      </c>
      <c r="J585" s="4">
        <v>43029</v>
      </c>
      <c r="K585" s="15" t="s">
        <v>8</v>
      </c>
      <c r="L585" s="15" t="s">
        <v>12</v>
      </c>
      <c r="Z585" s="16" t="str">
        <f>IF(OR(W585="Dismissed", W585="Resigned"),"No","")</f>
        <v/>
      </c>
    </row>
    <row r="586" spans="1:28" ht="15.75" customHeight="1" thickBot="1">
      <c r="A586" s="291"/>
      <c r="C586" s="28">
        <v>37</v>
      </c>
      <c r="D586" s="28">
        <v>19561</v>
      </c>
      <c r="E586" s="28" t="s">
        <v>2225</v>
      </c>
      <c r="F586" s="29">
        <v>29507150103564</v>
      </c>
      <c r="G586" s="28" t="s">
        <v>184</v>
      </c>
      <c r="H586" s="28" t="s">
        <v>2240</v>
      </c>
      <c r="I586" s="28" t="s">
        <v>66</v>
      </c>
      <c r="J586" s="30">
        <v>43029</v>
      </c>
      <c r="K586" s="28" t="s">
        <v>8</v>
      </c>
      <c r="L586" s="28" t="s">
        <v>12</v>
      </c>
      <c r="M586" s="28"/>
      <c r="N586" s="28"/>
      <c r="O586" s="226"/>
      <c r="P586" s="28"/>
      <c r="Q586" s="226"/>
      <c r="R586" s="28"/>
      <c r="S586" s="28"/>
      <c r="T586" s="28"/>
      <c r="U586" s="28"/>
      <c r="V586" s="28"/>
      <c r="W586" s="28"/>
      <c r="X586" s="28"/>
      <c r="Y586" s="30"/>
      <c r="Z586" s="28" t="str">
        <f>IF(OR(W586="Dismissed", W586="Resigned"),"No","")</f>
        <v/>
      </c>
      <c r="AA586" s="30"/>
      <c r="AB586" s="28"/>
    </row>
    <row r="587" spans="1:28" ht="15.75" customHeight="1" thickTop="1">
      <c r="A587" s="289" t="s">
        <v>3122</v>
      </c>
      <c r="C587" s="15">
        <v>38</v>
      </c>
      <c r="D587" s="2">
        <v>19586</v>
      </c>
      <c r="E587" s="2" t="s">
        <v>2183</v>
      </c>
      <c r="F587" s="3">
        <v>29306012106107</v>
      </c>
      <c r="G587" s="2" t="s">
        <v>184</v>
      </c>
      <c r="H587" s="2" t="s">
        <v>2197</v>
      </c>
      <c r="I587" s="15" t="s">
        <v>66</v>
      </c>
      <c r="J587" s="4">
        <v>43036</v>
      </c>
      <c r="K587" s="15" t="s">
        <v>8</v>
      </c>
      <c r="L587" s="15" t="s">
        <v>12</v>
      </c>
      <c r="W587" s="16" t="s">
        <v>60</v>
      </c>
      <c r="Y587" s="7">
        <v>43061</v>
      </c>
      <c r="Z587" s="16" t="s">
        <v>66</v>
      </c>
      <c r="AA587" s="7">
        <v>43122</v>
      </c>
      <c r="AB587" s="2" t="s">
        <v>4893</v>
      </c>
    </row>
    <row r="588" spans="1:28" ht="15" customHeight="1">
      <c r="A588" s="290"/>
      <c r="C588" s="15">
        <v>38</v>
      </c>
      <c r="D588" s="2">
        <v>19587</v>
      </c>
      <c r="E588" s="2" t="s">
        <v>2184</v>
      </c>
      <c r="F588" s="3">
        <v>29305220100221</v>
      </c>
      <c r="G588" s="15" t="s">
        <v>34</v>
      </c>
      <c r="H588" s="2" t="s">
        <v>2198</v>
      </c>
      <c r="I588" s="15" t="s">
        <v>66</v>
      </c>
      <c r="J588" s="4">
        <v>43036</v>
      </c>
      <c r="K588" s="15" t="s">
        <v>8</v>
      </c>
      <c r="L588" s="15" t="s">
        <v>12</v>
      </c>
      <c r="W588" s="16" t="s">
        <v>61</v>
      </c>
      <c r="Y588" s="7">
        <v>43061</v>
      </c>
      <c r="Z588" s="16" t="s">
        <v>66</v>
      </c>
      <c r="AA588" s="7">
        <v>43080</v>
      </c>
    </row>
    <row r="589" spans="1:28" ht="15" customHeight="1">
      <c r="A589" s="290"/>
      <c r="C589" s="15">
        <v>38</v>
      </c>
      <c r="D589" s="2">
        <v>19588</v>
      </c>
      <c r="E589" s="2" t="s">
        <v>2185</v>
      </c>
      <c r="F589" s="3">
        <v>29209191403971</v>
      </c>
      <c r="G589" s="15" t="s">
        <v>34</v>
      </c>
      <c r="H589" s="2" t="s">
        <v>2199</v>
      </c>
      <c r="I589" s="15" t="s">
        <v>66</v>
      </c>
      <c r="J589" s="4">
        <v>43036</v>
      </c>
      <c r="K589" s="15" t="s">
        <v>8</v>
      </c>
      <c r="L589" s="15" t="s">
        <v>12</v>
      </c>
      <c r="M589" s="15"/>
      <c r="W589" s="16" t="s">
        <v>60</v>
      </c>
      <c r="Y589" s="7">
        <v>43061</v>
      </c>
      <c r="Z589" s="16" t="s">
        <v>66</v>
      </c>
      <c r="AA589" s="7">
        <v>43066</v>
      </c>
    </row>
    <row r="590" spans="1:28" ht="15" customHeight="1">
      <c r="A590" s="290"/>
      <c r="C590" s="16">
        <v>38</v>
      </c>
      <c r="D590" s="16">
        <v>19590</v>
      </c>
      <c r="E590" s="16" t="s">
        <v>2186</v>
      </c>
      <c r="F590" s="3">
        <v>29405160100752</v>
      </c>
      <c r="G590" s="16" t="s">
        <v>34</v>
      </c>
      <c r="H590" s="16" t="s">
        <v>2200</v>
      </c>
      <c r="I590" s="16" t="s">
        <v>66</v>
      </c>
      <c r="J590" s="45">
        <v>43036</v>
      </c>
      <c r="K590" s="16" t="s">
        <v>8</v>
      </c>
      <c r="L590" s="16" t="s">
        <v>12</v>
      </c>
      <c r="M590" s="16"/>
      <c r="N590" s="16"/>
      <c r="W590" s="16" t="s">
        <v>62</v>
      </c>
      <c r="X590" s="16"/>
      <c r="Y590" s="45">
        <v>43061</v>
      </c>
      <c r="Z590" s="16" t="s">
        <v>66</v>
      </c>
      <c r="AA590" s="45">
        <v>43072</v>
      </c>
      <c r="AB590" s="16"/>
    </row>
    <row r="591" spans="1:28" ht="15" customHeight="1">
      <c r="A591" s="290"/>
      <c r="C591" s="15">
        <v>38</v>
      </c>
      <c r="D591" s="2">
        <v>19591</v>
      </c>
      <c r="E591" s="2" t="s">
        <v>2187</v>
      </c>
      <c r="F591" s="3">
        <v>29501308800537</v>
      </c>
      <c r="G591" s="2" t="s">
        <v>34</v>
      </c>
      <c r="H591" s="2" t="s">
        <v>2201</v>
      </c>
      <c r="I591" s="15" t="s">
        <v>66</v>
      </c>
      <c r="J591" s="4">
        <v>43036</v>
      </c>
      <c r="K591" s="15" t="s">
        <v>8</v>
      </c>
      <c r="L591" s="15" t="s">
        <v>12</v>
      </c>
      <c r="W591" s="16" t="s">
        <v>60</v>
      </c>
      <c r="Y591" s="7">
        <v>43061</v>
      </c>
      <c r="Z591" s="16" t="s">
        <v>66</v>
      </c>
      <c r="AA591" s="7">
        <v>43066</v>
      </c>
    </row>
    <row r="592" spans="1:28" ht="15" customHeight="1">
      <c r="A592" s="290"/>
      <c r="C592" s="2">
        <v>38</v>
      </c>
      <c r="D592" s="2">
        <v>19592</v>
      </c>
      <c r="E592" s="2" t="s">
        <v>2188</v>
      </c>
      <c r="F592" s="3">
        <v>28505022102371</v>
      </c>
      <c r="G592" s="2" t="s">
        <v>34</v>
      </c>
      <c r="H592" s="2" t="s">
        <v>2202</v>
      </c>
      <c r="I592" s="15" t="s">
        <v>66</v>
      </c>
      <c r="J592" s="4">
        <v>43036</v>
      </c>
      <c r="K592" s="15" t="s">
        <v>8</v>
      </c>
      <c r="L592" s="15" t="s">
        <v>12</v>
      </c>
      <c r="W592" s="16" t="s">
        <v>63</v>
      </c>
      <c r="Y592" s="7">
        <v>43061</v>
      </c>
      <c r="Z592" s="16" t="s">
        <v>67</v>
      </c>
      <c r="AA592" s="7" t="s">
        <v>3111</v>
      </c>
    </row>
    <row r="593" spans="1:28" ht="15" customHeight="1">
      <c r="A593" s="290"/>
      <c r="C593" s="15">
        <v>38</v>
      </c>
      <c r="D593" s="2">
        <v>19593</v>
      </c>
      <c r="E593" s="2" t="s">
        <v>2189</v>
      </c>
      <c r="F593" s="3">
        <v>29310108800044</v>
      </c>
      <c r="G593" s="2" t="s">
        <v>34</v>
      </c>
      <c r="H593" s="2" t="s">
        <v>2203</v>
      </c>
      <c r="I593" s="15" t="s">
        <v>66</v>
      </c>
      <c r="J593" s="4">
        <v>43036</v>
      </c>
      <c r="K593" s="15" t="s">
        <v>8</v>
      </c>
      <c r="L593" s="15" t="s">
        <v>12</v>
      </c>
      <c r="M593" s="15"/>
      <c r="W593" s="16" t="s">
        <v>62</v>
      </c>
      <c r="Y593" s="7">
        <v>43061</v>
      </c>
      <c r="Z593" s="16" t="s">
        <v>66</v>
      </c>
      <c r="AA593" s="7">
        <v>43072</v>
      </c>
    </row>
    <row r="594" spans="1:28" ht="15" customHeight="1">
      <c r="A594" s="290"/>
      <c r="C594" s="15">
        <v>38</v>
      </c>
      <c r="D594" s="2">
        <v>19594</v>
      </c>
      <c r="E594" s="2" t="s">
        <v>2190</v>
      </c>
      <c r="F594" s="3" t="s">
        <v>2191</v>
      </c>
      <c r="G594" s="15" t="s">
        <v>34</v>
      </c>
      <c r="H594" s="2" t="s">
        <v>2204</v>
      </c>
      <c r="I594" s="15" t="s">
        <v>66</v>
      </c>
      <c r="J594" s="4">
        <v>43036</v>
      </c>
      <c r="K594" s="15" t="s">
        <v>8</v>
      </c>
      <c r="L594" s="15" t="s">
        <v>12</v>
      </c>
      <c r="W594" s="16" t="s">
        <v>61</v>
      </c>
      <c r="Y594" s="7">
        <v>43061</v>
      </c>
      <c r="Z594" s="16" t="s">
        <v>66</v>
      </c>
      <c r="AA594" s="7">
        <v>43080</v>
      </c>
    </row>
    <row r="595" spans="1:28" ht="15" customHeight="1">
      <c r="A595" s="290"/>
      <c r="C595" s="15">
        <v>38</v>
      </c>
      <c r="D595" s="2">
        <v>19595</v>
      </c>
      <c r="E595" s="2" t="s">
        <v>2192</v>
      </c>
      <c r="F595" s="3">
        <v>29401180100664</v>
      </c>
      <c r="G595" s="2" t="s">
        <v>34</v>
      </c>
      <c r="H595" s="2" t="s">
        <v>2205</v>
      </c>
      <c r="I595" s="15" t="s">
        <v>66</v>
      </c>
      <c r="J595" s="4">
        <v>43036</v>
      </c>
      <c r="K595" s="15" t="s">
        <v>8</v>
      </c>
      <c r="L595" s="15" t="s">
        <v>12</v>
      </c>
      <c r="W595" s="16" t="s">
        <v>60</v>
      </c>
      <c r="Y595" s="7">
        <v>43061</v>
      </c>
      <c r="Z595" s="16" t="s">
        <v>66</v>
      </c>
      <c r="AA595" s="7">
        <v>43066</v>
      </c>
    </row>
    <row r="596" spans="1:28" ht="15" customHeight="1">
      <c r="A596" s="290"/>
      <c r="C596" s="15">
        <v>38</v>
      </c>
      <c r="D596" s="2">
        <v>19596</v>
      </c>
      <c r="E596" s="2" t="s">
        <v>2193</v>
      </c>
      <c r="F596" s="3">
        <v>29507310102128</v>
      </c>
      <c r="G596" s="2" t="s">
        <v>34</v>
      </c>
      <c r="H596" s="2" t="s">
        <v>2206</v>
      </c>
      <c r="I596" s="15" t="s">
        <v>66</v>
      </c>
      <c r="J596" s="4">
        <v>43036</v>
      </c>
      <c r="K596" s="15" t="s">
        <v>8</v>
      </c>
      <c r="L596" s="15" t="s">
        <v>12</v>
      </c>
      <c r="W596" s="16" t="s">
        <v>60</v>
      </c>
      <c r="X596" s="2" t="s">
        <v>66</v>
      </c>
      <c r="Y596" s="7">
        <v>43061</v>
      </c>
      <c r="Z596" s="16" t="s">
        <v>66</v>
      </c>
      <c r="AA596" s="7">
        <v>43082</v>
      </c>
    </row>
    <row r="597" spans="1:28" ht="15" customHeight="1">
      <c r="A597" s="290"/>
      <c r="C597" s="15">
        <v>38</v>
      </c>
      <c r="D597" s="2">
        <v>19597</v>
      </c>
      <c r="E597" s="2" t="s">
        <v>2194</v>
      </c>
      <c r="F597" s="3">
        <v>29103050104101</v>
      </c>
      <c r="G597" s="15" t="s">
        <v>34</v>
      </c>
      <c r="H597" s="2" t="s">
        <v>2207</v>
      </c>
      <c r="I597" s="15" t="s">
        <v>66</v>
      </c>
      <c r="J597" s="4">
        <v>43036</v>
      </c>
      <c r="K597" s="15" t="s">
        <v>8</v>
      </c>
      <c r="L597" s="15" t="s">
        <v>12</v>
      </c>
      <c r="W597" s="16" t="s">
        <v>60</v>
      </c>
      <c r="Y597" s="7">
        <v>43061</v>
      </c>
      <c r="Z597" s="16" t="s">
        <v>66</v>
      </c>
      <c r="AA597" s="7">
        <v>43066</v>
      </c>
      <c r="AB597" s="2" t="s">
        <v>6589</v>
      </c>
    </row>
    <row r="598" spans="1:28" ht="15" customHeight="1">
      <c r="A598" s="290"/>
      <c r="C598" s="16">
        <v>38</v>
      </c>
      <c r="D598" s="16">
        <v>19598</v>
      </c>
      <c r="E598" s="16" t="s">
        <v>2195</v>
      </c>
      <c r="F598" s="3">
        <v>29409068800524</v>
      </c>
      <c r="G598" s="16" t="s">
        <v>34</v>
      </c>
      <c r="H598" s="16" t="s">
        <v>2208</v>
      </c>
      <c r="I598" s="16" t="s">
        <v>66</v>
      </c>
      <c r="J598" s="45">
        <v>43036</v>
      </c>
      <c r="K598" s="16" t="s">
        <v>8</v>
      </c>
      <c r="L598" s="16" t="s">
        <v>12</v>
      </c>
      <c r="M598" s="16"/>
      <c r="N598" s="16"/>
      <c r="W598" s="16" t="s">
        <v>61</v>
      </c>
      <c r="X598" s="16" t="s">
        <v>66</v>
      </c>
      <c r="Y598" s="45">
        <v>43061</v>
      </c>
      <c r="Z598" s="16" t="s">
        <v>66</v>
      </c>
      <c r="AA598" s="45">
        <v>43080</v>
      </c>
      <c r="AB598" s="16"/>
    </row>
    <row r="599" spans="1:28" ht="15.75" customHeight="1" thickBot="1">
      <c r="A599" s="291"/>
      <c r="C599" s="28">
        <v>38</v>
      </c>
      <c r="D599" s="28">
        <v>19599</v>
      </c>
      <c r="E599" s="28" t="s">
        <v>2196</v>
      </c>
      <c r="F599" s="29">
        <v>29503138800467</v>
      </c>
      <c r="G599" s="28" t="s">
        <v>34</v>
      </c>
      <c r="H599" s="28" t="s">
        <v>2209</v>
      </c>
      <c r="I599" s="28" t="s">
        <v>66</v>
      </c>
      <c r="J599" s="30">
        <v>43036</v>
      </c>
      <c r="K599" s="28" t="s">
        <v>8</v>
      </c>
      <c r="L599" s="28" t="s">
        <v>12</v>
      </c>
      <c r="M599" s="28"/>
      <c r="N599" s="28"/>
      <c r="O599" s="226"/>
      <c r="P599" s="28"/>
      <c r="Q599" s="226"/>
      <c r="R599" s="28"/>
      <c r="S599" s="28"/>
      <c r="T599" s="28"/>
      <c r="U599" s="28"/>
      <c r="V599" s="28"/>
      <c r="W599" s="28" t="s">
        <v>61</v>
      </c>
      <c r="X599" s="28"/>
      <c r="Y599" s="30">
        <v>43061</v>
      </c>
      <c r="Z599" s="28" t="s">
        <v>66</v>
      </c>
      <c r="AA599" s="30">
        <v>43080</v>
      </c>
      <c r="AB599" s="28"/>
    </row>
    <row r="600" spans="1:28" ht="15.75" customHeight="1" thickTop="1">
      <c r="A600" s="289" t="s">
        <v>3127</v>
      </c>
      <c r="C600" s="15">
        <v>39</v>
      </c>
      <c r="D600" s="2">
        <v>19601</v>
      </c>
      <c r="E600" s="2" t="s">
        <v>2139</v>
      </c>
      <c r="F600" s="3">
        <v>28901130102304</v>
      </c>
      <c r="G600" s="2" t="s">
        <v>1753</v>
      </c>
      <c r="H600" s="2" t="s">
        <v>2163</v>
      </c>
      <c r="I600" s="15" t="s">
        <v>66</v>
      </c>
      <c r="J600" s="4">
        <v>43043</v>
      </c>
      <c r="K600" s="15" t="s">
        <v>8</v>
      </c>
      <c r="L600" s="15" t="s">
        <v>12</v>
      </c>
      <c r="W600" s="16" t="s">
        <v>60</v>
      </c>
      <c r="Y600" s="7">
        <v>43069</v>
      </c>
      <c r="Z600" s="16" t="s">
        <v>66</v>
      </c>
      <c r="AA600" s="7">
        <v>43082</v>
      </c>
    </row>
    <row r="601" spans="1:28" ht="15" customHeight="1">
      <c r="A601" s="290"/>
      <c r="C601" s="15">
        <v>39</v>
      </c>
      <c r="D601" s="2">
        <v>19602</v>
      </c>
      <c r="E601" s="2" t="s">
        <v>2140</v>
      </c>
      <c r="F601" s="3">
        <v>29506048800084</v>
      </c>
      <c r="G601" s="2" t="s">
        <v>1753</v>
      </c>
      <c r="H601" s="2" t="s">
        <v>2164</v>
      </c>
      <c r="I601" s="15" t="s">
        <v>66</v>
      </c>
      <c r="J601" s="4">
        <v>43043</v>
      </c>
      <c r="K601" s="15" t="s">
        <v>8</v>
      </c>
      <c r="L601" s="15" t="s">
        <v>12</v>
      </c>
      <c r="W601" s="16" t="s">
        <v>64</v>
      </c>
      <c r="Y601" s="7">
        <v>43069</v>
      </c>
      <c r="Z601" s="16" t="s">
        <v>67</v>
      </c>
      <c r="AA601" s="7" t="s">
        <v>3111</v>
      </c>
    </row>
    <row r="602" spans="1:28" ht="15" customHeight="1">
      <c r="A602" s="290"/>
      <c r="C602" s="15">
        <v>39</v>
      </c>
      <c r="D602" s="2">
        <v>19603</v>
      </c>
      <c r="E602" s="2" t="s">
        <v>2141</v>
      </c>
      <c r="F602" s="3">
        <v>28907230102571</v>
      </c>
      <c r="G602" s="15" t="s">
        <v>1753</v>
      </c>
      <c r="H602" s="2" t="s">
        <v>2165</v>
      </c>
      <c r="I602" s="15" t="s">
        <v>66</v>
      </c>
      <c r="J602" s="4">
        <v>43043</v>
      </c>
      <c r="K602" s="15" t="s">
        <v>8</v>
      </c>
      <c r="L602" s="15" t="s">
        <v>12</v>
      </c>
      <c r="W602" s="16" t="s">
        <v>60</v>
      </c>
      <c r="X602" s="2" t="s">
        <v>66</v>
      </c>
      <c r="Y602" s="7">
        <v>43069</v>
      </c>
      <c r="Z602" s="16" t="s">
        <v>67</v>
      </c>
      <c r="AA602" s="7" t="s">
        <v>3111</v>
      </c>
    </row>
    <row r="603" spans="1:28" ht="15" customHeight="1">
      <c r="A603" s="290"/>
      <c r="C603" s="15">
        <v>39</v>
      </c>
      <c r="D603" s="2">
        <v>19604</v>
      </c>
      <c r="E603" s="2" t="s">
        <v>2142</v>
      </c>
      <c r="F603" s="3">
        <v>28410168800681</v>
      </c>
      <c r="G603" s="15" t="s">
        <v>1753</v>
      </c>
      <c r="H603" s="2" t="s">
        <v>2166</v>
      </c>
      <c r="I603" s="15" t="s">
        <v>66</v>
      </c>
      <c r="J603" s="4">
        <v>43043</v>
      </c>
      <c r="K603" s="15" t="s">
        <v>8</v>
      </c>
      <c r="L603" s="15" t="s">
        <v>12</v>
      </c>
      <c r="W603" s="16" t="s">
        <v>60</v>
      </c>
      <c r="Y603" s="7">
        <v>43069</v>
      </c>
      <c r="Z603" s="16" t="s">
        <v>66</v>
      </c>
      <c r="AA603" s="7">
        <v>43082</v>
      </c>
    </row>
    <row r="604" spans="1:28" ht="15" customHeight="1">
      <c r="A604" s="290"/>
      <c r="C604" s="15">
        <v>39</v>
      </c>
      <c r="D604" s="2">
        <v>19605</v>
      </c>
      <c r="E604" s="2" t="s">
        <v>2143</v>
      </c>
      <c r="F604" s="3">
        <v>28810291703191</v>
      </c>
      <c r="G604" s="2" t="s">
        <v>1753</v>
      </c>
      <c r="H604" s="2" t="s">
        <v>2167</v>
      </c>
      <c r="I604" s="15" t="s">
        <v>66</v>
      </c>
      <c r="J604" s="4">
        <v>43043</v>
      </c>
      <c r="K604" s="15" t="s">
        <v>8</v>
      </c>
      <c r="L604" s="15" t="s">
        <v>12</v>
      </c>
      <c r="W604" s="16" t="s">
        <v>64</v>
      </c>
      <c r="Y604" s="7">
        <v>43069</v>
      </c>
      <c r="Z604" s="16" t="s">
        <v>67</v>
      </c>
      <c r="AA604" s="7" t="s">
        <v>3111</v>
      </c>
    </row>
    <row r="605" spans="1:28" ht="15" customHeight="1">
      <c r="A605" s="290"/>
      <c r="C605" s="15">
        <v>39</v>
      </c>
      <c r="D605" s="2">
        <v>19606</v>
      </c>
      <c r="E605" s="2" t="s">
        <v>2144</v>
      </c>
      <c r="F605" s="3">
        <v>29111128800382</v>
      </c>
      <c r="G605" s="15" t="s">
        <v>1753</v>
      </c>
      <c r="H605" s="2" t="s">
        <v>2168</v>
      </c>
      <c r="I605" s="15" t="s">
        <v>66</v>
      </c>
      <c r="J605" s="4">
        <v>43043</v>
      </c>
      <c r="K605" s="15" t="s">
        <v>8</v>
      </c>
      <c r="L605" s="15" t="s">
        <v>12</v>
      </c>
      <c r="W605" s="16" t="s">
        <v>62</v>
      </c>
      <c r="Y605" s="7">
        <v>43069</v>
      </c>
      <c r="Z605" s="16" t="s">
        <v>66</v>
      </c>
      <c r="AA605" s="7">
        <v>43093</v>
      </c>
    </row>
    <row r="606" spans="1:28" ht="15" customHeight="1">
      <c r="A606" s="290"/>
      <c r="C606" s="2">
        <v>39</v>
      </c>
      <c r="D606" s="2">
        <v>19607</v>
      </c>
      <c r="E606" s="2" t="s">
        <v>2145</v>
      </c>
      <c r="F606" s="3">
        <v>29705172102428</v>
      </c>
      <c r="G606" s="2" t="s">
        <v>4</v>
      </c>
      <c r="H606" s="2" t="s">
        <v>2169</v>
      </c>
      <c r="I606" s="15" t="s">
        <v>66</v>
      </c>
      <c r="J606" s="4">
        <v>43043</v>
      </c>
      <c r="K606" s="15" t="s">
        <v>8</v>
      </c>
      <c r="L606" s="15" t="s">
        <v>12</v>
      </c>
      <c r="W606" s="16" t="s">
        <v>61</v>
      </c>
      <c r="X606" s="16" t="s">
        <v>66</v>
      </c>
      <c r="Y606" s="7">
        <v>43069</v>
      </c>
      <c r="Z606" s="16" t="s">
        <v>67</v>
      </c>
      <c r="AA606" s="7" t="s">
        <v>3111</v>
      </c>
    </row>
    <row r="607" spans="1:28" ht="15" customHeight="1">
      <c r="A607" s="290"/>
      <c r="C607" s="15">
        <v>39</v>
      </c>
      <c r="D607" s="2">
        <v>19608</v>
      </c>
      <c r="E607" s="2" t="s">
        <v>2146</v>
      </c>
      <c r="F607" s="3" t="s">
        <v>2147</v>
      </c>
      <c r="G607" s="2" t="s">
        <v>1753</v>
      </c>
      <c r="H607" s="2" t="s">
        <v>2170</v>
      </c>
      <c r="I607" s="15" t="s">
        <v>66</v>
      </c>
      <c r="J607" s="4">
        <v>43043</v>
      </c>
      <c r="K607" s="15" t="s">
        <v>8</v>
      </c>
      <c r="L607" s="15" t="s">
        <v>12</v>
      </c>
      <c r="W607" s="16" t="s">
        <v>62</v>
      </c>
      <c r="Y607" s="7">
        <v>43069</v>
      </c>
      <c r="Z607" s="16" t="s">
        <v>67</v>
      </c>
      <c r="AA607" s="7" t="s">
        <v>3111</v>
      </c>
    </row>
    <row r="608" spans="1:28" ht="15" customHeight="1">
      <c r="A608" s="290"/>
      <c r="C608" s="15">
        <v>39</v>
      </c>
      <c r="D608" s="2">
        <v>19609</v>
      </c>
      <c r="E608" s="2" t="s">
        <v>2148</v>
      </c>
      <c r="F608" s="3">
        <v>29411102103237</v>
      </c>
      <c r="G608" s="2" t="s">
        <v>1753</v>
      </c>
      <c r="H608" s="2" t="s">
        <v>2135</v>
      </c>
      <c r="I608" s="15" t="s">
        <v>66</v>
      </c>
      <c r="J608" s="4">
        <v>43043</v>
      </c>
      <c r="K608" s="15" t="s">
        <v>8</v>
      </c>
      <c r="L608" s="15" t="s">
        <v>12</v>
      </c>
      <c r="W608" s="16" t="s">
        <v>61</v>
      </c>
      <c r="Y608" s="7">
        <v>43069</v>
      </c>
      <c r="Z608" s="16" t="s">
        <v>66</v>
      </c>
      <c r="AA608" s="7">
        <v>43080</v>
      </c>
    </row>
    <row r="609" spans="1:28" ht="15" customHeight="1">
      <c r="A609" s="290"/>
      <c r="C609" s="15">
        <v>39</v>
      </c>
      <c r="D609" s="2">
        <v>19610</v>
      </c>
      <c r="E609" s="2" t="s">
        <v>2149</v>
      </c>
      <c r="F609" s="3">
        <v>29302090103488</v>
      </c>
      <c r="G609" s="2" t="s">
        <v>1753</v>
      </c>
      <c r="H609" s="2" t="s">
        <v>2171</v>
      </c>
      <c r="I609" s="15" t="s">
        <v>66</v>
      </c>
      <c r="J609" s="4">
        <v>43043</v>
      </c>
      <c r="K609" s="15" t="s">
        <v>8</v>
      </c>
      <c r="L609" s="15" t="s">
        <v>12</v>
      </c>
      <c r="W609" s="16" t="s">
        <v>60</v>
      </c>
      <c r="Y609" s="7">
        <v>43069</v>
      </c>
      <c r="Z609" s="16" t="s">
        <v>66</v>
      </c>
      <c r="AA609" s="7">
        <v>43082</v>
      </c>
    </row>
    <row r="610" spans="1:28" ht="15" customHeight="1">
      <c r="A610" s="290"/>
      <c r="C610" s="16">
        <v>39</v>
      </c>
      <c r="D610" s="16">
        <v>19611</v>
      </c>
      <c r="E610" s="16" t="s">
        <v>2150</v>
      </c>
      <c r="F610" s="3">
        <v>28912141701473</v>
      </c>
      <c r="G610" s="16" t="s">
        <v>1753</v>
      </c>
      <c r="H610" s="16" t="s">
        <v>2172</v>
      </c>
      <c r="I610" s="16" t="s">
        <v>66</v>
      </c>
      <c r="J610" s="45">
        <v>43043</v>
      </c>
      <c r="K610" s="16" t="s">
        <v>8</v>
      </c>
      <c r="L610" s="16" t="s">
        <v>12</v>
      </c>
      <c r="M610" s="16"/>
      <c r="N610" s="16"/>
      <c r="W610" s="16" t="s">
        <v>60</v>
      </c>
      <c r="X610" s="16"/>
      <c r="Y610" s="45">
        <v>43069</v>
      </c>
      <c r="Z610" s="16" t="s">
        <v>66</v>
      </c>
      <c r="AA610" s="45">
        <v>43082</v>
      </c>
      <c r="AB610" s="16"/>
    </row>
    <row r="611" spans="1:28" ht="15" customHeight="1">
      <c r="A611" s="290"/>
      <c r="C611" s="15">
        <v>39</v>
      </c>
      <c r="D611" s="2">
        <v>19612</v>
      </c>
      <c r="E611" s="2" t="s">
        <v>2151</v>
      </c>
      <c r="F611" s="3">
        <v>27912270104241</v>
      </c>
      <c r="G611" s="2" t="s">
        <v>1753</v>
      </c>
      <c r="H611" s="2" t="s">
        <v>2173</v>
      </c>
      <c r="I611" s="15" t="s">
        <v>66</v>
      </c>
      <c r="J611" s="4">
        <v>43043</v>
      </c>
      <c r="K611" s="15" t="s">
        <v>8</v>
      </c>
      <c r="L611" s="15" t="s">
        <v>12</v>
      </c>
      <c r="W611" s="16" t="s">
        <v>62</v>
      </c>
      <c r="Y611" s="7">
        <v>43069</v>
      </c>
      <c r="Z611" s="16" t="s">
        <v>66</v>
      </c>
      <c r="AA611" s="7">
        <v>43102</v>
      </c>
    </row>
    <row r="612" spans="1:28" ht="15" customHeight="1">
      <c r="A612" s="290"/>
      <c r="C612" s="15">
        <v>39</v>
      </c>
      <c r="D612" s="2">
        <v>19613</v>
      </c>
      <c r="E612" s="2" t="s">
        <v>2152</v>
      </c>
      <c r="F612" s="3">
        <v>29601090102802</v>
      </c>
      <c r="G612" s="2" t="s">
        <v>1753</v>
      </c>
      <c r="H612" s="2" t="s">
        <v>2174</v>
      </c>
      <c r="I612" s="15" t="s">
        <v>66</v>
      </c>
      <c r="J612" s="4">
        <v>43043</v>
      </c>
      <c r="K612" s="15" t="s">
        <v>8</v>
      </c>
      <c r="L612" s="15" t="s">
        <v>12</v>
      </c>
      <c r="W612" s="16" t="s">
        <v>60</v>
      </c>
      <c r="X612" s="16" t="s">
        <v>66</v>
      </c>
      <c r="Y612" s="7">
        <v>43069</v>
      </c>
      <c r="Z612" s="16" t="s">
        <v>66</v>
      </c>
      <c r="AA612" s="7">
        <v>43094</v>
      </c>
    </row>
    <row r="613" spans="1:28" ht="15" customHeight="1">
      <c r="A613" s="290"/>
      <c r="C613" s="16">
        <v>39</v>
      </c>
      <c r="D613" s="16">
        <v>19614</v>
      </c>
      <c r="E613" s="16" t="s">
        <v>2153</v>
      </c>
      <c r="F613" s="3">
        <v>29308082101156</v>
      </c>
      <c r="G613" s="16" t="s">
        <v>4</v>
      </c>
      <c r="H613" s="16" t="s">
        <v>2175</v>
      </c>
      <c r="I613" s="16" t="s">
        <v>66</v>
      </c>
      <c r="J613" s="45">
        <v>43043</v>
      </c>
      <c r="K613" s="16" t="s">
        <v>8</v>
      </c>
      <c r="L613" s="16" t="s">
        <v>12</v>
      </c>
      <c r="M613" s="16"/>
      <c r="N613" s="16"/>
      <c r="W613" s="16" t="s">
        <v>63</v>
      </c>
      <c r="X613" s="16"/>
      <c r="Y613" s="45">
        <v>43069</v>
      </c>
      <c r="Z613" s="16" t="s">
        <v>67</v>
      </c>
      <c r="AA613" s="45" t="s">
        <v>3111</v>
      </c>
      <c r="AB613" s="16"/>
    </row>
    <row r="614" spans="1:28" ht="15" customHeight="1">
      <c r="A614" s="290"/>
      <c r="C614" s="15">
        <v>39</v>
      </c>
      <c r="D614" s="2">
        <v>19615</v>
      </c>
      <c r="E614" s="2" t="s">
        <v>2154</v>
      </c>
      <c r="F614" s="3">
        <v>29407100101124</v>
      </c>
      <c r="G614" s="2" t="s">
        <v>184</v>
      </c>
      <c r="H614" s="2" t="s">
        <v>2176</v>
      </c>
      <c r="I614" s="15" t="s">
        <v>66</v>
      </c>
      <c r="J614" s="4">
        <v>43043</v>
      </c>
      <c r="K614" s="15" t="s">
        <v>8</v>
      </c>
      <c r="L614" s="15" t="s">
        <v>12</v>
      </c>
      <c r="W614" s="16" t="s">
        <v>60</v>
      </c>
      <c r="Y614" s="7">
        <v>43069</v>
      </c>
      <c r="Z614" s="16" t="s">
        <v>66</v>
      </c>
      <c r="AA614" s="7">
        <v>43082</v>
      </c>
    </row>
    <row r="615" spans="1:28" ht="15" customHeight="1">
      <c r="A615" s="290"/>
      <c r="C615" s="15">
        <v>39</v>
      </c>
      <c r="D615" s="2">
        <v>19616</v>
      </c>
      <c r="E615" s="2" t="s">
        <v>2155</v>
      </c>
      <c r="F615" s="3">
        <v>28701132103473</v>
      </c>
      <c r="G615" s="2" t="s">
        <v>1753</v>
      </c>
      <c r="H615" s="2" t="s">
        <v>2177</v>
      </c>
      <c r="I615" s="15" t="s">
        <v>66</v>
      </c>
      <c r="J615" s="4">
        <v>43043</v>
      </c>
      <c r="K615" s="15" t="s">
        <v>8</v>
      </c>
      <c r="L615" s="15" t="s">
        <v>12</v>
      </c>
      <c r="W615" s="16" t="s">
        <v>63</v>
      </c>
      <c r="Y615" s="7">
        <v>43069</v>
      </c>
      <c r="Z615" s="16" t="s">
        <v>67</v>
      </c>
      <c r="AA615" s="7" t="s">
        <v>3111</v>
      </c>
    </row>
    <row r="616" spans="1:28" ht="15" customHeight="1">
      <c r="A616" s="290"/>
      <c r="C616" s="15">
        <v>39</v>
      </c>
      <c r="D616" s="2">
        <v>19617</v>
      </c>
      <c r="E616" s="2" t="s">
        <v>2156</v>
      </c>
      <c r="F616" s="3">
        <v>29412120104808</v>
      </c>
      <c r="G616" s="2" t="s">
        <v>1753</v>
      </c>
      <c r="H616" s="2" t="s">
        <v>2178</v>
      </c>
      <c r="I616" s="15" t="s">
        <v>66</v>
      </c>
      <c r="J616" s="4">
        <v>43043</v>
      </c>
      <c r="K616" s="15" t="s">
        <v>8</v>
      </c>
      <c r="L616" s="15" t="s">
        <v>12</v>
      </c>
      <c r="W616" s="16" t="s">
        <v>59</v>
      </c>
      <c r="X616" s="16" t="s">
        <v>66</v>
      </c>
      <c r="Y616" s="7">
        <v>43069</v>
      </c>
      <c r="Z616" s="16" t="s">
        <v>67</v>
      </c>
      <c r="AA616" s="7" t="s">
        <v>3111</v>
      </c>
    </row>
    <row r="617" spans="1:28" ht="15" customHeight="1">
      <c r="A617" s="290"/>
      <c r="C617" s="15">
        <v>39</v>
      </c>
      <c r="D617" s="2">
        <v>19618</v>
      </c>
      <c r="E617" s="2" t="s">
        <v>2157</v>
      </c>
      <c r="F617" s="3" t="s">
        <v>2158</v>
      </c>
      <c r="G617" s="16" t="s">
        <v>3636</v>
      </c>
      <c r="H617" s="2" t="s">
        <v>2179</v>
      </c>
      <c r="I617" s="15" t="s">
        <v>66</v>
      </c>
      <c r="J617" s="4">
        <v>43043</v>
      </c>
      <c r="K617" s="15" t="s">
        <v>8</v>
      </c>
      <c r="L617" s="15" t="s">
        <v>12</v>
      </c>
      <c r="W617" s="16" t="s">
        <v>61</v>
      </c>
      <c r="X617" s="16" t="s">
        <v>66</v>
      </c>
      <c r="Y617" s="7">
        <v>43069</v>
      </c>
      <c r="Z617" s="16" t="s">
        <v>67</v>
      </c>
      <c r="AA617" s="7" t="s">
        <v>3111</v>
      </c>
    </row>
    <row r="618" spans="1:28" ht="15" customHeight="1">
      <c r="A618" s="290"/>
      <c r="C618" s="15">
        <v>39</v>
      </c>
      <c r="D618" s="2">
        <v>19619</v>
      </c>
      <c r="E618" s="2" t="s">
        <v>2159</v>
      </c>
      <c r="F618" s="3" t="s">
        <v>2160</v>
      </c>
      <c r="G618" s="2" t="s">
        <v>1753</v>
      </c>
      <c r="H618" s="2" t="s">
        <v>2180</v>
      </c>
      <c r="I618" s="15" t="s">
        <v>66</v>
      </c>
      <c r="J618" s="4">
        <v>43043</v>
      </c>
      <c r="K618" s="15" t="s">
        <v>8</v>
      </c>
      <c r="L618" s="15" t="s">
        <v>12</v>
      </c>
      <c r="W618" s="16" t="s">
        <v>62</v>
      </c>
      <c r="Y618" s="7">
        <v>43069</v>
      </c>
      <c r="Z618" s="16" t="s">
        <v>67</v>
      </c>
      <c r="AA618" s="7" t="s">
        <v>3111</v>
      </c>
    </row>
    <row r="619" spans="1:28" ht="15" customHeight="1">
      <c r="A619" s="290"/>
      <c r="C619" s="15">
        <v>39</v>
      </c>
      <c r="D619" s="2">
        <v>19620</v>
      </c>
      <c r="E619" s="2" t="s">
        <v>2161</v>
      </c>
      <c r="F619" s="3">
        <v>27803210103951</v>
      </c>
      <c r="G619" s="15" t="s">
        <v>1753</v>
      </c>
      <c r="H619" s="2" t="s">
        <v>2181</v>
      </c>
      <c r="I619" s="15" t="s">
        <v>66</v>
      </c>
      <c r="J619" s="4">
        <v>43043</v>
      </c>
      <c r="K619" s="15" t="s">
        <v>8</v>
      </c>
      <c r="L619" s="15" t="s">
        <v>12</v>
      </c>
      <c r="W619" s="16" t="s">
        <v>61</v>
      </c>
      <c r="Y619" s="7">
        <v>43069</v>
      </c>
      <c r="Z619" s="16" t="s">
        <v>66</v>
      </c>
      <c r="AA619" s="7">
        <v>43080</v>
      </c>
    </row>
    <row r="620" spans="1:28" ht="15.75" customHeight="1" thickBot="1">
      <c r="A620" s="291"/>
      <c r="C620" s="28">
        <v>39</v>
      </c>
      <c r="D620" s="28">
        <v>13437</v>
      </c>
      <c r="E620" s="28" t="s">
        <v>2162</v>
      </c>
      <c r="F620" s="29">
        <v>28903160100953</v>
      </c>
      <c r="G620" s="28" t="s">
        <v>1753</v>
      </c>
      <c r="H620" s="28" t="s">
        <v>2182</v>
      </c>
      <c r="I620" s="28" t="s">
        <v>67</v>
      </c>
      <c r="J620" s="30">
        <v>43043</v>
      </c>
      <c r="K620" s="28" t="s">
        <v>8</v>
      </c>
      <c r="L620" s="28" t="s">
        <v>12</v>
      </c>
      <c r="M620" s="28"/>
      <c r="N620" s="28"/>
      <c r="O620" s="226"/>
      <c r="P620" s="28"/>
      <c r="Q620" s="226"/>
      <c r="R620" s="28"/>
      <c r="S620" s="28"/>
      <c r="T620" s="28"/>
      <c r="U620" s="28"/>
      <c r="V620" s="28"/>
      <c r="W620" s="28" t="s">
        <v>60</v>
      </c>
      <c r="X620" s="28"/>
      <c r="Y620" s="30">
        <v>43069</v>
      </c>
      <c r="Z620" s="28" t="s">
        <v>66</v>
      </c>
      <c r="AA620" s="30">
        <v>43094</v>
      </c>
      <c r="AB620" s="28" t="s">
        <v>3177</v>
      </c>
    </row>
    <row r="621" spans="1:28" ht="15.75" customHeight="1" thickTop="1">
      <c r="A621" s="289" t="s">
        <v>3119</v>
      </c>
      <c r="C621" s="2">
        <v>40</v>
      </c>
      <c r="D621" s="2">
        <v>19621</v>
      </c>
      <c r="E621" s="2" t="s">
        <v>2105</v>
      </c>
      <c r="F621" s="3">
        <v>29404098800487</v>
      </c>
      <c r="G621" s="15" t="s">
        <v>1753</v>
      </c>
      <c r="H621" s="2" t="s">
        <v>2122</v>
      </c>
      <c r="I621" s="15" t="s">
        <v>66</v>
      </c>
      <c r="J621" s="4">
        <v>43050</v>
      </c>
      <c r="K621" s="15" t="s">
        <v>8</v>
      </c>
      <c r="L621" s="15" t="s">
        <v>12</v>
      </c>
      <c r="W621" s="16" t="s">
        <v>60</v>
      </c>
      <c r="X621" s="2" t="s">
        <v>66</v>
      </c>
      <c r="Y621" s="7">
        <v>43076</v>
      </c>
      <c r="Z621" s="16" t="s">
        <v>66</v>
      </c>
      <c r="AA621" s="7">
        <v>43094</v>
      </c>
    </row>
    <row r="622" spans="1:28" ht="15" customHeight="1">
      <c r="A622" s="290"/>
      <c r="C622" s="16">
        <v>40</v>
      </c>
      <c r="D622" s="16">
        <v>19622</v>
      </c>
      <c r="E622" s="16" t="s">
        <v>2106</v>
      </c>
      <c r="F622" s="3">
        <v>29509192500809</v>
      </c>
      <c r="G622" s="16" t="s">
        <v>1753</v>
      </c>
      <c r="H622" s="16" t="s">
        <v>2123</v>
      </c>
      <c r="I622" s="16" t="s">
        <v>66</v>
      </c>
      <c r="J622" s="45">
        <v>43050</v>
      </c>
      <c r="K622" s="16" t="s">
        <v>8</v>
      </c>
      <c r="L622" s="16" t="s">
        <v>12</v>
      </c>
      <c r="M622" s="16"/>
      <c r="N622" s="16"/>
      <c r="W622" s="16" t="s">
        <v>62</v>
      </c>
      <c r="X622" s="16" t="s">
        <v>66</v>
      </c>
      <c r="Y622" s="45">
        <v>43076</v>
      </c>
      <c r="Z622" s="16" t="s">
        <v>66</v>
      </c>
      <c r="AA622" s="45">
        <v>43131</v>
      </c>
      <c r="AB622" s="16" t="s">
        <v>3177</v>
      </c>
    </row>
    <row r="623" spans="1:28" ht="15" customHeight="1">
      <c r="A623" s="290"/>
      <c r="C623" s="15">
        <v>40</v>
      </c>
      <c r="D623" s="2">
        <v>19623</v>
      </c>
      <c r="E623" s="2" t="s">
        <v>2107</v>
      </c>
      <c r="F623" s="3">
        <v>29107160102495</v>
      </c>
      <c r="G623" s="2" t="s">
        <v>34</v>
      </c>
      <c r="H623" s="2" t="s">
        <v>2124</v>
      </c>
      <c r="I623" s="15" t="s">
        <v>66</v>
      </c>
      <c r="J623" s="4">
        <v>43050</v>
      </c>
      <c r="K623" s="15" t="s">
        <v>8</v>
      </c>
      <c r="L623" s="15" t="s">
        <v>12</v>
      </c>
      <c r="W623" s="16" t="s">
        <v>63</v>
      </c>
      <c r="Y623" s="7">
        <v>43076</v>
      </c>
      <c r="Z623" s="16" t="s">
        <v>67</v>
      </c>
      <c r="AA623" s="7" t="s">
        <v>3111</v>
      </c>
    </row>
    <row r="624" spans="1:28" ht="15" customHeight="1">
      <c r="A624" s="290"/>
      <c r="C624" s="15">
        <v>40</v>
      </c>
      <c r="D624" s="2">
        <v>19624</v>
      </c>
      <c r="E624" s="2" t="s">
        <v>2108</v>
      </c>
      <c r="F624" s="3">
        <v>29511250201579</v>
      </c>
      <c r="G624" s="2" t="s">
        <v>184</v>
      </c>
      <c r="H624" s="2" t="s">
        <v>2125</v>
      </c>
      <c r="I624" s="15" t="s">
        <v>66</v>
      </c>
      <c r="J624" s="4">
        <v>43050</v>
      </c>
      <c r="K624" s="15" t="s">
        <v>8</v>
      </c>
      <c r="L624" s="15" t="s">
        <v>12</v>
      </c>
      <c r="M624" s="15"/>
      <c r="W624" s="16" t="s">
        <v>60</v>
      </c>
      <c r="Y624" s="7">
        <v>43076</v>
      </c>
      <c r="Z624" s="16" t="s">
        <v>66</v>
      </c>
      <c r="AA624" s="7">
        <v>43082</v>
      </c>
    </row>
    <row r="625" spans="1:28" ht="15" customHeight="1">
      <c r="A625" s="290"/>
      <c r="C625" s="16">
        <v>40</v>
      </c>
      <c r="D625" s="16">
        <v>19625</v>
      </c>
      <c r="E625" s="16" t="s">
        <v>2109</v>
      </c>
      <c r="F625" s="3">
        <v>29509210100643</v>
      </c>
      <c r="G625" s="16" t="s">
        <v>1753</v>
      </c>
      <c r="H625" s="16" t="s">
        <v>2126</v>
      </c>
      <c r="I625" s="16" t="s">
        <v>66</v>
      </c>
      <c r="J625" s="45">
        <v>43050</v>
      </c>
      <c r="K625" s="16" t="s">
        <v>8</v>
      </c>
      <c r="L625" s="16" t="s">
        <v>12</v>
      </c>
      <c r="M625" s="16"/>
      <c r="N625" s="16"/>
      <c r="W625" s="16" t="s">
        <v>61</v>
      </c>
      <c r="X625" s="16"/>
      <c r="Y625" s="45">
        <v>43076</v>
      </c>
      <c r="Z625" s="16" t="s">
        <v>66</v>
      </c>
      <c r="AA625" s="45">
        <v>43080</v>
      </c>
      <c r="AB625" s="16"/>
    </row>
    <row r="626" spans="1:28" ht="15" customHeight="1">
      <c r="A626" s="290"/>
      <c r="C626" s="15">
        <v>40</v>
      </c>
      <c r="D626" s="2">
        <v>19626</v>
      </c>
      <c r="E626" s="2" t="s">
        <v>2110</v>
      </c>
      <c r="F626" s="3">
        <v>29502012801852</v>
      </c>
      <c r="G626" s="15" t="s">
        <v>34</v>
      </c>
      <c r="H626" s="2" t="s">
        <v>2127</v>
      </c>
      <c r="I626" s="15" t="s">
        <v>66</v>
      </c>
      <c r="J626" s="4">
        <v>43050</v>
      </c>
      <c r="K626" s="15" t="s">
        <v>8</v>
      </c>
      <c r="L626" s="15" t="s">
        <v>12</v>
      </c>
      <c r="W626" s="16" t="s">
        <v>61</v>
      </c>
      <c r="Y626" s="7">
        <v>43076</v>
      </c>
      <c r="Z626" s="16" t="s">
        <v>67</v>
      </c>
      <c r="AA626" s="7" t="s">
        <v>3111</v>
      </c>
    </row>
    <row r="627" spans="1:28" ht="15" customHeight="1">
      <c r="A627" s="290"/>
      <c r="C627" s="15">
        <v>40</v>
      </c>
      <c r="D627" s="2">
        <v>19627</v>
      </c>
      <c r="E627" s="2" t="s">
        <v>2111</v>
      </c>
      <c r="F627" s="3">
        <v>29701263100031</v>
      </c>
      <c r="G627" s="15" t="s">
        <v>184</v>
      </c>
      <c r="H627" s="2" t="s">
        <v>2128</v>
      </c>
      <c r="I627" s="15" t="s">
        <v>66</v>
      </c>
      <c r="J627" s="4">
        <v>43050</v>
      </c>
      <c r="K627" s="15" t="s">
        <v>8</v>
      </c>
      <c r="L627" s="15" t="s">
        <v>12</v>
      </c>
      <c r="M627" s="15"/>
      <c r="W627" s="16" t="s">
        <v>60</v>
      </c>
      <c r="Y627" s="7">
        <v>43076</v>
      </c>
      <c r="Z627" s="16" t="s">
        <v>67</v>
      </c>
      <c r="AA627" s="7" t="s">
        <v>3111</v>
      </c>
    </row>
    <row r="628" spans="1:28" ht="15" customHeight="1">
      <c r="A628" s="290"/>
      <c r="C628" s="15">
        <v>40</v>
      </c>
      <c r="D628" s="2">
        <v>19628</v>
      </c>
      <c r="E628" s="2" t="s">
        <v>2112</v>
      </c>
      <c r="F628" s="3">
        <v>29610010119806</v>
      </c>
      <c r="G628" s="15" t="s">
        <v>184</v>
      </c>
      <c r="H628" s="2" t="s">
        <v>2129</v>
      </c>
      <c r="I628" s="15" t="s">
        <v>66</v>
      </c>
      <c r="J628" s="4">
        <v>43050</v>
      </c>
      <c r="K628" s="15" t="s">
        <v>8</v>
      </c>
      <c r="L628" s="15" t="s">
        <v>12</v>
      </c>
      <c r="W628" s="16" t="s">
        <v>61</v>
      </c>
      <c r="X628" s="2" t="s">
        <v>66</v>
      </c>
      <c r="Y628" s="7">
        <v>43076</v>
      </c>
      <c r="Z628" s="16" t="s">
        <v>66</v>
      </c>
      <c r="AA628" s="7">
        <v>43109</v>
      </c>
    </row>
    <row r="629" spans="1:28" ht="15" customHeight="1">
      <c r="A629" s="290"/>
      <c r="C629" s="15">
        <v>40</v>
      </c>
      <c r="D629" s="2">
        <v>19629</v>
      </c>
      <c r="E629" s="2" t="s">
        <v>2113</v>
      </c>
      <c r="F629" s="3">
        <v>28105080100649</v>
      </c>
      <c r="G629" s="2" t="s">
        <v>1753</v>
      </c>
      <c r="H629" s="2" t="s">
        <v>2130</v>
      </c>
      <c r="I629" s="15" t="s">
        <v>66</v>
      </c>
      <c r="J629" s="4">
        <v>43050</v>
      </c>
      <c r="K629" s="15" t="s">
        <v>8</v>
      </c>
      <c r="L629" s="15" t="s">
        <v>12</v>
      </c>
      <c r="W629" s="16" t="s">
        <v>60</v>
      </c>
      <c r="Y629" s="7">
        <v>43076</v>
      </c>
      <c r="Z629" s="16" t="s">
        <v>66</v>
      </c>
      <c r="AA629" s="7">
        <v>43124</v>
      </c>
    </row>
    <row r="630" spans="1:28" ht="15" customHeight="1">
      <c r="A630" s="290"/>
      <c r="C630" s="15">
        <v>40</v>
      </c>
      <c r="D630" s="2">
        <v>19630</v>
      </c>
      <c r="E630" s="2" t="s">
        <v>2114</v>
      </c>
      <c r="F630" s="3">
        <v>29412038800537</v>
      </c>
      <c r="G630" s="15" t="s">
        <v>1753</v>
      </c>
      <c r="H630" s="2" t="s">
        <v>2131</v>
      </c>
      <c r="I630" s="15" t="s">
        <v>66</v>
      </c>
      <c r="J630" s="4">
        <v>43050</v>
      </c>
      <c r="K630" s="15" t="s">
        <v>8</v>
      </c>
      <c r="L630" s="15" t="s">
        <v>12</v>
      </c>
      <c r="M630" s="15"/>
      <c r="W630" s="16" t="s">
        <v>59</v>
      </c>
      <c r="X630" s="2" t="s">
        <v>66</v>
      </c>
      <c r="Y630" s="7">
        <v>43076</v>
      </c>
      <c r="Z630" s="16" t="s">
        <v>67</v>
      </c>
      <c r="AA630" s="7" t="s">
        <v>3111</v>
      </c>
    </row>
    <row r="631" spans="1:28" ht="15" customHeight="1">
      <c r="A631" s="290"/>
      <c r="C631" s="15">
        <v>40</v>
      </c>
      <c r="D631" s="2">
        <v>19631</v>
      </c>
      <c r="E631" s="2" t="s">
        <v>2115</v>
      </c>
      <c r="F631" s="3">
        <v>29403298800876</v>
      </c>
      <c r="G631" s="15" t="s">
        <v>184</v>
      </c>
      <c r="H631" s="2" t="s">
        <v>2132</v>
      </c>
      <c r="I631" s="15" t="s">
        <v>66</v>
      </c>
      <c r="J631" s="4">
        <v>43050</v>
      </c>
      <c r="K631" s="15" t="s">
        <v>8</v>
      </c>
      <c r="L631" s="15" t="s">
        <v>12</v>
      </c>
      <c r="W631" s="16" t="s">
        <v>60</v>
      </c>
      <c r="Y631" s="7">
        <v>43076</v>
      </c>
      <c r="Z631" s="16" t="s">
        <v>66</v>
      </c>
      <c r="AA631" s="7">
        <v>43082</v>
      </c>
    </row>
    <row r="632" spans="1:28" ht="15" customHeight="1">
      <c r="A632" s="290"/>
      <c r="C632" s="16">
        <v>40</v>
      </c>
      <c r="D632" s="16">
        <v>19632</v>
      </c>
      <c r="E632" s="16" t="s">
        <v>2116</v>
      </c>
      <c r="F632" s="3">
        <v>29506112101888</v>
      </c>
      <c r="G632" s="16" t="s">
        <v>1753</v>
      </c>
      <c r="H632" s="16" t="s">
        <v>2133</v>
      </c>
      <c r="I632" s="16" t="s">
        <v>66</v>
      </c>
      <c r="J632" s="45">
        <v>43050</v>
      </c>
      <c r="K632" s="16" t="s">
        <v>8</v>
      </c>
      <c r="L632" s="16" t="s">
        <v>12</v>
      </c>
      <c r="M632" s="16"/>
      <c r="N632" s="16"/>
      <c r="W632" s="16" t="s">
        <v>60</v>
      </c>
      <c r="X632" s="16" t="s">
        <v>66</v>
      </c>
      <c r="Y632" s="45">
        <v>43076</v>
      </c>
      <c r="Z632" s="16" t="s">
        <v>66</v>
      </c>
      <c r="AA632" s="45">
        <v>43094</v>
      </c>
      <c r="AB632" s="16"/>
    </row>
    <row r="633" spans="1:28" ht="15" customHeight="1">
      <c r="A633" s="290"/>
      <c r="C633" s="2">
        <v>40</v>
      </c>
      <c r="D633" s="2">
        <v>19633</v>
      </c>
      <c r="E633" s="2" t="s">
        <v>2117</v>
      </c>
      <c r="F633" s="3">
        <v>29507200104095</v>
      </c>
      <c r="G633" s="15" t="s">
        <v>1753</v>
      </c>
      <c r="H633" s="2" t="s">
        <v>2134</v>
      </c>
      <c r="I633" s="15" t="s">
        <v>66</v>
      </c>
      <c r="J633" s="4">
        <v>43050</v>
      </c>
      <c r="K633" s="15" t="s">
        <v>8</v>
      </c>
      <c r="L633" s="15" t="s">
        <v>12</v>
      </c>
      <c r="W633" s="16" t="s">
        <v>60</v>
      </c>
      <c r="X633" s="2" t="s">
        <v>66</v>
      </c>
      <c r="Y633" s="7">
        <v>43076</v>
      </c>
      <c r="Z633" s="16" t="s">
        <v>66</v>
      </c>
      <c r="AA633" s="7">
        <v>43094</v>
      </c>
    </row>
    <row r="634" spans="1:28" ht="15" customHeight="1">
      <c r="A634" s="290"/>
      <c r="C634" s="15">
        <v>40</v>
      </c>
      <c r="D634" s="2">
        <v>19634</v>
      </c>
      <c r="E634" s="2" t="s">
        <v>2118</v>
      </c>
      <c r="F634" s="3">
        <v>29409042103432</v>
      </c>
      <c r="G634" s="2" t="s">
        <v>1753</v>
      </c>
      <c r="H634" s="2" t="s">
        <v>2135</v>
      </c>
      <c r="I634" s="15" t="s">
        <v>66</v>
      </c>
      <c r="J634" s="4">
        <v>43050</v>
      </c>
      <c r="K634" s="15" t="s">
        <v>8</v>
      </c>
      <c r="L634" s="15" t="s">
        <v>12</v>
      </c>
      <c r="W634" s="16" t="s">
        <v>60</v>
      </c>
      <c r="X634" s="2" t="s">
        <v>66</v>
      </c>
      <c r="Y634" s="7">
        <v>43076</v>
      </c>
      <c r="Z634" s="16" t="s">
        <v>66</v>
      </c>
      <c r="AA634" s="7">
        <v>43094</v>
      </c>
    </row>
    <row r="635" spans="1:28" ht="15" customHeight="1">
      <c r="A635" s="290"/>
      <c r="C635" s="15">
        <v>40</v>
      </c>
      <c r="D635" s="2">
        <v>19635</v>
      </c>
      <c r="E635" s="2" t="s">
        <v>2119</v>
      </c>
      <c r="F635" s="3">
        <v>28604170101454</v>
      </c>
      <c r="G635" s="2" t="s">
        <v>1753</v>
      </c>
      <c r="H635" s="2" t="s">
        <v>2136</v>
      </c>
      <c r="I635" s="15" t="s">
        <v>66</v>
      </c>
      <c r="J635" s="4">
        <v>43050</v>
      </c>
      <c r="K635" s="15" t="s">
        <v>8</v>
      </c>
      <c r="L635" s="15" t="s">
        <v>12</v>
      </c>
      <c r="W635" s="16" t="s">
        <v>60</v>
      </c>
      <c r="Y635" s="7">
        <v>43076</v>
      </c>
      <c r="Z635" s="16" t="s">
        <v>66</v>
      </c>
      <c r="AA635" s="7">
        <v>43082</v>
      </c>
    </row>
    <row r="636" spans="1:28" ht="15" customHeight="1">
      <c r="A636" s="290"/>
      <c r="C636" s="15">
        <v>40</v>
      </c>
      <c r="D636" s="2">
        <v>19636</v>
      </c>
      <c r="E636" s="2" t="s">
        <v>2120</v>
      </c>
      <c r="F636" s="3">
        <v>29405212100101</v>
      </c>
      <c r="G636" s="2" t="s">
        <v>1753</v>
      </c>
      <c r="H636" s="2" t="s">
        <v>2137</v>
      </c>
      <c r="I636" s="15" t="s">
        <v>66</v>
      </c>
      <c r="J636" s="4">
        <v>43050</v>
      </c>
      <c r="K636" s="15" t="s">
        <v>8</v>
      </c>
      <c r="L636" s="15" t="s">
        <v>12</v>
      </c>
      <c r="W636" s="16" t="s">
        <v>63</v>
      </c>
      <c r="Y636" s="7">
        <v>43076</v>
      </c>
      <c r="Z636" s="16" t="s">
        <v>67</v>
      </c>
      <c r="AA636" s="7" t="s">
        <v>3111</v>
      </c>
    </row>
    <row r="637" spans="1:28" ht="15.75" customHeight="1" thickBot="1">
      <c r="A637" s="291"/>
      <c r="C637" s="28">
        <v>40</v>
      </c>
      <c r="D637" s="28">
        <v>12478</v>
      </c>
      <c r="E637" s="28" t="s">
        <v>2121</v>
      </c>
      <c r="F637" s="29">
        <v>29010010104194</v>
      </c>
      <c r="G637" s="28" t="s">
        <v>1753</v>
      </c>
      <c r="H637" s="28" t="s">
        <v>2138</v>
      </c>
      <c r="I637" s="28" t="s">
        <v>67</v>
      </c>
      <c r="J637" s="30">
        <v>43050</v>
      </c>
      <c r="K637" s="28" t="s">
        <v>8</v>
      </c>
      <c r="L637" s="28" t="s">
        <v>12</v>
      </c>
      <c r="M637" s="28"/>
      <c r="N637" s="28"/>
      <c r="O637" s="226"/>
      <c r="P637" s="28"/>
      <c r="Q637" s="226"/>
      <c r="R637" s="28"/>
      <c r="S637" s="28"/>
      <c r="T637" s="28"/>
      <c r="U637" s="28"/>
      <c r="V637" s="28"/>
      <c r="W637" s="28" t="s">
        <v>60</v>
      </c>
      <c r="X637" s="28"/>
      <c r="Y637" s="30">
        <v>43076</v>
      </c>
      <c r="Z637" s="28" t="s">
        <v>66</v>
      </c>
      <c r="AA637" s="30">
        <v>43082</v>
      </c>
      <c r="AB637" s="28"/>
    </row>
    <row r="638" spans="1:28" ht="15.75" customHeight="1" thickTop="1">
      <c r="A638" s="289" t="s">
        <v>3120</v>
      </c>
      <c r="C638" s="15">
        <v>41</v>
      </c>
      <c r="D638" s="2">
        <v>19637</v>
      </c>
      <c r="E638" s="2" t="s">
        <v>2070</v>
      </c>
      <c r="F638" s="3">
        <v>29409180105276</v>
      </c>
      <c r="G638" s="2" t="s">
        <v>34</v>
      </c>
      <c r="H638" s="2" t="s">
        <v>2089</v>
      </c>
      <c r="I638" s="15" t="s">
        <v>66</v>
      </c>
      <c r="J638" s="4">
        <v>43057</v>
      </c>
      <c r="K638" s="15" t="s">
        <v>8</v>
      </c>
      <c r="L638" s="15" t="s">
        <v>12</v>
      </c>
      <c r="W638" s="16" t="s">
        <v>61</v>
      </c>
      <c r="Y638" s="7">
        <v>43083</v>
      </c>
      <c r="Z638" s="16" t="s">
        <v>66</v>
      </c>
      <c r="AA638" s="7">
        <v>43094</v>
      </c>
    </row>
    <row r="639" spans="1:28" ht="15" customHeight="1">
      <c r="A639" s="290"/>
      <c r="C639" s="15">
        <v>41</v>
      </c>
      <c r="D639" s="2" t="s">
        <v>2071</v>
      </c>
      <c r="E639" s="2" t="s">
        <v>2072</v>
      </c>
      <c r="F639" s="3">
        <v>29411210100783</v>
      </c>
      <c r="G639" s="2" t="s">
        <v>34</v>
      </c>
      <c r="H639" s="2" t="s">
        <v>2090</v>
      </c>
      <c r="I639" s="15" t="s">
        <v>66</v>
      </c>
      <c r="J639" s="4">
        <v>43057</v>
      </c>
      <c r="K639" s="15" t="s">
        <v>8</v>
      </c>
      <c r="L639" s="15" t="s">
        <v>12</v>
      </c>
      <c r="W639" s="16" t="s">
        <v>63</v>
      </c>
      <c r="Y639" s="7">
        <v>43083</v>
      </c>
      <c r="Z639" s="16" t="s">
        <v>67</v>
      </c>
      <c r="AA639" s="7" t="s">
        <v>3111</v>
      </c>
    </row>
    <row r="640" spans="1:28" ht="15" customHeight="1">
      <c r="A640" s="290"/>
      <c r="C640" s="15">
        <v>41</v>
      </c>
      <c r="D640" s="2">
        <v>19639</v>
      </c>
      <c r="E640" s="2" t="s">
        <v>2073</v>
      </c>
      <c r="F640" s="3">
        <v>29503012104686</v>
      </c>
      <c r="G640" s="2" t="s">
        <v>34</v>
      </c>
      <c r="H640" s="2" t="s">
        <v>2091</v>
      </c>
      <c r="I640" s="15" t="s">
        <v>66</v>
      </c>
      <c r="J640" s="4">
        <v>43057</v>
      </c>
      <c r="K640" s="15" t="s">
        <v>8</v>
      </c>
      <c r="L640" s="15" t="s">
        <v>12</v>
      </c>
      <c r="W640" s="16" t="s">
        <v>61</v>
      </c>
      <c r="Y640" s="7">
        <v>43083</v>
      </c>
      <c r="Z640" s="16" t="s">
        <v>66</v>
      </c>
      <c r="AA640" s="7">
        <v>43094</v>
      </c>
    </row>
    <row r="641" spans="1:28" ht="15" customHeight="1">
      <c r="A641" s="290"/>
      <c r="C641" s="2">
        <v>41</v>
      </c>
      <c r="D641" s="2">
        <v>19640</v>
      </c>
      <c r="E641" s="2" t="s">
        <v>2074</v>
      </c>
      <c r="F641" s="3">
        <v>29002080104598</v>
      </c>
      <c r="G641" s="2" t="s">
        <v>34</v>
      </c>
      <c r="H641" s="2" t="s">
        <v>2092</v>
      </c>
      <c r="I641" s="15" t="s">
        <v>66</v>
      </c>
      <c r="J641" s="4">
        <v>43057</v>
      </c>
      <c r="K641" s="15" t="s">
        <v>8</v>
      </c>
      <c r="L641" s="15" t="s">
        <v>12</v>
      </c>
      <c r="W641" s="16" t="s">
        <v>60</v>
      </c>
      <c r="Y641" s="7">
        <v>43083</v>
      </c>
      <c r="Z641" s="16" t="s">
        <v>66</v>
      </c>
      <c r="AA641" s="7">
        <v>43094</v>
      </c>
    </row>
    <row r="642" spans="1:28" ht="15" customHeight="1">
      <c r="A642" s="290"/>
      <c r="C642" s="15">
        <v>41</v>
      </c>
      <c r="D642" s="2">
        <v>19641</v>
      </c>
      <c r="E642" s="2" t="s">
        <v>2075</v>
      </c>
      <c r="F642" s="3">
        <v>29010012130192</v>
      </c>
      <c r="G642" s="15" t="s">
        <v>34</v>
      </c>
      <c r="H642" s="2" t="s">
        <v>2093</v>
      </c>
      <c r="I642" s="15" t="s">
        <v>66</v>
      </c>
      <c r="J642" s="4">
        <v>43057</v>
      </c>
      <c r="K642" s="15" t="s">
        <v>8</v>
      </c>
      <c r="L642" s="15" t="s">
        <v>12</v>
      </c>
      <c r="W642" s="16" t="s">
        <v>61</v>
      </c>
      <c r="Y642" s="7">
        <v>43083</v>
      </c>
      <c r="Z642" s="16" t="s">
        <v>67</v>
      </c>
      <c r="AA642" s="7" t="s">
        <v>3111</v>
      </c>
    </row>
    <row r="643" spans="1:28" ht="15" customHeight="1">
      <c r="A643" s="290"/>
      <c r="C643" s="15">
        <v>41</v>
      </c>
      <c r="D643" s="2">
        <v>19642</v>
      </c>
      <c r="E643" s="2" t="s">
        <v>2076</v>
      </c>
      <c r="F643" s="3" t="s">
        <v>2077</v>
      </c>
      <c r="G643" s="2" t="s">
        <v>34</v>
      </c>
      <c r="H643" s="2" t="s">
        <v>2094</v>
      </c>
      <c r="I643" s="15" t="s">
        <v>66</v>
      </c>
      <c r="J643" s="4">
        <v>43057</v>
      </c>
      <c r="K643" s="15" t="s">
        <v>8</v>
      </c>
      <c r="L643" s="15" t="s">
        <v>12</v>
      </c>
      <c r="W643" s="16" t="s">
        <v>62</v>
      </c>
      <c r="X643" s="16" t="s">
        <v>66</v>
      </c>
      <c r="Y643" s="7">
        <v>43083</v>
      </c>
      <c r="Z643" s="16" t="s">
        <v>67</v>
      </c>
      <c r="AA643" s="7" t="s">
        <v>3111</v>
      </c>
    </row>
    <row r="644" spans="1:28" ht="15" customHeight="1">
      <c r="A644" s="290"/>
      <c r="C644" s="16">
        <v>41</v>
      </c>
      <c r="D644" s="16">
        <v>19643</v>
      </c>
      <c r="E644" s="16" t="s">
        <v>2078</v>
      </c>
      <c r="F644" s="3">
        <v>29701062402781</v>
      </c>
      <c r="G644" s="16" t="s">
        <v>184</v>
      </c>
      <c r="H644" s="16" t="s">
        <v>2095</v>
      </c>
      <c r="I644" s="16" t="s">
        <v>66</v>
      </c>
      <c r="J644" s="45">
        <v>43057</v>
      </c>
      <c r="K644" s="16" t="s">
        <v>8</v>
      </c>
      <c r="L644" s="16" t="s">
        <v>12</v>
      </c>
      <c r="M644" s="16"/>
      <c r="N644" s="16"/>
      <c r="W644" s="16" t="s">
        <v>60</v>
      </c>
      <c r="X644" s="16" t="s">
        <v>66</v>
      </c>
      <c r="Y644" s="45">
        <v>43083</v>
      </c>
      <c r="Z644" s="16" t="s">
        <v>66</v>
      </c>
      <c r="AA644" s="45">
        <v>43123</v>
      </c>
      <c r="AB644" s="16"/>
    </row>
    <row r="645" spans="1:28" ht="15" customHeight="1">
      <c r="A645" s="290"/>
      <c r="C645" s="15">
        <v>41</v>
      </c>
      <c r="D645" s="2">
        <v>19644</v>
      </c>
      <c r="E645" s="2" t="s">
        <v>2079</v>
      </c>
      <c r="F645" s="3">
        <v>29505270100558</v>
      </c>
      <c r="G645" s="2" t="s">
        <v>34</v>
      </c>
      <c r="H645" s="2" t="s">
        <v>2096</v>
      </c>
      <c r="I645" s="15" t="s">
        <v>66</v>
      </c>
      <c r="J645" s="4">
        <v>43057</v>
      </c>
      <c r="K645" s="15" t="s">
        <v>8</v>
      </c>
      <c r="L645" s="15" t="s">
        <v>12</v>
      </c>
      <c r="W645" s="16" t="s">
        <v>61</v>
      </c>
      <c r="X645" s="16" t="s">
        <v>66</v>
      </c>
      <c r="Y645" s="7">
        <v>43083</v>
      </c>
      <c r="Z645" s="16" t="s">
        <v>66</v>
      </c>
      <c r="AA645" s="7">
        <v>43111</v>
      </c>
    </row>
    <row r="646" spans="1:28" ht="15" customHeight="1">
      <c r="A646" s="290"/>
      <c r="C646" s="16">
        <v>41</v>
      </c>
      <c r="D646" s="16">
        <v>19645</v>
      </c>
      <c r="E646" s="16" t="s">
        <v>2080</v>
      </c>
      <c r="F646" s="3">
        <v>29501112400701</v>
      </c>
      <c r="G646" s="16" t="s">
        <v>34</v>
      </c>
      <c r="H646" s="16" t="s">
        <v>2097</v>
      </c>
      <c r="I646" s="16" t="s">
        <v>66</v>
      </c>
      <c r="J646" s="45">
        <v>43057</v>
      </c>
      <c r="K646" s="16" t="s">
        <v>8</v>
      </c>
      <c r="L646" s="16" t="s">
        <v>12</v>
      </c>
      <c r="M646" s="16"/>
      <c r="N646" s="16"/>
      <c r="W646" s="16" t="s">
        <v>60</v>
      </c>
      <c r="X646" s="16"/>
      <c r="Y646" s="45">
        <v>43083</v>
      </c>
      <c r="Z646" s="16" t="s">
        <v>66</v>
      </c>
      <c r="AA646" s="45">
        <v>43094</v>
      </c>
      <c r="AB646" s="16"/>
    </row>
    <row r="647" spans="1:28" ht="15" customHeight="1">
      <c r="A647" s="290"/>
      <c r="C647" s="15">
        <v>41</v>
      </c>
      <c r="D647" s="2">
        <v>19646</v>
      </c>
      <c r="E647" s="2" t="s">
        <v>2081</v>
      </c>
      <c r="F647" s="3">
        <v>29501080102826</v>
      </c>
      <c r="G647" s="2" t="s">
        <v>34</v>
      </c>
      <c r="H647" s="2" t="s">
        <v>2098</v>
      </c>
      <c r="I647" s="15" t="s">
        <v>66</v>
      </c>
      <c r="J647" s="4">
        <v>43057</v>
      </c>
      <c r="K647" s="15" t="s">
        <v>8</v>
      </c>
      <c r="L647" s="15" t="s">
        <v>12</v>
      </c>
      <c r="W647" s="16" t="s">
        <v>60</v>
      </c>
      <c r="Y647" s="7">
        <v>43083</v>
      </c>
      <c r="Z647" s="16" t="s">
        <v>67</v>
      </c>
      <c r="AA647" s="7" t="s">
        <v>3111</v>
      </c>
    </row>
    <row r="648" spans="1:28" ht="15" customHeight="1">
      <c r="A648" s="290"/>
      <c r="C648" s="15">
        <v>41</v>
      </c>
      <c r="D648" s="2">
        <v>19647</v>
      </c>
      <c r="E648" s="2" t="s">
        <v>2082</v>
      </c>
      <c r="F648" s="3">
        <v>29301230108934</v>
      </c>
      <c r="G648" s="2" t="s">
        <v>34</v>
      </c>
      <c r="H648" s="2" t="s">
        <v>2099</v>
      </c>
      <c r="I648" s="15" t="s">
        <v>66</v>
      </c>
      <c r="J648" s="4">
        <v>43057</v>
      </c>
      <c r="K648" s="15" t="s">
        <v>8</v>
      </c>
      <c r="L648" s="15" t="s">
        <v>12</v>
      </c>
      <c r="W648" s="16" t="s">
        <v>62</v>
      </c>
      <c r="Y648" s="7">
        <v>43083</v>
      </c>
      <c r="Z648" s="16" t="s">
        <v>66</v>
      </c>
      <c r="AA648" s="7">
        <v>43102</v>
      </c>
    </row>
    <row r="649" spans="1:28" ht="15" customHeight="1">
      <c r="A649" s="290"/>
      <c r="C649" s="15">
        <v>41</v>
      </c>
      <c r="D649" s="2">
        <v>19648</v>
      </c>
      <c r="E649" s="2" t="s">
        <v>2083</v>
      </c>
      <c r="F649" s="3">
        <v>29403211300244</v>
      </c>
      <c r="G649" s="2" t="s">
        <v>34</v>
      </c>
      <c r="H649" s="2" t="s">
        <v>2100</v>
      </c>
      <c r="I649" s="15" t="s">
        <v>66</v>
      </c>
      <c r="J649" s="4">
        <v>43057</v>
      </c>
      <c r="K649" s="15" t="s">
        <v>8</v>
      </c>
      <c r="L649" s="15" t="s">
        <v>12</v>
      </c>
      <c r="W649" s="16" t="s">
        <v>60</v>
      </c>
      <c r="Y649" s="7">
        <v>43083</v>
      </c>
      <c r="Z649" s="16" t="s">
        <v>66</v>
      </c>
      <c r="AA649" s="7">
        <v>43094</v>
      </c>
    </row>
    <row r="650" spans="1:28" ht="15" customHeight="1">
      <c r="A650" s="290"/>
      <c r="C650" s="15">
        <v>41</v>
      </c>
      <c r="D650" s="2">
        <v>19649</v>
      </c>
      <c r="E650" s="2" t="s">
        <v>2084</v>
      </c>
      <c r="F650" s="3">
        <v>29603252104491</v>
      </c>
      <c r="G650" s="2" t="s">
        <v>34</v>
      </c>
      <c r="H650" s="2" t="s">
        <v>2101</v>
      </c>
      <c r="I650" s="15" t="s">
        <v>66</v>
      </c>
      <c r="J650" s="4">
        <v>43057</v>
      </c>
      <c r="K650" s="15" t="s">
        <v>8</v>
      </c>
      <c r="L650" s="15" t="s">
        <v>12</v>
      </c>
      <c r="W650" s="16" t="s">
        <v>62</v>
      </c>
      <c r="Y650" s="7">
        <v>43083</v>
      </c>
      <c r="Z650" s="16" t="s">
        <v>67</v>
      </c>
      <c r="AA650" s="7" t="s">
        <v>3111</v>
      </c>
    </row>
    <row r="651" spans="1:28" ht="15" customHeight="1">
      <c r="A651" s="290"/>
      <c r="C651" s="15">
        <v>41</v>
      </c>
      <c r="D651" s="2">
        <v>19650</v>
      </c>
      <c r="E651" s="2" t="s">
        <v>2085</v>
      </c>
      <c r="F651" s="3">
        <v>28203220103114</v>
      </c>
      <c r="G651" s="15" t="s">
        <v>34</v>
      </c>
      <c r="H651" s="2" t="s">
        <v>2102</v>
      </c>
      <c r="I651" s="15" t="s">
        <v>66</v>
      </c>
      <c r="J651" s="4">
        <v>43057</v>
      </c>
      <c r="K651" s="15" t="s">
        <v>8</v>
      </c>
      <c r="L651" s="15" t="s">
        <v>12</v>
      </c>
      <c r="W651" s="16" t="s">
        <v>63</v>
      </c>
      <c r="Y651" s="7">
        <v>43083</v>
      </c>
      <c r="Z651" s="16" t="s">
        <v>67</v>
      </c>
      <c r="AA651" s="7" t="s">
        <v>3111</v>
      </c>
    </row>
    <row r="652" spans="1:28" ht="15" customHeight="1">
      <c r="A652" s="290"/>
      <c r="C652" s="15">
        <v>41</v>
      </c>
      <c r="D652" s="2">
        <v>6935</v>
      </c>
      <c r="E652" s="2" t="s">
        <v>2086</v>
      </c>
      <c r="F652" s="3" t="s">
        <v>2087</v>
      </c>
      <c r="G652" s="2" t="s">
        <v>34</v>
      </c>
      <c r="H652" s="2" t="s">
        <v>2103</v>
      </c>
      <c r="I652" s="15" t="s">
        <v>67</v>
      </c>
      <c r="J652" s="4">
        <v>43057</v>
      </c>
      <c r="K652" s="15" t="s">
        <v>8</v>
      </c>
      <c r="L652" s="15" t="s">
        <v>12</v>
      </c>
      <c r="W652" s="16" t="s">
        <v>60</v>
      </c>
      <c r="Y652" s="7">
        <v>43083</v>
      </c>
      <c r="Z652" s="16" t="s">
        <v>67</v>
      </c>
      <c r="AA652" s="7" t="s">
        <v>3111</v>
      </c>
    </row>
    <row r="653" spans="1:28" ht="15.75" customHeight="1" thickBot="1">
      <c r="A653" s="291"/>
      <c r="C653" s="28">
        <v>41</v>
      </c>
      <c r="D653" s="28">
        <v>1988</v>
      </c>
      <c r="E653" s="28" t="s">
        <v>2088</v>
      </c>
      <c r="F653" s="29">
        <v>28301102105791</v>
      </c>
      <c r="G653" s="28" t="s">
        <v>34</v>
      </c>
      <c r="H653" s="28" t="s">
        <v>2104</v>
      </c>
      <c r="I653" s="28" t="s">
        <v>67</v>
      </c>
      <c r="J653" s="30">
        <v>43057</v>
      </c>
      <c r="K653" s="28" t="s">
        <v>8</v>
      </c>
      <c r="L653" s="28" t="s">
        <v>12</v>
      </c>
      <c r="M653" s="28"/>
      <c r="N653" s="28"/>
      <c r="O653" s="226"/>
      <c r="P653" s="28"/>
      <c r="Q653" s="226"/>
      <c r="R653" s="28"/>
      <c r="S653" s="28"/>
      <c r="T653" s="28"/>
      <c r="U653" s="28"/>
      <c r="V653" s="28"/>
      <c r="W653" s="28" t="s">
        <v>62</v>
      </c>
      <c r="X653" s="28"/>
      <c r="Y653" s="30">
        <v>43083</v>
      </c>
      <c r="Z653" s="28" t="s">
        <v>66</v>
      </c>
      <c r="AA653" s="30">
        <v>43102</v>
      </c>
      <c r="AB653" s="28"/>
    </row>
    <row r="654" spans="1:28" ht="15.75" customHeight="1" thickTop="1">
      <c r="A654" s="289" t="s">
        <v>3124</v>
      </c>
      <c r="C654" s="15">
        <v>42</v>
      </c>
      <c r="D654" s="2">
        <v>15315</v>
      </c>
      <c r="E654" s="2" t="s">
        <v>2038</v>
      </c>
      <c r="F654" s="3" t="s">
        <v>2039</v>
      </c>
      <c r="G654" s="16" t="s">
        <v>3636</v>
      </c>
      <c r="H654" s="2" t="s">
        <v>2055</v>
      </c>
      <c r="I654" s="15" t="s">
        <v>67</v>
      </c>
      <c r="J654" s="4">
        <v>43064</v>
      </c>
      <c r="K654" s="15" t="s">
        <v>8</v>
      </c>
      <c r="L654" s="15" t="s">
        <v>12</v>
      </c>
      <c r="W654" s="16" t="s">
        <v>60</v>
      </c>
      <c r="Y654" s="7">
        <v>43090</v>
      </c>
      <c r="Z654" s="16" t="s">
        <v>66</v>
      </c>
      <c r="AA654" s="7">
        <v>43094</v>
      </c>
    </row>
    <row r="655" spans="1:28" ht="15" customHeight="1">
      <c r="A655" s="290"/>
      <c r="C655" s="16">
        <v>42</v>
      </c>
      <c r="D655" s="16">
        <v>19794</v>
      </c>
      <c r="E655" s="16" t="s">
        <v>2040</v>
      </c>
      <c r="F655" s="3">
        <v>29104030100203</v>
      </c>
      <c r="G655" s="16" t="s">
        <v>129</v>
      </c>
      <c r="H655" s="16" t="s">
        <v>2056</v>
      </c>
      <c r="I655" s="16" t="s">
        <v>66</v>
      </c>
      <c r="J655" s="45">
        <v>43064</v>
      </c>
      <c r="K655" s="16" t="s">
        <v>8</v>
      </c>
      <c r="L655" s="16" t="s">
        <v>12</v>
      </c>
      <c r="M655" s="16"/>
      <c r="N655" s="16"/>
      <c r="W655" s="16" t="s">
        <v>61</v>
      </c>
      <c r="X655" s="16" t="s">
        <v>66</v>
      </c>
      <c r="Y655" s="45">
        <v>43090</v>
      </c>
      <c r="Z655" s="16" t="s">
        <v>66</v>
      </c>
      <c r="AA655" s="45">
        <v>43111</v>
      </c>
      <c r="AB655" s="16"/>
    </row>
    <row r="656" spans="1:28" ht="15" customHeight="1">
      <c r="A656" s="290"/>
      <c r="C656" s="15">
        <v>42</v>
      </c>
      <c r="D656" s="2">
        <v>19795</v>
      </c>
      <c r="E656" s="2" t="s">
        <v>2041</v>
      </c>
      <c r="F656" s="3">
        <v>29307130102139</v>
      </c>
      <c r="G656" s="2" t="s">
        <v>34</v>
      </c>
      <c r="H656" s="2" t="s">
        <v>2057</v>
      </c>
      <c r="I656" s="15" t="s">
        <v>66</v>
      </c>
      <c r="J656" s="4">
        <v>43064</v>
      </c>
      <c r="K656" s="15" t="s">
        <v>8</v>
      </c>
      <c r="L656" s="15" t="s">
        <v>12</v>
      </c>
      <c r="W656" s="16" t="s">
        <v>61</v>
      </c>
      <c r="X656" s="16" t="s">
        <v>66</v>
      </c>
      <c r="Y656" s="7">
        <v>43090</v>
      </c>
      <c r="Z656" s="16" t="s">
        <v>66</v>
      </c>
      <c r="AA656" s="7">
        <v>43111</v>
      </c>
    </row>
    <row r="657" spans="1:28" ht="15" customHeight="1">
      <c r="A657" s="290"/>
      <c r="C657" s="2">
        <v>42</v>
      </c>
      <c r="D657" s="2">
        <v>19796</v>
      </c>
      <c r="E657" s="2" t="s">
        <v>2042</v>
      </c>
      <c r="F657" s="3">
        <v>29301110100042</v>
      </c>
      <c r="G657" s="2" t="s">
        <v>34</v>
      </c>
      <c r="H657" s="2" t="s">
        <v>2058</v>
      </c>
      <c r="I657" s="15" t="s">
        <v>66</v>
      </c>
      <c r="J657" s="4">
        <v>43064</v>
      </c>
      <c r="K657" s="15" t="s">
        <v>8</v>
      </c>
      <c r="L657" s="15" t="s">
        <v>12</v>
      </c>
      <c r="W657" s="16" t="s">
        <v>60</v>
      </c>
      <c r="Y657" s="7">
        <v>43090</v>
      </c>
      <c r="Z657" s="16" t="s">
        <v>66</v>
      </c>
      <c r="AA657" s="7">
        <v>43094</v>
      </c>
    </row>
    <row r="658" spans="1:28" ht="15" customHeight="1">
      <c r="A658" s="290"/>
      <c r="C658" s="15">
        <v>42</v>
      </c>
      <c r="D658" s="2">
        <v>19797</v>
      </c>
      <c r="E658" s="2" t="s">
        <v>2043</v>
      </c>
      <c r="F658" s="3">
        <v>29412200101419</v>
      </c>
      <c r="G658" s="2" t="s">
        <v>34</v>
      </c>
      <c r="H658" s="2" t="s">
        <v>2059</v>
      </c>
      <c r="I658" s="15" t="s">
        <v>66</v>
      </c>
      <c r="J658" s="4">
        <v>43064</v>
      </c>
      <c r="K658" s="15" t="s">
        <v>8</v>
      </c>
      <c r="L658" s="15" t="s">
        <v>12</v>
      </c>
      <c r="W658" s="16" t="s">
        <v>61</v>
      </c>
      <c r="Y658" s="7">
        <v>43090</v>
      </c>
      <c r="Z658" s="16" t="s">
        <v>66</v>
      </c>
      <c r="AA658" s="7">
        <v>43094</v>
      </c>
    </row>
    <row r="659" spans="1:28" ht="15" customHeight="1">
      <c r="A659" s="290"/>
      <c r="C659" s="15">
        <v>42</v>
      </c>
      <c r="D659" s="2">
        <v>19798</v>
      </c>
      <c r="E659" s="2" t="s">
        <v>2044</v>
      </c>
      <c r="F659" s="3">
        <v>29611210104141</v>
      </c>
      <c r="G659" s="16" t="s">
        <v>3636</v>
      </c>
      <c r="H659" s="2" t="s">
        <v>2060</v>
      </c>
      <c r="I659" s="15" t="s">
        <v>66</v>
      </c>
      <c r="J659" s="4">
        <v>43064</v>
      </c>
      <c r="K659" s="15" t="s">
        <v>8</v>
      </c>
      <c r="L659" s="15" t="s">
        <v>12</v>
      </c>
      <c r="W659" s="16" t="s">
        <v>60</v>
      </c>
      <c r="X659" s="16" t="s">
        <v>66</v>
      </c>
      <c r="Y659" s="7">
        <v>43090</v>
      </c>
      <c r="Z659" s="16" t="s">
        <v>66</v>
      </c>
      <c r="AA659" s="7">
        <v>43123</v>
      </c>
    </row>
    <row r="660" spans="1:28" ht="15" customHeight="1">
      <c r="A660" s="290"/>
      <c r="C660" s="15">
        <v>42</v>
      </c>
      <c r="D660" s="2">
        <v>19799</v>
      </c>
      <c r="E660" s="2" t="s">
        <v>2045</v>
      </c>
      <c r="F660" s="3" t="s">
        <v>2046</v>
      </c>
      <c r="G660" s="2" t="s">
        <v>34</v>
      </c>
      <c r="H660" s="2" t="s">
        <v>2061</v>
      </c>
      <c r="I660" s="15" t="s">
        <v>66</v>
      </c>
      <c r="J660" s="4">
        <v>43064</v>
      </c>
      <c r="K660" s="15" t="s">
        <v>8</v>
      </c>
      <c r="L660" s="15" t="s">
        <v>12</v>
      </c>
      <c r="W660" s="16" t="s">
        <v>60</v>
      </c>
      <c r="Y660" s="7">
        <v>43090</v>
      </c>
      <c r="Z660" s="16" t="s">
        <v>67</v>
      </c>
      <c r="AA660" s="7" t="s">
        <v>3111</v>
      </c>
    </row>
    <row r="661" spans="1:28" ht="15" customHeight="1">
      <c r="A661" s="290"/>
      <c r="C661" s="15">
        <v>42</v>
      </c>
      <c r="D661" s="2">
        <v>19800</v>
      </c>
      <c r="E661" s="2" t="s">
        <v>2047</v>
      </c>
      <c r="F661" s="3">
        <v>29501060103494</v>
      </c>
      <c r="G661" s="15" t="s">
        <v>34</v>
      </c>
      <c r="H661" s="2" t="s">
        <v>2062</v>
      </c>
      <c r="I661" s="15" t="s">
        <v>66</v>
      </c>
      <c r="J661" s="4">
        <v>43064</v>
      </c>
      <c r="K661" s="15" t="s">
        <v>8</v>
      </c>
      <c r="L661" s="15" t="s">
        <v>12</v>
      </c>
      <c r="W661" s="16" t="s">
        <v>60</v>
      </c>
      <c r="X661" s="16" t="s">
        <v>66</v>
      </c>
      <c r="Y661" s="7">
        <v>43090</v>
      </c>
      <c r="Z661" s="16" t="s">
        <v>66</v>
      </c>
      <c r="AA661" s="7">
        <v>43109</v>
      </c>
    </row>
    <row r="662" spans="1:28" ht="15" customHeight="1">
      <c r="A662" s="290"/>
      <c r="C662" s="15">
        <v>42</v>
      </c>
      <c r="D662" s="2">
        <v>19801</v>
      </c>
      <c r="E662" s="2" t="s">
        <v>2048</v>
      </c>
      <c r="F662" s="3">
        <v>28306141801373</v>
      </c>
      <c r="G662" s="2" t="s">
        <v>34</v>
      </c>
      <c r="H662" s="2" t="s">
        <v>2063</v>
      </c>
      <c r="I662" s="15" t="s">
        <v>66</v>
      </c>
      <c r="J662" s="4">
        <v>43064</v>
      </c>
      <c r="K662" s="15" t="s">
        <v>8</v>
      </c>
      <c r="L662" s="15" t="s">
        <v>12</v>
      </c>
      <c r="W662" s="16" t="s">
        <v>61</v>
      </c>
      <c r="Y662" s="7">
        <v>43090</v>
      </c>
      <c r="Z662" s="16" t="s">
        <v>66</v>
      </c>
      <c r="AA662" s="7">
        <v>43094</v>
      </c>
      <c r="AB662" s="2" t="s">
        <v>3178</v>
      </c>
    </row>
    <row r="663" spans="1:28" ht="15" customHeight="1">
      <c r="A663" s="290"/>
      <c r="C663" s="16">
        <v>42</v>
      </c>
      <c r="D663" s="16">
        <v>19802</v>
      </c>
      <c r="E663" s="16" t="s">
        <v>2049</v>
      </c>
      <c r="F663" s="3">
        <v>29502200104042</v>
      </c>
      <c r="G663" s="16" t="s">
        <v>34</v>
      </c>
      <c r="H663" s="16" t="s">
        <v>2064</v>
      </c>
      <c r="I663" s="16" t="s">
        <v>66</v>
      </c>
      <c r="J663" s="45">
        <v>43064</v>
      </c>
      <c r="K663" s="16" t="s">
        <v>8</v>
      </c>
      <c r="L663" s="16" t="s">
        <v>12</v>
      </c>
      <c r="M663" s="16"/>
      <c r="N663" s="16"/>
      <c r="W663" s="16" t="s">
        <v>62</v>
      </c>
      <c r="X663" s="16"/>
      <c r="Y663" s="45">
        <v>43090</v>
      </c>
      <c r="Z663" s="16" t="s">
        <v>66</v>
      </c>
      <c r="AA663" s="45">
        <v>43102</v>
      </c>
      <c r="AB663" s="16"/>
    </row>
    <row r="664" spans="1:28" ht="15" customHeight="1">
      <c r="A664" s="290"/>
      <c r="C664" s="15">
        <v>42</v>
      </c>
      <c r="D664" s="2">
        <v>19803</v>
      </c>
      <c r="E664" s="2" t="s">
        <v>2050</v>
      </c>
      <c r="F664" s="3">
        <v>28304210101424</v>
      </c>
      <c r="G664" s="2" t="s">
        <v>34</v>
      </c>
      <c r="H664" s="2" t="s">
        <v>2065</v>
      </c>
      <c r="I664" s="15" t="s">
        <v>66</v>
      </c>
      <c r="J664" s="4">
        <v>43064</v>
      </c>
      <c r="K664" s="15" t="s">
        <v>8</v>
      </c>
      <c r="L664" s="15" t="s">
        <v>12</v>
      </c>
      <c r="W664" s="16" t="s">
        <v>60</v>
      </c>
      <c r="X664" s="16" t="s">
        <v>66</v>
      </c>
      <c r="Y664" s="7">
        <v>43090</v>
      </c>
      <c r="Z664" s="16" t="s">
        <v>66</v>
      </c>
      <c r="AA664" s="7">
        <v>43109</v>
      </c>
    </row>
    <row r="665" spans="1:28" ht="15" customHeight="1">
      <c r="A665" s="290"/>
      <c r="C665" s="15">
        <v>42</v>
      </c>
      <c r="D665" s="2">
        <v>19804</v>
      </c>
      <c r="E665" s="2" t="s">
        <v>2051</v>
      </c>
      <c r="F665" s="3">
        <v>29310012112201</v>
      </c>
      <c r="G665" s="2" t="s">
        <v>34</v>
      </c>
      <c r="H665" s="2" t="s">
        <v>2066</v>
      </c>
      <c r="I665" s="15" t="s">
        <v>66</v>
      </c>
      <c r="J665" s="4">
        <v>43064</v>
      </c>
      <c r="K665" s="15" t="s">
        <v>8</v>
      </c>
      <c r="L665" s="15" t="s">
        <v>12</v>
      </c>
      <c r="W665" s="16" t="s">
        <v>62</v>
      </c>
      <c r="Y665" s="7">
        <v>43090</v>
      </c>
      <c r="Z665" s="16" t="s">
        <v>66</v>
      </c>
      <c r="AA665" s="7">
        <v>43102</v>
      </c>
    </row>
    <row r="666" spans="1:28" ht="15" customHeight="1">
      <c r="A666" s="290"/>
      <c r="C666" s="15">
        <v>42</v>
      </c>
      <c r="D666" s="2">
        <v>19805</v>
      </c>
      <c r="E666" s="2" t="s">
        <v>2052</v>
      </c>
      <c r="F666" s="3">
        <v>29510160101773</v>
      </c>
      <c r="G666" s="15" t="s">
        <v>34</v>
      </c>
      <c r="H666" s="2" t="s">
        <v>2067</v>
      </c>
      <c r="I666" s="15" t="s">
        <v>66</v>
      </c>
      <c r="J666" s="4">
        <v>43064</v>
      </c>
      <c r="K666" s="15" t="s">
        <v>8</v>
      </c>
      <c r="L666" s="15" t="s">
        <v>12</v>
      </c>
      <c r="W666" s="16" t="s">
        <v>60</v>
      </c>
      <c r="Y666" s="7">
        <v>43090</v>
      </c>
      <c r="Z666" s="16" t="s">
        <v>66</v>
      </c>
      <c r="AA666" s="7">
        <v>43094</v>
      </c>
    </row>
    <row r="667" spans="1:28" ht="15" customHeight="1">
      <c r="A667" s="290"/>
      <c r="C667" s="15">
        <v>42</v>
      </c>
      <c r="D667" s="2">
        <v>19806</v>
      </c>
      <c r="E667" s="2" t="s">
        <v>2053</v>
      </c>
      <c r="F667" s="3">
        <v>28909038800624</v>
      </c>
      <c r="G667" s="2" t="s">
        <v>34</v>
      </c>
      <c r="H667" s="2" t="s">
        <v>2068</v>
      </c>
      <c r="I667" s="15" t="s">
        <v>66</v>
      </c>
      <c r="J667" s="4">
        <v>43064</v>
      </c>
      <c r="K667" s="15" t="s">
        <v>8</v>
      </c>
      <c r="L667" s="15" t="s">
        <v>12</v>
      </c>
      <c r="W667" s="16" t="s">
        <v>63</v>
      </c>
      <c r="Y667" s="7">
        <v>43090</v>
      </c>
      <c r="Z667" s="16" t="s">
        <v>67</v>
      </c>
      <c r="AA667" s="7" t="s">
        <v>3111</v>
      </c>
    </row>
    <row r="668" spans="1:28" ht="15.75" customHeight="1" thickBot="1">
      <c r="A668" s="291"/>
      <c r="C668" s="28">
        <v>42</v>
      </c>
      <c r="D668" s="28">
        <v>19807</v>
      </c>
      <c r="E668" s="28" t="s">
        <v>2054</v>
      </c>
      <c r="F668" s="29">
        <v>28112250105728</v>
      </c>
      <c r="G668" s="28" t="s">
        <v>34</v>
      </c>
      <c r="H668" s="28" t="s">
        <v>2069</v>
      </c>
      <c r="I668" s="28" t="s">
        <v>66</v>
      </c>
      <c r="J668" s="30">
        <v>43064</v>
      </c>
      <c r="K668" s="28" t="s">
        <v>8</v>
      </c>
      <c r="L668" s="28" t="s">
        <v>12</v>
      </c>
      <c r="M668" s="28"/>
      <c r="N668" s="28"/>
      <c r="O668" s="226"/>
      <c r="P668" s="28"/>
      <c r="Q668" s="226"/>
      <c r="R668" s="28"/>
      <c r="S668" s="28"/>
      <c r="T668" s="28"/>
      <c r="U668" s="28"/>
      <c r="V668" s="28"/>
      <c r="W668" s="28" t="s">
        <v>63</v>
      </c>
      <c r="X668" s="28"/>
      <c r="Y668" s="30">
        <v>43090</v>
      </c>
      <c r="Z668" s="28" t="s">
        <v>67</v>
      </c>
      <c r="AA668" s="30" t="s">
        <v>3111</v>
      </c>
      <c r="AB668" s="28"/>
    </row>
    <row r="669" spans="1:28" ht="15.75" customHeight="1" thickTop="1">
      <c r="A669" s="289" t="s">
        <v>3122</v>
      </c>
      <c r="C669" s="15">
        <v>43</v>
      </c>
      <c r="D669" s="17">
        <v>19810</v>
      </c>
      <c r="E669" s="18" t="s">
        <v>2014</v>
      </c>
      <c r="F669" s="3" t="s">
        <v>2015</v>
      </c>
      <c r="G669" s="2" t="s">
        <v>184</v>
      </c>
      <c r="H669" s="19" t="s">
        <v>2027</v>
      </c>
      <c r="I669" s="15" t="s">
        <v>66</v>
      </c>
      <c r="J669" s="4">
        <v>43071</v>
      </c>
      <c r="K669" s="15" t="s">
        <v>8</v>
      </c>
      <c r="L669" s="15" t="s">
        <v>12</v>
      </c>
      <c r="W669" s="16" t="s">
        <v>60</v>
      </c>
      <c r="Y669" s="7">
        <v>43097</v>
      </c>
      <c r="Z669" s="16" t="s">
        <v>66</v>
      </c>
      <c r="AA669" s="7">
        <v>43130</v>
      </c>
    </row>
    <row r="670" spans="1:28" ht="15" customHeight="1">
      <c r="A670" s="290"/>
      <c r="C670" s="15">
        <v>43</v>
      </c>
      <c r="D670" s="17">
        <v>19811</v>
      </c>
      <c r="E670" s="18" t="s">
        <v>2016</v>
      </c>
      <c r="F670" s="3">
        <v>29409222100539</v>
      </c>
      <c r="G670" s="2" t="s">
        <v>184</v>
      </c>
      <c r="H670" s="19" t="s">
        <v>2028</v>
      </c>
      <c r="I670" s="15" t="s">
        <v>66</v>
      </c>
      <c r="J670" s="4">
        <v>43071</v>
      </c>
      <c r="K670" s="15" t="s">
        <v>8</v>
      </c>
      <c r="L670" s="15" t="s">
        <v>12</v>
      </c>
      <c r="W670" s="16" t="s">
        <v>60</v>
      </c>
      <c r="Y670" s="7">
        <v>43097</v>
      </c>
      <c r="Z670" s="16" t="s">
        <v>66</v>
      </c>
      <c r="AA670" s="7">
        <v>43109</v>
      </c>
    </row>
    <row r="671" spans="1:28" ht="15" customHeight="1">
      <c r="A671" s="290"/>
      <c r="C671" s="15">
        <v>43</v>
      </c>
      <c r="D671" s="17">
        <v>19812</v>
      </c>
      <c r="E671" s="18" t="s">
        <v>2017</v>
      </c>
      <c r="F671" s="3">
        <v>29411240102756</v>
      </c>
      <c r="G671" s="18" t="s">
        <v>34</v>
      </c>
      <c r="H671" s="19" t="s">
        <v>2029</v>
      </c>
      <c r="I671" s="15" t="s">
        <v>66</v>
      </c>
      <c r="J671" s="4">
        <v>43071</v>
      </c>
      <c r="K671" s="15" t="s">
        <v>8</v>
      </c>
      <c r="L671" s="15" t="s">
        <v>12</v>
      </c>
      <c r="W671" s="16" t="s">
        <v>3108</v>
      </c>
      <c r="Y671" s="7">
        <v>43097</v>
      </c>
      <c r="Z671" s="16" t="s">
        <v>66</v>
      </c>
      <c r="AA671" s="7">
        <v>43131</v>
      </c>
    </row>
    <row r="672" spans="1:28" ht="15" customHeight="1">
      <c r="A672" s="290"/>
      <c r="C672" s="15">
        <v>43</v>
      </c>
      <c r="D672" s="17">
        <v>19813</v>
      </c>
      <c r="E672" s="18" t="s">
        <v>2018</v>
      </c>
      <c r="F672" s="3">
        <v>28809130104273</v>
      </c>
      <c r="G672" s="16" t="s">
        <v>3636</v>
      </c>
      <c r="H672" s="19" t="s">
        <v>2030</v>
      </c>
      <c r="I672" s="15" t="s">
        <v>66</v>
      </c>
      <c r="J672" s="4">
        <v>43071</v>
      </c>
      <c r="K672" s="15" t="s">
        <v>8</v>
      </c>
      <c r="L672" s="15" t="s">
        <v>12</v>
      </c>
      <c r="W672" s="16" t="s">
        <v>61</v>
      </c>
      <c r="Y672" s="7">
        <v>43097</v>
      </c>
      <c r="Z672" s="16" t="s">
        <v>66</v>
      </c>
      <c r="AA672" s="7">
        <v>43111</v>
      </c>
    </row>
    <row r="673" spans="1:28" ht="15" customHeight="1">
      <c r="A673" s="290"/>
      <c r="C673" s="2">
        <v>43</v>
      </c>
      <c r="D673" s="17">
        <v>19814</v>
      </c>
      <c r="E673" s="18" t="s">
        <v>2019</v>
      </c>
      <c r="F673" s="3">
        <v>28907050201407</v>
      </c>
      <c r="G673" s="18" t="s">
        <v>34</v>
      </c>
      <c r="H673" s="19" t="s">
        <v>2031</v>
      </c>
      <c r="I673" s="15" t="s">
        <v>66</v>
      </c>
      <c r="J673" s="4">
        <v>43071</v>
      </c>
      <c r="K673" s="15" t="s">
        <v>8</v>
      </c>
      <c r="L673" s="15" t="s">
        <v>12</v>
      </c>
      <c r="W673" s="16" t="s">
        <v>63</v>
      </c>
      <c r="Y673" s="7">
        <v>43097</v>
      </c>
      <c r="Z673" s="16" t="s">
        <v>67</v>
      </c>
      <c r="AA673" s="7" t="s">
        <v>3111</v>
      </c>
    </row>
    <row r="674" spans="1:28" ht="15" customHeight="1">
      <c r="A674" s="290"/>
      <c r="C674" s="15">
        <v>43</v>
      </c>
      <c r="D674" s="17">
        <v>19815</v>
      </c>
      <c r="E674" s="18" t="s">
        <v>2020</v>
      </c>
      <c r="F674" s="3" t="s">
        <v>2021</v>
      </c>
      <c r="G674" s="18" t="s">
        <v>34</v>
      </c>
      <c r="H674" s="19" t="s">
        <v>2032</v>
      </c>
      <c r="I674" s="15" t="s">
        <v>66</v>
      </c>
      <c r="J674" s="4">
        <v>43071</v>
      </c>
      <c r="K674" s="15" t="s">
        <v>8</v>
      </c>
      <c r="L674" s="15" t="s">
        <v>12</v>
      </c>
      <c r="W674" s="16" t="s">
        <v>63</v>
      </c>
      <c r="Y674" s="7">
        <v>43097</v>
      </c>
      <c r="Z674" s="16" t="s">
        <v>67</v>
      </c>
      <c r="AA674" s="7" t="s">
        <v>3111</v>
      </c>
    </row>
    <row r="675" spans="1:28" ht="15" customHeight="1">
      <c r="A675" s="290"/>
      <c r="C675" s="15">
        <v>43</v>
      </c>
      <c r="D675" s="17">
        <v>19816</v>
      </c>
      <c r="E675" s="18" t="s">
        <v>2022</v>
      </c>
      <c r="F675" s="3">
        <v>29301160104111</v>
      </c>
      <c r="G675" s="18" t="s">
        <v>34</v>
      </c>
      <c r="H675" s="19" t="s">
        <v>2033</v>
      </c>
      <c r="I675" s="15" t="s">
        <v>66</v>
      </c>
      <c r="J675" s="4">
        <v>43071</v>
      </c>
      <c r="K675" s="15" t="s">
        <v>8</v>
      </c>
      <c r="L675" s="15" t="s">
        <v>12</v>
      </c>
      <c r="M675" s="15"/>
      <c r="W675" s="16" t="s">
        <v>63</v>
      </c>
      <c r="Y675" s="7">
        <v>43097</v>
      </c>
      <c r="Z675" s="16" t="s">
        <v>67</v>
      </c>
      <c r="AA675" s="7" t="s">
        <v>3111</v>
      </c>
    </row>
    <row r="676" spans="1:28" ht="15" customHeight="1">
      <c r="A676" s="290"/>
      <c r="C676" s="15">
        <v>43</v>
      </c>
      <c r="D676" s="17">
        <v>19817</v>
      </c>
      <c r="E676" s="18" t="s">
        <v>2023</v>
      </c>
      <c r="F676" s="3">
        <v>29702210103175</v>
      </c>
      <c r="G676" s="2" t="s">
        <v>184</v>
      </c>
      <c r="H676" s="19" t="s">
        <v>2034</v>
      </c>
      <c r="I676" s="15" t="s">
        <v>66</v>
      </c>
      <c r="J676" s="4">
        <v>43071</v>
      </c>
      <c r="K676" s="15" t="s">
        <v>8</v>
      </c>
      <c r="L676" s="15" t="s">
        <v>12</v>
      </c>
      <c r="W676" s="16" t="s">
        <v>63</v>
      </c>
      <c r="Y676" s="7">
        <v>43097</v>
      </c>
      <c r="Z676" s="16" t="s">
        <v>67</v>
      </c>
      <c r="AA676" s="7" t="s">
        <v>3111</v>
      </c>
    </row>
    <row r="677" spans="1:28" ht="15" customHeight="1">
      <c r="A677" s="290"/>
      <c r="C677" s="16">
        <v>43</v>
      </c>
      <c r="D677" s="17">
        <v>19818</v>
      </c>
      <c r="E677" s="18" t="s">
        <v>2024</v>
      </c>
      <c r="F677" s="3">
        <v>29410258800799</v>
      </c>
      <c r="G677" s="16" t="s">
        <v>184</v>
      </c>
      <c r="H677" s="19" t="s">
        <v>2035</v>
      </c>
      <c r="I677" s="16" t="s">
        <v>66</v>
      </c>
      <c r="J677" s="45">
        <v>43071</v>
      </c>
      <c r="K677" s="16" t="s">
        <v>8</v>
      </c>
      <c r="L677" s="16" t="s">
        <v>12</v>
      </c>
      <c r="M677" s="16"/>
      <c r="N677" s="16"/>
      <c r="W677" s="16" t="s">
        <v>60</v>
      </c>
      <c r="X677" s="16" t="s">
        <v>66</v>
      </c>
      <c r="Y677" s="45">
        <v>43097</v>
      </c>
      <c r="Z677" s="16" t="s">
        <v>66</v>
      </c>
      <c r="AA677" s="45">
        <v>43109</v>
      </c>
      <c r="AB677" s="16"/>
    </row>
    <row r="678" spans="1:28" ht="15" customHeight="1">
      <c r="A678" s="290"/>
      <c r="C678" s="15">
        <v>43</v>
      </c>
      <c r="D678" s="17">
        <v>19819</v>
      </c>
      <c r="E678" s="18" t="s">
        <v>2025</v>
      </c>
      <c r="F678" s="3">
        <v>28701012127174</v>
      </c>
      <c r="G678" s="18" t="s">
        <v>34</v>
      </c>
      <c r="H678" s="19" t="s">
        <v>2036</v>
      </c>
      <c r="I678" s="15" t="s">
        <v>66</v>
      </c>
      <c r="J678" s="4">
        <v>43071</v>
      </c>
      <c r="K678" s="15" t="s">
        <v>8</v>
      </c>
      <c r="L678" s="15" t="s">
        <v>12</v>
      </c>
      <c r="W678" s="16" t="s">
        <v>63</v>
      </c>
      <c r="Y678" s="7">
        <v>43097</v>
      </c>
      <c r="Z678" s="16" t="s">
        <v>67</v>
      </c>
      <c r="AA678" s="7" t="s">
        <v>3111</v>
      </c>
    </row>
    <row r="679" spans="1:28" ht="15.75" customHeight="1" thickBot="1">
      <c r="A679" s="291"/>
      <c r="C679" s="28">
        <v>43</v>
      </c>
      <c r="D679" s="28">
        <v>19820</v>
      </c>
      <c r="E679" s="28" t="s">
        <v>2026</v>
      </c>
      <c r="F679" s="29">
        <v>29009210101256</v>
      </c>
      <c r="G679" s="28" t="s">
        <v>34</v>
      </c>
      <c r="H679" s="28" t="s">
        <v>2037</v>
      </c>
      <c r="I679" s="28" t="s">
        <v>66</v>
      </c>
      <c r="J679" s="30">
        <v>43071</v>
      </c>
      <c r="K679" s="28" t="s">
        <v>8</v>
      </c>
      <c r="L679" s="28" t="s">
        <v>12</v>
      </c>
      <c r="M679" s="28"/>
      <c r="N679" s="28"/>
      <c r="O679" s="226"/>
      <c r="P679" s="28"/>
      <c r="Q679" s="226"/>
      <c r="R679" s="28"/>
      <c r="S679" s="28"/>
      <c r="T679" s="28"/>
      <c r="U679" s="28"/>
      <c r="V679" s="28"/>
      <c r="W679" s="28" t="s">
        <v>62</v>
      </c>
      <c r="X679" s="28"/>
      <c r="Y679" s="30">
        <v>43097</v>
      </c>
      <c r="Z679" s="28" t="s">
        <v>67</v>
      </c>
      <c r="AA679" s="30" t="s">
        <v>3111</v>
      </c>
      <c r="AB679" s="28"/>
    </row>
    <row r="680" spans="1:28" ht="15.75" customHeight="1" thickTop="1">
      <c r="A680" s="289" t="s">
        <v>3121</v>
      </c>
      <c r="C680" s="16">
        <v>44</v>
      </c>
      <c r="D680" s="16">
        <v>19821</v>
      </c>
      <c r="E680" s="16" t="s">
        <v>1993</v>
      </c>
      <c r="F680" s="3">
        <v>29404248800766</v>
      </c>
      <c r="G680" s="16" t="s">
        <v>34</v>
      </c>
      <c r="H680" s="16" t="s">
        <v>2004</v>
      </c>
      <c r="I680" s="16" t="s">
        <v>66</v>
      </c>
      <c r="J680" s="45">
        <v>43071</v>
      </c>
      <c r="K680" s="16" t="s">
        <v>8</v>
      </c>
      <c r="L680" s="16" t="s">
        <v>12</v>
      </c>
      <c r="M680" s="16"/>
      <c r="N680" s="16"/>
      <c r="W680" s="16" t="s">
        <v>60</v>
      </c>
      <c r="X680" s="16"/>
      <c r="Y680" s="45">
        <v>43097</v>
      </c>
      <c r="Z680" s="16" t="s">
        <v>66</v>
      </c>
      <c r="AA680" s="45">
        <v>43114</v>
      </c>
      <c r="AB680" s="16"/>
    </row>
    <row r="681" spans="1:28" ht="15" customHeight="1">
      <c r="A681" s="290"/>
      <c r="C681" s="15">
        <v>44</v>
      </c>
      <c r="D681" s="2">
        <v>19822</v>
      </c>
      <c r="E681" s="2" t="s">
        <v>1994</v>
      </c>
      <c r="F681" s="3">
        <v>27702080103472</v>
      </c>
      <c r="G681" s="2" t="s">
        <v>34</v>
      </c>
      <c r="H681" s="2" t="s">
        <v>2005</v>
      </c>
      <c r="I681" s="15" t="s">
        <v>66</v>
      </c>
      <c r="J681" s="4">
        <v>43071</v>
      </c>
      <c r="K681" s="15" t="s">
        <v>8</v>
      </c>
      <c r="L681" s="15" t="s">
        <v>12</v>
      </c>
      <c r="W681" s="16" t="s">
        <v>60</v>
      </c>
      <c r="Y681" s="7">
        <v>43097</v>
      </c>
      <c r="Z681" s="16" t="s">
        <v>66</v>
      </c>
      <c r="AA681" s="7">
        <v>43111</v>
      </c>
    </row>
    <row r="682" spans="1:28" ht="15" customHeight="1">
      <c r="A682" s="290"/>
      <c r="C682" s="15">
        <v>44</v>
      </c>
      <c r="D682" s="2">
        <v>19823</v>
      </c>
      <c r="E682" s="2" t="s">
        <v>1995</v>
      </c>
      <c r="F682" s="3">
        <v>29804120104331</v>
      </c>
      <c r="G682" s="16" t="s">
        <v>3636</v>
      </c>
      <c r="H682" s="2" t="s">
        <v>2006</v>
      </c>
      <c r="I682" s="15" t="s">
        <v>66</v>
      </c>
      <c r="J682" s="4">
        <v>43071</v>
      </c>
      <c r="K682" s="15" t="s">
        <v>8</v>
      </c>
      <c r="L682" s="15" t="s">
        <v>12</v>
      </c>
      <c r="M682" s="15"/>
      <c r="W682" s="16" t="s">
        <v>62</v>
      </c>
      <c r="X682" s="16" t="s">
        <v>66</v>
      </c>
      <c r="Y682" s="7">
        <v>43097</v>
      </c>
      <c r="Z682" s="16" t="s">
        <v>66</v>
      </c>
      <c r="AA682" s="7">
        <v>43114</v>
      </c>
    </row>
    <row r="683" spans="1:28" ht="15" customHeight="1">
      <c r="A683" s="290"/>
      <c r="C683" s="15">
        <v>44</v>
      </c>
      <c r="D683" s="2">
        <v>19824</v>
      </c>
      <c r="E683" s="2" t="s">
        <v>1996</v>
      </c>
      <c r="F683" s="3">
        <v>28904131400596</v>
      </c>
      <c r="G683" s="2" t="s">
        <v>34</v>
      </c>
      <c r="H683" s="2" t="s">
        <v>2007</v>
      </c>
      <c r="I683" s="15" t="s">
        <v>66</v>
      </c>
      <c r="J683" s="4">
        <v>43071</v>
      </c>
      <c r="K683" s="15" t="s">
        <v>8</v>
      </c>
      <c r="L683" s="15" t="s">
        <v>12</v>
      </c>
      <c r="W683" s="16" t="s">
        <v>61</v>
      </c>
      <c r="Y683" s="7">
        <v>43097</v>
      </c>
      <c r="Z683" s="16" t="s">
        <v>66</v>
      </c>
      <c r="AA683" s="7">
        <v>43111</v>
      </c>
    </row>
    <row r="684" spans="1:28" ht="15" customHeight="1">
      <c r="A684" s="290"/>
      <c r="C684" s="15">
        <v>44</v>
      </c>
      <c r="D684" s="2">
        <v>19825</v>
      </c>
      <c r="E684" s="2" t="s">
        <v>1997</v>
      </c>
      <c r="F684" s="3" t="s">
        <v>1998</v>
      </c>
      <c r="G684" s="15" t="s">
        <v>34</v>
      </c>
      <c r="H684" s="2" t="s">
        <v>2008</v>
      </c>
      <c r="I684" s="15" t="s">
        <v>66</v>
      </c>
      <c r="J684" s="4">
        <v>43071</v>
      </c>
      <c r="K684" s="15" t="s">
        <v>8</v>
      </c>
      <c r="L684" s="15" t="s">
        <v>12</v>
      </c>
      <c r="M684" s="15"/>
      <c r="Y684" s="7">
        <v>43097</v>
      </c>
      <c r="Z684" s="16" t="s">
        <v>67</v>
      </c>
      <c r="AA684" s="7" t="s">
        <v>3111</v>
      </c>
    </row>
    <row r="685" spans="1:28" ht="15" customHeight="1">
      <c r="A685" s="290"/>
      <c r="C685" s="15">
        <v>44</v>
      </c>
      <c r="D685" s="2">
        <v>19826</v>
      </c>
      <c r="E685" s="2" t="s">
        <v>1999</v>
      </c>
      <c r="F685" s="3">
        <v>29007080100233</v>
      </c>
      <c r="G685" s="15" t="s">
        <v>34</v>
      </c>
      <c r="H685" s="2" t="s">
        <v>2009</v>
      </c>
      <c r="I685" s="15" t="s">
        <v>66</v>
      </c>
      <c r="J685" s="4">
        <v>43071</v>
      </c>
      <c r="K685" s="15" t="s">
        <v>8</v>
      </c>
      <c r="L685" s="15" t="s">
        <v>12</v>
      </c>
      <c r="M685" s="15"/>
      <c r="W685" s="16" t="s">
        <v>61</v>
      </c>
      <c r="Y685" s="7">
        <v>43097</v>
      </c>
      <c r="Z685" s="16" t="s">
        <v>66</v>
      </c>
      <c r="AA685" s="7">
        <v>43111</v>
      </c>
    </row>
    <row r="686" spans="1:28" ht="15" customHeight="1">
      <c r="A686" s="290"/>
      <c r="C686" s="15">
        <v>44</v>
      </c>
      <c r="D686" s="16">
        <v>19827</v>
      </c>
      <c r="E686" s="16" t="s">
        <v>2000</v>
      </c>
      <c r="F686" s="3">
        <v>29305242800511</v>
      </c>
      <c r="G686" s="15" t="s">
        <v>34</v>
      </c>
      <c r="H686" s="16" t="s">
        <v>2010</v>
      </c>
      <c r="I686" s="15" t="s">
        <v>66</v>
      </c>
      <c r="J686" s="4">
        <v>43071</v>
      </c>
      <c r="K686" s="15" t="s">
        <v>8</v>
      </c>
      <c r="L686" s="15" t="s">
        <v>12</v>
      </c>
      <c r="W686" s="16" t="s">
        <v>61</v>
      </c>
      <c r="Y686" s="7">
        <v>43097</v>
      </c>
      <c r="Z686" s="16" t="s">
        <v>66</v>
      </c>
      <c r="AA686" s="7">
        <v>43130</v>
      </c>
    </row>
    <row r="687" spans="1:28" ht="15" customHeight="1">
      <c r="A687" s="290"/>
      <c r="C687" s="15">
        <v>44</v>
      </c>
      <c r="D687" s="16">
        <v>19828</v>
      </c>
      <c r="E687" s="16" t="s">
        <v>2001</v>
      </c>
      <c r="F687" s="3">
        <v>28801188800171</v>
      </c>
      <c r="G687" s="2" t="s">
        <v>34</v>
      </c>
      <c r="H687" s="16" t="s">
        <v>2011</v>
      </c>
      <c r="I687" s="15" t="s">
        <v>66</v>
      </c>
      <c r="J687" s="4">
        <v>43071</v>
      </c>
      <c r="K687" s="15" t="s">
        <v>8</v>
      </c>
      <c r="L687" s="15" t="s">
        <v>12</v>
      </c>
      <c r="W687" s="16" t="s">
        <v>62</v>
      </c>
      <c r="Y687" s="7">
        <v>43097</v>
      </c>
      <c r="Z687" s="16" t="s">
        <v>66</v>
      </c>
      <c r="AA687" s="7">
        <v>43131</v>
      </c>
    </row>
    <row r="688" spans="1:28" ht="15" customHeight="1">
      <c r="A688" s="290"/>
      <c r="C688" s="2">
        <v>44</v>
      </c>
      <c r="D688" s="16">
        <v>19829</v>
      </c>
      <c r="E688" s="16" t="s">
        <v>2002</v>
      </c>
      <c r="F688" s="3">
        <v>28908040100633</v>
      </c>
      <c r="G688" s="16" t="s">
        <v>34</v>
      </c>
      <c r="H688" s="16" t="s">
        <v>2012</v>
      </c>
      <c r="I688" s="15" t="s">
        <v>66</v>
      </c>
      <c r="J688" s="4">
        <v>43071</v>
      </c>
      <c r="K688" s="15" t="s">
        <v>8</v>
      </c>
      <c r="L688" s="15" t="s">
        <v>12</v>
      </c>
      <c r="W688" s="16" t="s">
        <v>61</v>
      </c>
      <c r="Y688" s="7">
        <v>43097</v>
      </c>
      <c r="Z688" s="16" t="s">
        <v>66</v>
      </c>
      <c r="AA688" s="7">
        <v>43111</v>
      </c>
    </row>
    <row r="689" spans="1:28" ht="15.75" customHeight="1" thickBot="1">
      <c r="A689" s="291"/>
      <c r="C689" s="28">
        <v>44</v>
      </c>
      <c r="D689" s="28">
        <v>16913</v>
      </c>
      <c r="E689" s="28" t="s">
        <v>2003</v>
      </c>
      <c r="F689" s="29">
        <v>28612292101733</v>
      </c>
      <c r="G689" s="28" t="s">
        <v>34</v>
      </c>
      <c r="H689" s="28" t="s">
        <v>2013</v>
      </c>
      <c r="I689" s="28" t="s">
        <v>67</v>
      </c>
      <c r="J689" s="30">
        <v>43071</v>
      </c>
      <c r="K689" s="28" t="s">
        <v>8</v>
      </c>
      <c r="L689" s="28" t="s">
        <v>12</v>
      </c>
      <c r="M689" s="28"/>
      <c r="N689" s="28"/>
      <c r="O689" s="226"/>
      <c r="P689" s="28"/>
      <c r="Q689" s="226"/>
      <c r="R689" s="28"/>
      <c r="S689" s="28"/>
      <c r="T689" s="28"/>
      <c r="U689" s="28"/>
      <c r="V689" s="28"/>
      <c r="W689" s="28" t="s">
        <v>60</v>
      </c>
      <c r="X689" s="28"/>
      <c r="Y689" s="30">
        <v>43097</v>
      </c>
      <c r="Z689" s="28" t="s">
        <v>66</v>
      </c>
      <c r="AA689" s="30">
        <v>43109</v>
      </c>
      <c r="AB689" s="28"/>
    </row>
    <row r="690" spans="1:28" ht="15.75" customHeight="1" thickTop="1">
      <c r="A690" s="289" t="s">
        <v>3119</v>
      </c>
      <c r="C690" s="15">
        <v>45</v>
      </c>
      <c r="D690" s="16">
        <v>19589</v>
      </c>
      <c r="E690" s="16" t="s">
        <v>1972</v>
      </c>
      <c r="F690" s="3">
        <v>28706280104456</v>
      </c>
      <c r="G690" s="16" t="s">
        <v>34</v>
      </c>
      <c r="H690" s="16" t="s">
        <v>1984</v>
      </c>
      <c r="I690" s="15" t="s">
        <v>67</v>
      </c>
      <c r="J690" s="4">
        <v>43078</v>
      </c>
      <c r="K690" s="15" t="s">
        <v>8</v>
      </c>
      <c r="L690" s="15" t="s">
        <v>12</v>
      </c>
      <c r="W690" s="16" t="s">
        <v>63</v>
      </c>
      <c r="Z690" s="16" t="str">
        <f>IF(OR(W690="Dismissed", W690="Resigned"),"No","")</f>
        <v>No</v>
      </c>
    </row>
    <row r="691" spans="1:28" ht="15" customHeight="1">
      <c r="A691" s="290"/>
      <c r="C691" s="15">
        <v>45</v>
      </c>
      <c r="D691" s="16">
        <v>19830</v>
      </c>
      <c r="E691" s="16" t="s">
        <v>1970</v>
      </c>
      <c r="F691" s="3">
        <v>28510302401342</v>
      </c>
      <c r="G691" s="16" t="s">
        <v>34</v>
      </c>
      <c r="H691" s="16" t="s">
        <v>1982</v>
      </c>
      <c r="I691" s="15" t="s">
        <v>66</v>
      </c>
      <c r="J691" s="4">
        <v>43078</v>
      </c>
      <c r="K691" s="15" t="s">
        <v>8</v>
      </c>
      <c r="L691" s="15" t="s">
        <v>12</v>
      </c>
      <c r="W691" s="16" t="s">
        <v>60</v>
      </c>
      <c r="Y691" s="7">
        <v>43103</v>
      </c>
      <c r="Z691" s="16" t="s">
        <v>66</v>
      </c>
      <c r="AA691" s="7">
        <v>43123</v>
      </c>
    </row>
    <row r="692" spans="1:28" ht="15" customHeight="1">
      <c r="A692" s="290"/>
      <c r="C692" s="15">
        <v>45</v>
      </c>
      <c r="D692" s="16">
        <v>19831</v>
      </c>
      <c r="E692" s="16" t="s">
        <v>1971</v>
      </c>
      <c r="F692" s="3">
        <v>29411062704623</v>
      </c>
      <c r="G692" s="16" t="s">
        <v>184</v>
      </c>
      <c r="H692" s="16" t="s">
        <v>1983</v>
      </c>
      <c r="I692" s="15" t="s">
        <v>66</v>
      </c>
      <c r="J692" s="4">
        <v>43078</v>
      </c>
      <c r="K692" s="15" t="s">
        <v>8</v>
      </c>
      <c r="L692" s="15" t="s">
        <v>12</v>
      </c>
      <c r="W692" s="16" t="s">
        <v>61</v>
      </c>
      <c r="Y692" s="7">
        <v>43103</v>
      </c>
      <c r="Z692" s="16" t="s">
        <v>66</v>
      </c>
      <c r="AA692" s="7">
        <v>43124</v>
      </c>
    </row>
    <row r="693" spans="1:28" ht="15" customHeight="1">
      <c r="A693" s="290"/>
      <c r="C693" s="15">
        <v>45</v>
      </c>
      <c r="D693" s="16">
        <v>19832</v>
      </c>
      <c r="E693" s="16" t="s">
        <v>1973</v>
      </c>
      <c r="F693" s="3" t="s">
        <v>1974</v>
      </c>
      <c r="G693" s="2" t="s">
        <v>184</v>
      </c>
      <c r="H693" s="16" t="s">
        <v>1985</v>
      </c>
      <c r="I693" s="15" t="s">
        <v>66</v>
      </c>
      <c r="J693" s="4">
        <v>43078</v>
      </c>
      <c r="K693" s="15" t="s">
        <v>8</v>
      </c>
      <c r="L693" s="15" t="s">
        <v>12</v>
      </c>
      <c r="W693" s="16" t="s">
        <v>63</v>
      </c>
      <c r="Y693" s="7">
        <v>43103</v>
      </c>
      <c r="Z693" s="16" t="s">
        <v>67</v>
      </c>
      <c r="AA693" s="7" t="s">
        <v>3111</v>
      </c>
    </row>
    <row r="694" spans="1:28" ht="15" customHeight="1">
      <c r="A694" s="290"/>
      <c r="C694" s="16">
        <v>45</v>
      </c>
      <c r="D694" s="16">
        <v>19833</v>
      </c>
      <c r="E694" s="16" t="s">
        <v>1975</v>
      </c>
      <c r="F694" s="3">
        <v>29306300201335</v>
      </c>
      <c r="G694" s="16" t="s">
        <v>34</v>
      </c>
      <c r="H694" s="16" t="s">
        <v>1986</v>
      </c>
      <c r="I694" s="16" t="s">
        <v>66</v>
      </c>
      <c r="J694" s="45">
        <v>43078</v>
      </c>
      <c r="K694" s="16" t="s">
        <v>8</v>
      </c>
      <c r="L694" s="16" t="s">
        <v>12</v>
      </c>
      <c r="M694" s="16"/>
      <c r="N694" s="16"/>
      <c r="W694" s="16" t="s">
        <v>60</v>
      </c>
      <c r="X694" s="16"/>
      <c r="Y694" s="45">
        <v>43103</v>
      </c>
      <c r="Z694" s="16" t="s">
        <v>66</v>
      </c>
      <c r="AA694" s="45">
        <v>43109</v>
      </c>
      <c r="AB694" s="16"/>
    </row>
    <row r="695" spans="1:28" ht="15" customHeight="1">
      <c r="A695" s="290"/>
      <c r="C695" s="15">
        <v>45</v>
      </c>
      <c r="D695" s="16">
        <v>19834</v>
      </c>
      <c r="E695" s="16" t="s">
        <v>1976</v>
      </c>
      <c r="F695" s="3">
        <v>29501020103106</v>
      </c>
      <c r="G695" s="16" t="s">
        <v>34</v>
      </c>
      <c r="H695" s="16" t="s">
        <v>1987</v>
      </c>
      <c r="I695" s="15" t="s">
        <v>66</v>
      </c>
      <c r="J695" s="4">
        <v>43078</v>
      </c>
      <c r="K695" s="15" t="s">
        <v>8</v>
      </c>
      <c r="L695" s="15" t="s">
        <v>12</v>
      </c>
      <c r="W695" s="16" t="s">
        <v>61</v>
      </c>
      <c r="Y695" s="7">
        <v>43103</v>
      </c>
      <c r="Z695" s="16" t="s">
        <v>66</v>
      </c>
      <c r="AA695" s="7">
        <v>43130</v>
      </c>
    </row>
    <row r="696" spans="1:28" ht="15" customHeight="1">
      <c r="A696" s="290"/>
      <c r="C696" s="15">
        <v>45</v>
      </c>
      <c r="D696" s="16">
        <v>19835</v>
      </c>
      <c r="E696" s="16" t="s">
        <v>1977</v>
      </c>
      <c r="F696" s="3">
        <v>29302012614158</v>
      </c>
      <c r="G696" s="16" t="s">
        <v>34</v>
      </c>
      <c r="H696" s="16" t="s">
        <v>1988</v>
      </c>
      <c r="I696" s="15" t="s">
        <v>66</v>
      </c>
      <c r="J696" s="4">
        <v>43078</v>
      </c>
      <c r="K696" s="15" t="s">
        <v>8</v>
      </c>
      <c r="L696" s="15" t="s">
        <v>12</v>
      </c>
      <c r="W696" s="16" t="s">
        <v>62</v>
      </c>
      <c r="Y696" s="7">
        <v>43103</v>
      </c>
      <c r="Z696" s="16" t="s">
        <v>67</v>
      </c>
      <c r="AA696" s="7" t="s">
        <v>3111</v>
      </c>
    </row>
    <row r="697" spans="1:28" ht="15" customHeight="1">
      <c r="A697" s="290"/>
      <c r="C697" s="15">
        <v>45</v>
      </c>
      <c r="D697" s="2">
        <v>19836</v>
      </c>
      <c r="E697" s="2" t="s">
        <v>1978</v>
      </c>
      <c r="F697" s="3">
        <v>29506250101805</v>
      </c>
      <c r="G697" s="15" t="s">
        <v>34</v>
      </c>
      <c r="H697" s="2" t="s">
        <v>1989</v>
      </c>
      <c r="I697" s="15" t="s">
        <v>66</v>
      </c>
      <c r="J697" s="4">
        <v>43078</v>
      </c>
      <c r="K697" s="15" t="s">
        <v>8</v>
      </c>
      <c r="L697" s="15" t="s">
        <v>12</v>
      </c>
      <c r="W697" s="16" t="s">
        <v>61</v>
      </c>
      <c r="Y697" s="7">
        <v>43103</v>
      </c>
      <c r="Z697" s="16" t="s">
        <v>66</v>
      </c>
      <c r="AA697" s="7">
        <v>43111</v>
      </c>
    </row>
    <row r="698" spans="1:28" ht="15" customHeight="1">
      <c r="A698" s="290"/>
      <c r="C698" s="15">
        <v>45</v>
      </c>
      <c r="D698" s="2">
        <v>19837</v>
      </c>
      <c r="E698" s="2" t="s">
        <v>1979</v>
      </c>
      <c r="F698" s="3">
        <v>28303298800355</v>
      </c>
      <c r="G698" s="2" t="s">
        <v>34</v>
      </c>
      <c r="H698" s="2" t="s">
        <v>1990</v>
      </c>
      <c r="I698" s="15" t="s">
        <v>66</v>
      </c>
      <c r="J698" s="4">
        <v>43078</v>
      </c>
      <c r="K698" s="15" t="s">
        <v>8</v>
      </c>
      <c r="L698" s="15" t="s">
        <v>12</v>
      </c>
      <c r="W698" s="16" t="s">
        <v>61</v>
      </c>
      <c r="Y698" s="7">
        <v>43103</v>
      </c>
      <c r="Z698" s="16" t="s">
        <v>66</v>
      </c>
      <c r="AA698" s="7">
        <v>43111</v>
      </c>
    </row>
    <row r="699" spans="1:28" ht="15" customHeight="1">
      <c r="A699" s="290"/>
      <c r="C699" s="2">
        <v>45</v>
      </c>
      <c r="D699" s="2">
        <v>19838</v>
      </c>
      <c r="E699" s="2" t="s">
        <v>1980</v>
      </c>
      <c r="F699" s="3">
        <v>29507102103811</v>
      </c>
      <c r="G699" s="2" t="s">
        <v>34</v>
      </c>
      <c r="H699" s="2" t="s">
        <v>1991</v>
      </c>
      <c r="I699" s="15" t="s">
        <v>66</v>
      </c>
      <c r="J699" s="4">
        <v>43078</v>
      </c>
      <c r="K699" s="15" t="s">
        <v>8</v>
      </c>
      <c r="L699" s="15" t="s">
        <v>12</v>
      </c>
      <c r="M699" s="15"/>
      <c r="W699" s="16" t="s">
        <v>62</v>
      </c>
      <c r="Y699" s="7">
        <v>43103</v>
      </c>
      <c r="Z699" s="16" t="s">
        <v>67</v>
      </c>
      <c r="AA699" s="7" t="s">
        <v>3111</v>
      </c>
    </row>
    <row r="700" spans="1:28" ht="15.75" customHeight="1" thickBot="1">
      <c r="A700" s="291"/>
      <c r="C700" s="28">
        <v>45</v>
      </c>
      <c r="D700" s="28">
        <v>19839</v>
      </c>
      <c r="E700" s="28" t="s">
        <v>1981</v>
      </c>
      <c r="F700" s="29">
        <v>29309208801155</v>
      </c>
      <c r="G700" s="28" t="s">
        <v>34</v>
      </c>
      <c r="H700" s="28" t="s">
        <v>1992</v>
      </c>
      <c r="I700" s="28" t="s">
        <v>66</v>
      </c>
      <c r="J700" s="30">
        <v>43078</v>
      </c>
      <c r="K700" s="28" t="s">
        <v>8</v>
      </c>
      <c r="L700" s="28" t="s">
        <v>12</v>
      </c>
      <c r="M700" s="28"/>
      <c r="N700" s="28"/>
      <c r="O700" s="226"/>
      <c r="P700" s="28"/>
      <c r="Q700" s="226"/>
      <c r="R700" s="28"/>
      <c r="S700" s="28"/>
      <c r="T700" s="28"/>
      <c r="U700" s="28"/>
      <c r="V700" s="28"/>
      <c r="W700" s="28" t="s">
        <v>60</v>
      </c>
      <c r="X700" s="28"/>
      <c r="Y700" s="30">
        <v>43103</v>
      </c>
      <c r="Z700" s="28" t="s">
        <v>66</v>
      </c>
      <c r="AA700" s="30">
        <v>43109</v>
      </c>
      <c r="AB700" s="28"/>
    </row>
    <row r="701" spans="1:28" ht="15.75" customHeight="1" thickTop="1">
      <c r="A701" s="289" t="s">
        <v>3120</v>
      </c>
      <c r="C701" s="15">
        <v>46</v>
      </c>
      <c r="D701" s="2">
        <v>19840</v>
      </c>
      <c r="E701" s="2" t="s">
        <v>1943</v>
      </c>
      <c r="F701" s="3">
        <v>29106012105551</v>
      </c>
      <c r="G701" s="2" t="s">
        <v>34</v>
      </c>
      <c r="H701" s="2" t="s">
        <v>1959</v>
      </c>
      <c r="I701" s="15" t="s">
        <v>66</v>
      </c>
      <c r="J701" s="4">
        <v>43085</v>
      </c>
      <c r="K701" s="15" t="s">
        <v>8</v>
      </c>
      <c r="L701" s="15" t="s">
        <v>12</v>
      </c>
      <c r="W701" s="16" t="s">
        <v>60</v>
      </c>
      <c r="X701" s="2" t="s">
        <v>66</v>
      </c>
      <c r="Y701" s="7">
        <v>43111</v>
      </c>
      <c r="Z701" s="16" t="s">
        <v>66</v>
      </c>
      <c r="AA701" s="7">
        <v>43143</v>
      </c>
    </row>
    <row r="702" spans="1:28" ht="15" customHeight="1">
      <c r="A702" s="290"/>
      <c r="C702" s="15">
        <v>46</v>
      </c>
      <c r="D702" s="2">
        <v>19841</v>
      </c>
      <c r="E702" s="2" t="s">
        <v>1940</v>
      </c>
      <c r="F702" s="3">
        <v>28801110101412</v>
      </c>
      <c r="G702" s="2" t="s">
        <v>34</v>
      </c>
      <c r="H702" s="2" t="s">
        <v>1956</v>
      </c>
      <c r="I702" s="15" t="s">
        <v>66</v>
      </c>
      <c r="J702" s="4">
        <v>43085</v>
      </c>
      <c r="K702" s="15" t="s">
        <v>8</v>
      </c>
      <c r="L702" s="15" t="s">
        <v>12</v>
      </c>
      <c r="M702" s="15"/>
      <c r="W702" s="16" t="s">
        <v>60</v>
      </c>
      <c r="X702" s="2" t="s">
        <v>66</v>
      </c>
      <c r="Y702" s="7">
        <v>43111</v>
      </c>
      <c r="Z702" s="16" t="s">
        <v>66</v>
      </c>
      <c r="AA702" s="7">
        <v>43143</v>
      </c>
    </row>
    <row r="703" spans="1:28" ht="15" customHeight="1">
      <c r="A703" s="290"/>
      <c r="C703" s="15">
        <v>46</v>
      </c>
      <c r="D703" s="2">
        <v>19842</v>
      </c>
      <c r="E703" s="2" t="s">
        <v>1952</v>
      </c>
      <c r="F703" s="3">
        <v>29405090103635</v>
      </c>
      <c r="G703" s="2" t="s">
        <v>34</v>
      </c>
      <c r="H703" s="2" t="s">
        <v>1967</v>
      </c>
      <c r="I703" s="15" t="s">
        <v>66</v>
      </c>
      <c r="J703" s="4">
        <v>43085</v>
      </c>
      <c r="K703" s="15" t="s">
        <v>8</v>
      </c>
      <c r="L703" s="15" t="s">
        <v>12</v>
      </c>
      <c r="Y703" s="7">
        <v>43111</v>
      </c>
      <c r="Z703" s="16" t="s">
        <v>66</v>
      </c>
      <c r="AA703" s="7">
        <v>43142</v>
      </c>
    </row>
    <row r="704" spans="1:28" ht="15" customHeight="1">
      <c r="A704" s="290"/>
      <c r="C704" s="15">
        <v>46</v>
      </c>
      <c r="D704" s="2">
        <v>19843</v>
      </c>
      <c r="E704" s="2" t="s">
        <v>1948</v>
      </c>
      <c r="F704" s="3">
        <v>28612200105916</v>
      </c>
      <c r="G704" s="2" t="s">
        <v>34</v>
      </c>
      <c r="H704" s="2" t="s">
        <v>1963</v>
      </c>
      <c r="I704" s="15" t="s">
        <v>66</v>
      </c>
      <c r="J704" s="4">
        <v>43085</v>
      </c>
      <c r="K704" s="15" t="s">
        <v>8</v>
      </c>
      <c r="L704" s="15" t="s">
        <v>12</v>
      </c>
      <c r="M704" s="15"/>
      <c r="W704" s="16" t="s">
        <v>61</v>
      </c>
      <c r="Y704" s="7">
        <v>43111</v>
      </c>
      <c r="Z704" s="16" t="s">
        <v>66</v>
      </c>
      <c r="AA704" s="7">
        <v>43130</v>
      </c>
    </row>
    <row r="705" spans="1:28" ht="15" customHeight="1">
      <c r="A705" s="290"/>
      <c r="C705" s="16">
        <v>46</v>
      </c>
      <c r="D705" s="16">
        <v>19844</v>
      </c>
      <c r="E705" s="16" t="s">
        <v>1944</v>
      </c>
      <c r="F705" s="3">
        <v>28410050103551</v>
      </c>
      <c r="G705" s="16" t="s">
        <v>34</v>
      </c>
      <c r="H705" s="16" t="s">
        <v>1960</v>
      </c>
      <c r="I705" s="16" t="s">
        <v>66</v>
      </c>
      <c r="J705" s="45">
        <v>43085</v>
      </c>
      <c r="K705" s="16" t="s">
        <v>8</v>
      </c>
      <c r="L705" s="16" t="s">
        <v>12</v>
      </c>
      <c r="M705" s="16"/>
      <c r="N705" s="16"/>
      <c r="W705" s="16" t="s">
        <v>61</v>
      </c>
      <c r="X705" s="16"/>
      <c r="Y705" s="45">
        <v>43111</v>
      </c>
      <c r="Z705" s="16" t="s">
        <v>66</v>
      </c>
      <c r="AA705" s="45">
        <v>43130</v>
      </c>
      <c r="AB705" s="16"/>
    </row>
    <row r="706" spans="1:28" ht="15" customHeight="1">
      <c r="A706" s="290"/>
      <c r="C706" s="15">
        <v>46</v>
      </c>
      <c r="D706" s="2">
        <v>19845</v>
      </c>
      <c r="E706" s="2" t="s">
        <v>1949</v>
      </c>
      <c r="F706" s="3">
        <v>28902180100481</v>
      </c>
      <c r="G706" s="2" t="s">
        <v>34</v>
      </c>
      <c r="H706" s="2" t="s">
        <v>1964</v>
      </c>
      <c r="I706" s="15" t="s">
        <v>66</v>
      </c>
      <c r="J706" s="4">
        <v>43085</v>
      </c>
      <c r="K706" s="15" t="s">
        <v>8</v>
      </c>
      <c r="L706" s="15" t="s">
        <v>12</v>
      </c>
      <c r="W706" s="16" t="s">
        <v>64</v>
      </c>
      <c r="Y706" s="7">
        <v>43111</v>
      </c>
      <c r="Z706" s="16" t="s">
        <v>67</v>
      </c>
      <c r="AA706" s="7" t="s">
        <v>3111</v>
      </c>
    </row>
    <row r="707" spans="1:28" ht="15" customHeight="1">
      <c r="A707" s="290"/>
      <c r="C707" s="15">
        <v>46</v>
      </c>
      <c r="D707" s="2">
        <v>19846</v>
      </c>
      <c r="E707" s="2" t="s">
        <v>1942</v>
      </c>
      <c r="F707" s="3">
        <v>29401120101947</v>
      </c>
      <c r="G707" s="2" t="s">
        <v>34</v>
      </c>
      <c r="H707" s="2" t="s">
        <v>1958</v>
      </c>
      <c r="I707" s="15" t="s">
        <v>66</v>
      </c>
      <c r="J707" s="4">
        <v>43085</v>
      </c>
      <c r="K707" s="15" t="s">
        <v>8</v>
      </c>
      <c r="L707" s="15" t="s">
        <v>12</v>
      </c>
      <c r="W707" s="16" t="s">
        <v>60</v>
      </c>
      <c r="Y707" s="7">
        <v>43111</v>
      </c>
      <c r="Z707" s="16" t="s">
        <v>66</v>
      </c>
      <c r="AA707" s="7">
        <v>43131</v>
      </c>
    </row>
    <row r="708" spans="1:28" ht="15" customHeight="1">
      <c r="A708" s="290"/>
      <c r="C708" s="15">
        <v>46</v>
      </c>
      <c r="D708" s="2">
        <v>19847</v>
      </c>
      <c r="E708" s="2" t="s">
        <v>1951</v>
      </c>
      <c r="F708" s="3">
        <v>28808161900471</v>
      </c>
      <c r="G708" s="2" t="s">
        <v>34</v>
      </c>
      <c r="H708" s="2" t="s">
        <v>1966</v>
      </c>
      <c r="I708" s="15" t="s">
        <v>66</v>
      </c>
      <c r="J708" s="4">
        <v>43085</v>
      </c>
      <c r="K708" s="15" t="s">
        <v>8</v>
      </c>
      <c r="L708" s="15" t="s">
        <v>12</v>
      </c>
      <c r="W708" s="16" t="s">
        <v>60</v>
      </c>
      <c r="Y708" s="7">
        <v>43111</v>
      </c>
      <c r="Z708" s="16" t="s">
        <v>66</v>
      </c>
      <c r="AA708" s="7">
        <v>43123</v>
      </c>
    </row>
    <row r="709" spans="1:28" ht="15" customHeight="1">
      <c r="A709" s="290"/>
      <c r="C709" s="16">
        <v>46</v>
      </c>
      <c r="D709" s="16">
        <v>19848</v>
      </c>
      <c r="E709" s="16" t="s">
        <v>1954</v>
      </c>
      <c r="F709" s="3">
        <v>29108128800225</v>
      </c>
      <c r="G709" s="16" t="s">
        <v>34</v>
      </c>
      <c r="H709" s="16" t="s">
        <v>1969</v>
      </c>
      <c r="I709" s="16" t="s">
        <v>66</v>
      </c>
      <c r="J709" s="7">
        <v>43085</v>
      </c>
      <c r="K709" s="16" t="s">
        <v>8</v>
      </c>
      <c r="L709" s="16" t="s">
        <v>12</v>
      </c>
      <c r="M709" s="16"/>
      <c r="N709" s="16"/>
      <c r="W709" s="16" t="s">
        <v>60</v>
      </c>
      <c r="X709" s="16" t="s">
        <v>66</v>
      </c>
      <c r="Y709" s="7">
        <v>43111</v>
      </c>
      <c r="Z709" s="16" t="s">
        <v>66</v>
      </c>
      <c r="AA709" s="7">
        <v>43143</v>
      </c>
      <c r="AB709" s="16"/>
    </row>
    <row r="710" spans="1:28" ht="15" customHeight="1">
      <c r="A710" s="290"/>
      <c r="C710" s="15">
        <v>46</v>
      </c>
      <c r="D710" s="2">
        <v>19849</v>
      </c>
      <c r="E710" s="2" t="s">
        <v>1950</v>
      </c>
      <c r="F710" s="3">
        <v>29508221400499</v>
      </c>
      <c r="G710" s="2" t="s">
        <v>34</v>
      </c>
      <c r="H710" s="2" t="s">
        <v>1965</v>
      </c>
      <c r="I710" s="15" t="s">
        <v>66</v>
      </c>
      <c r="J710" s="4">
        <v>43085</v>
      </c>
      <c r="K710" s="15" t="s">
        <v>8</v>
      </c>
      <c r="L710" s="15" t="s">
        <v>12</v>
      </c>
      <c r="W710" s="16" t="s">
        <v>62</v>
      </c>
      <c r="Y710" s="7">
        <v>43111</v>
      </c>
      <c r="Z710" s="16" t="s">
        <v>66</v>
      </c>
      <c r="AA710" s="7">
        <v>43124</v>
      </c>
    </row>
    <row r="711" spans="1:28" ht="15" customHeight="1">
      <c r="A711" s="290"/>
      <c r="C711" s="2">
        <v>46</v>
      </c>
      <c r="D711" s="2">
        <v>19850</v>
      </c>
      <c r="E711" s="2" t="s">
        <v>1947</v>
      </c>
      <c r="F711" s="3">
        <v>29210181300179</v>
      </c>
      <c r="G711" s="2" t="s">
        <v>184</v>
      </c>
      <c r="H711" s="2" t="s">
        <v>1962</v>
      </c>
      <c r="I711" s="15" t="s">
        <v>66</v>
      </c>
      <c r="J711" s="4">
        <v>43085</v>
      </c>
      <c r="K711" s="15" t="s">
        <v>8</v>
      </c>
      <c r="L711" s="15" t="s">
        <v>12</v>
      </c>
      <c r="W711" s="16" t="s">
        <v>61</v>
      </c>
      <c r="Y711" s="7">
        <v>43111</v>
      </c>
      <c r="Z711" s="16" t="s">
        <v>66</v>
      </c>
      <c r="AA711" s="7">
        <v>43240</v>
      </c>
      <c r="AB711" s="2" t="s">
        <v>3178</v>
      </c>
    </row>
    <row r="712" spans="1:28" ht="15" customHeight="1">
      <c r="A712" s="290"/>
      <c r="C712" s="15">
        <v>46</v>
      </c>
      <c r="D712" s="2">
        <v>19851</v>
      </c>
      <c r="E712" s="2" t="s">
        <v>1939</v>
      </c>
      <c r="F712" s="3">
        <v>29307198800179</v>
      </c>
      <c r="G712" s="2" t="s">
        <v>34</v>
      </c>
      <c r="H712" s="2" t="s">
        <v>1955</v>
      </c>
      <c r="I712" s="15" t="s">
        <v>66</v>
      </c>
      <c r="J712" s="4">
        <v>43085</v>
      </c>
      <c r="K712" s="15" t="s">
        <v>8</v>
      </c>
      <c r="L712" s="15" t="s">
        <v>12</v>
      </c>
      <c r="W712" s="16" t="s">
        <v>61</v>
      </c>
      <c r="Y712" s="7">
        <v>43111</v>
      </c>
      <c r="Z712" s="16" t="s">
        <v>66</v>
      </c>
      <c r="AA712" s="7">
        <v>43122</v>
      </c>
    </row>
    <row r="713" spans="1:28" ht="15" customHeight="1">
      <c r="A713" s="290"/>
      <c r="C713" s="15">
        <v>46</v>
      </c>
      <c r="D713" s="2">
        <v>19853</v>
      </c>
      <c r="E713" s="2" t="s">
        <v>1941</v>
      </c>
      <c r="F713" s="3">
        <v>29510010300697</v>
      </c>
      <c r="G713" s="15" t="s">
        <v>34</v>
      </c>
      <c r="H713" s="2" t="s">
        <v>1957</v>
      </c>
      <c r="I713" s="15" t="s">
        <v>66</v>
      </c>
      <c r="J713" s="4">
        <v>43085</v>
      </c>
      <c r="K713" s="15" t="s">
        <v>8</v>
      </c>
      <c r="L713" s="15" t="s">
        <v>12</v>
      </c>
      <c r="W713" s="16" t="s">
        <v>62</v>
      </c>
      <c r="Y713" s="7">
        <v>43111</v>
      </c>
      <c r="Z713" s="16" t="s">
        <v>66</v>
      </c>
      <c r="AA713" s="7">
        <v>43124</v>
      </c>
    </row>
    <row r="714" spans="1:28" ht="15" customHeight="1">
      <c r="A714" s="290"/>
      <c r="C714" s="15">
        <v>46</v>
      </c>
      <c r="D714" s="2">
        <v>19854</v>
      </c>
      <c r="E714" s="2" t="s">
        <v>1945</v>
      </c>
      <c r="F714" s="3" t="s">
        <v>1946</v>
      </c>
      <c r="G714" s="2" t="s">
        <v>34</v>
      </c>
      <c r="H714" s="2" t="s">
        <v>1961</v>
      </c>
      <c r="I714" s="15" t="s">
        <v>66</v>
      </c>
      <c r="J714" s="4">
        <v>43085</v>
      </c>
      <c r="K714" s="15" t="s">
        <v>8</v>
      </c>
      <c r="L714" s="15" t="s">
        <v>12</v>
      </c>
      <c r="W714" s="16" t="s">
        <v>64</v>
      </c>
      <c r="Y714" s="7">
        <v>43111</v>
      </c>
      <c r="Z714" s="16" t="s">
        <v>67</v>
      </c>
      <c r="AA714" s="7" t="s">
        <v>3111</v>
      </c>
    </row>
    <row r="715" spans="1:28" ht="15.75" customHeight="1" thickBot="1">
      <c r="A715" s="291"/>
      <c r="C715" s="28">
        <v>46</v>
      </c>
      <c r="D715" s="28">
        <v>19855</v>
      </c>
      <c r="E715" s="28" t="s">
        <v>1953</v>
      </c>
      <c r="F715" s="29">
        <v>29411288800366</v>
      </c>
      <c r="G715" s="28" t="s">
        <v>34</v>
      </c>
      <c r="H715" s="28" t="s">
        <v>1968</v>
      </c>
      <c r="I715" s="28" t="s">
        <v>66</v>
      </c>
      <c r="J715" s="30">
        <v>43085</v>
      </c>
      <c r="K715" s="28" t="s">
        <v>8</v>
      </c>
      <c r="L715" s="28" t="s">
        <v>12</v>
      </c>
      <c r="M715" s="28"/>
      <c r="N715" s="28"/>
      <c r="O715" s="226"/>
      <c r="P715" s="28"/>
      <c r="Q715" s="226"/>
      <c r="R715" s="28"/>
      <c r="S715" s="28"/>
      <c r="T715" s="28"/>
      <c r="U715" s="28"/>
      <c r="V715" s="28"/>
      <c r="W715" s="28" t="s">
        <v>60</v>
      </c>
      <c r="X715" s="28"/>
      <c r="Y715" s="30">
        <v>43111</v>
      </c>
      <c r="Z715" s="28" t="s">
        <v>66</v>
      </c>
      <c r="AA715" s="30">
        <v>43131</v>
      </c>
      <c r="AB715" s="28"/>
    </row>
    <row r="716" spans="1:28" ht="15.75" customHeight="1" thickTop="1">
      <c r="A716" s="289" t="s">
        <v>3124</v>
      </c>
      <c r="C716" s="16">
        <v>47</v>
      </c>
      <c r="D716" s="16">
        <v>19857</v>
      </c>
      <c r="E716" s="16" t="s">
        <v>1916</v>
      </c>
      <c r="F716" s="3">
        <v>29105080100031</v>
      </c>
      <c r="G716" s="16" t="s">
        <v>34</v>
      </c>
      <c r="H716" s="16" t="s">
        <v>1928</v>
      </c>
      <c r="I716" s="16" t="s">
        <v>66</v>
      </c>
      <c r="J716" s="45">
        <v>43092</v>
      </c>
      <c r="K716" s="16" t="s">
        <v>8</v>
      </c>
      <c r="L716" s="16" t="s">
        <v>12</v>
      </c>
      <c r="M716" s="16"/>
      <c r="N716" s="16"/>
      <c r="W716" s="16" t="s">
        <v>62</v>
      </c>
      <c r="X716" s="16" t="s">
        <v>66</v>
      </c>
      <c r="Y716" s="45">
        <v>43118</v>
      </c>
      <c r="Z716" s="16" t="s">
        <v>67</v>
      </c>
      <c r="AA716" s="45" t="s">
        <v>3111</v>
      </c>
      <c r="AB716" s="16"/>
    </row>
    <row r="717" spans="1:28" ht="15" customHeight="1">
      <c r="A717" s="290"/>
      <c r="C717" s="15">
        <v>47</v>
      </c>
      <c r="D717" s="2">
        <v>19858</v>
      </c>
      <c r="E717" s="2" t="s">
        <v>1917</v>
      </c>
      <c r="F717" s="3" t="s">
        <v>1918</v>
      </c>
      <c r="G717" s="2" t="s">
        <v>184</v>
      </c>
      <c r="H717" s="2" t="s">
        <v>1929</v>
      </c>
      <c r="I717" s="15" t="s">
        <v>66</v>
      </c>
      <c r="J717" s="4">
        <v>43092</v>
      </c>
      <c r="K717" s="15" t="s">
        <v>8</v>
      </c>
      <c r="L717" s="15" t="s">
        <v>12</v>
      </c>
      <c r="W717" s="16" t="s">
        <v>61</v>
      </c>
      <c r="Y717" s="7">
        <v>43118</v>
      </c>
      <c r="Z717" s="16" t="s">
        <v>67</v>
      </c>
      <c r="AA717" s="7" t="s">
        <v>3111</v>
      </c>
    </row>
    <row r="718" spans="1:28" ht="15" customHeight="1">
      <c r="A718" s="290"/>
      <c r="C718" s="15">
        <v>47</v>
      </c>
      <c r="D718" s="2">
        <v>19859</v>
      </c>
      <c r="E718" s="2" t="s">
        <v>1919</v>
      </c>
      <c r="F718" s="3">
        <v>29201120102138</v>
      </c>
      <c r="G718" s="2" t="s">
        <v>34</v>
      </c>
      <c r="H718" s="2" t="s">
        <v>1930</v>
      </c>
      <c r="I718" s="15" t="s">
        <v>66</v>
      </c>
      <c r="J718" s="4">
        <v>43092</v>
      </c>
      <c r="K718" s="15" t="s">
        <v>8</v>
      </c>
      <c r="L718" s="15" t="s">
        <v>12</v>
      </c>
      <c r="W718" s="16" t="s">
        <v>61</v>
      </c>
      <c r="Y718" s="7">
        <v>43118</v>
      </c>
      <c r="Z718" s="16" t="s">
        <v>66</v>
      </c>
      <c r="AA718" s="7">
        <v>43111</v>
      </c>
    </row>
    <row r="719" spans="1:28" ht="15" customHeight="1">
      <c r="A719" s="290"/>
      <c r="C719" s="15">
        <v>47</v>
      </c>
      <c r="D719" s="2">
        <v>19860</v>
      </c>
      <c r="E719" s="2" t="s">
        <v>1920</v>
      </c>
      <c r="F719" s="3">
        <v>29008172100091</v>
      </c>
      <c r="G719" s="2" t="s">
        <v>34</v>
      </c>
      <c r="H719" s="2" t="s">
        <v>1931</v>
      </c>
      <c r="I719" s="15" t="s">
        <v>66</v>
      </c>
      <c r="J719" s="4">
        <v>43092</v>
      </c>
      <c r="K719" s="15" t="s">
        <v>8</v>
      </c>
      <c r="L719" s="15" t="s">
        <v>12</v>
      </c>
      <c r="W719" s="16" t="s">
        <v>60</v>
      </c>
      <c r="Y719" s="7">
        <v>43118</v>
      </c>
      <c r="Z719" s="16" t="s">
        <v>66</v>
      </c>
      <c r="AA719" s="7">
        <v>43131</v>
      </c>
    </row>
    <row r="720" spans="1:28" ht="15" customHeight="1">
      <c r="A720" s="290"/>
      <c r="C720" s="2">
        <v>47</v>
      </c>
      <c r="D720" s="2">
        <v>19861</v>
      </c>
      <c r="E720" s="2" t="s">
        <v>1921</v>
      </c>
      <c r="F720" s="3">
        <v>29508150106462</v>
      </c>
      <c r="G720" s="2" t="s">
        <v>34</v>
      </c>
      <c r="H720" s="2" t="s">
        <v>1932</v>
      </c>
      <c r="I720" s="2" t="s">
        <v>66</v>
      </c>
      <c r="J720" s="4">
        <v>43092</v>
      </c>
      <c r="K720" s="15" t="s">
        <v>8</v>
      </c>
      <c r="L720" s="15" t="s">
        <v>12</v>
      </c>
      <c r="W720" s="16" t="s">
        <v>60</v>
      </c>
      <c r="Y720" s="7">
        <v>43118</v>
      </c>
      <c r="Z720" s="16" t="s">
        <v>66</v>
      </c>
      <c r="AA720" s="7">
        <v>43131</v>
      </c>
    </row>
    <row r="721" spans="1:28" ht="15" customHeight="1">
      <c r="A721" s="290"/>
      <c r="C721" s="15">
        <v>47</v>
      </c>
      <c r="D721" s="2">
        <v>19862</v>
      </c>
      <c r="E721" s="2" t="s">
        <v>1922</v>
      </c>
      <c r="F721" s="3">
        <v>28612101806252</v>
      </c>
      <c r="G721" s="2" t="s">
        <v>34</v>
      </c>
      <c r="H721" s="2" t="s">
        <v>1933</v>
      </c>
      <c r="I721" s="2" t="s">
        <v>66</v>
      </c>
      <c r="J721" s="4">
        <v>43092</v>
      </c>
      <c r="K721" s="15" t="s">
        <v>8</v>
      </c>
      <c r="L721" s="15" t="s">
        <v>12</v>
      </c>
      <c r="W721" s="16" t="s">
        <v>61</v>
      </c>
      <c r="Y721" s="7">
        <v>43118</v>
      </c>
      <c r="Z721" s="16" t="s">
        <v>66</v>
      </c>
      <c r="AA721" s="7">
        <v>43109</v>
      </c>
    </row>
    <row r="722" spans="1:28" ht="15" customHeight="1">
      <c r="A722" s="290"/>
      <c r="C722" s="16">
        <v>47</v>
      </c>
      <c r="D722" s="16">
        <v>19863</v>
      </c>
      <c r="E722" s="16" t="s">
        <v>1923</v>
      </c>
      <c r="F722" s="3">
        <v>29305152105198</v>
      </c>
      <c r="G722" s="16" t="s">
        <v>34</v>
      </c>
      <c r="H722" s="16" t="s">
        <v>1934</v>
      </c>
      <c r="I722" s="16" t="s">
        <v>66</v>
      </c>
      <c r="J722" s="45">
        <v>43092</v>
      </c>
      <c r="K722" s="16" t="s">
        <v>8</v>
      </c>
      <c r="L722" s="16" t="s">
        <v>12</v>
      </c>
      <c r="M722" s="16"/>
      <c r="N722" s="16"/>
      <c r="X722" s="16"/>
      <c r="Y722" s="45">
        <v>43118</v>
      </c>
      <c r="Z722" s="16" t="s">
        <v>67</v>
      </c>
      <c r="AA722" s="45" t="s">
        <v>3111</v>
      </c>
      <c r="AB722" s="16"/>
    </row>
    <row r="723" spans="1:28" ht="15" customHeight="1">
      <c r="A723" s="290"/>
      <c r="C723" s="15">
        <v>47</v>
      </c>
      <c r="D723" s="2">
        <v>19864</v>
      </c>
      <c r="E723" s="2" t="s">
        <v>1924</v>
      </c>
      <c r="F723" s="3">
        <v>29310178800033</v>
      </c>
      <c r="G723" s="2" t="s">
        <v>34</v>
      </c>
      <c r="H723" s="2" t="s">
        <v>1935</v>
      </c>
      <c r="I723" s="2" t="s">
        <v>66</v>
      </c>
      <c r="J723" s="4">
        <v>43092</v>
      </c>
      <c r="K723" s="15" t="s">
        <v>8</v>
      </c>
      <c r="L723" s="15" t="s">
        <v>12</v>
      </c>
      <c r="W723" s="16" t="s">
        <v>61</v>
      </c>
      <c r="X723" s="2" t="s">
        <v>66</v>
      </c>
      <c r="Y723" s="7">
        <v>43118</v>
      </c>
      <c r="Z723" s="16" t="s">
        <v>66</v>
      </c>
      <c r="AA723" s="7">
        <v>42863</v>
      </c>
    </row>
    <row r="724" spans="1:28" ht="15" customHeight="1">
      <c r="A724" s="290"/>
      <c r="C724" s="15">
        <v>47</v>
      </c>
      <c r="D724" s="2">
        <v>19865</v>
      </c>
      <c r="E724" s="2" t="s">
        <v>1925</v>
      </c>
      <c r="F724" s="3">
        <v>29310063300053</v>
      </c>
      <c r="G724" s="2" t="s">
        <v>34</v>
      </c>
      <c r="H724" s="2" t="s">
        <v>1936</v>
      </c>
      <c r="I724" s="2" t="s">
        <v>66</v>
      </c>
      <c r="J724" s="4">
        <v>43092</v>
      </c>
      <c r="K724" s="15" t="s">
        <v>8</v>
      </c>
      <c r="L724" s="15" t="s">
        <v>12</v>
      </c>
      <c r="W724" s="16" t="s">
        <v>60</v>
      </c>
      <c r="Y724" s="7">
        <v>43118</v>
      </c>
      <c r="Z724" s="16" t="s">
        <v>66</v>
      </c>
      <c r="AA724" s="7">
        <v>43109</v>
      </c>
    </row>
    <row r="725" spans="1:28" ht="15" customHeight="1">
      <c r="A725" s="290"/>
      <c r="C725" s="15">
        <v>47</v>
      </c>
      <c r="D725" s="2">
        <v>19866</v>
      </c>
      <c r="E725" s="2" t="s">
        <v>1926</v>
      </c>
      <c r="F725" s="3">
        <v>28807050102234</v>
      </c>
      <c r="G725" s="2" t="s">
        <v>34</v>
      </c>
      <c r="H725" s="2" t="s">
        <v>1937</v>
      </c>
      <c r="I725" s="2" t="s">
        <v>66</v>
      </c>
      <c r="J725" s="4">
        <v>43092</v>
      </c>
      <c r="K725" s="15" t="s">
        <v>8</v>
      </c>
      <c r="L725" s="15" t="s">
        <v>12</v>
      </c>
      <c r="W725" s="16" t="s">
        <v>62</v>
      </c>
      <c r="Y725" s="7">
        <v>43118</v>
      </c>
      <c r="Z725" s="16" t="s">
        <v>66</v>
      </c>
      <c r="AA725" s="7">
        <v>43123</v>
      </c>
    </row>
    <row r="726" spans="1:28" ht="15.75" customHeight="1" thickBot="1">
      <c r="A726" s="291"/>
      <c r="C726" s="28">
        <v>47</v>
      </c>
      <c r="D726" s="28">
        <v>16348</v>
      </c>
      <c r="E726" s="28" t="s">
        <v>1927</v>
      </c>
      <c r="F726" s="29">
        <v>28506100100611</v>
      </c>
      <c r="G726" s="28" t="s">
        <v>34</v>
      </c>
      <c r="H726" s="28" t="s">
        <v>1938</v>
      </c>
      <c r="I726" s="28" t="s">
        <v>67</v>
      </c>
      <c r="J726" s="30">
        <v>43092</v>
      </c>
      <c r="K726" s="28" t="s">
        <v>8</v>
      </c>
      <c r="L726" s="28" t="s">
        <v>12</v>
      </c>
      <c r="M726" s="28"/>
      <c r="N726" s="28"/>
      <c r="O726" s="226"/>
      <c r="P726" s="28"/>
      <c r="Q726" s="226"/>
      <c r="R726" s="28"/>
      <c r="S726" s="28"/>
      <c r="T726" s="28"/>
      <c r="U726" s="28"/>
      <c r="V726" s="28"/>
      <c r="W726" s="28" t="s">
        <v>62</v>
      </c>
      <c r="X726" s="28"/>
      <c r="Y726" s="30">
        <v>43118</v>
      </c>
      <c r="Z726" s="28" t="s">
        <v>66</v>
      </c>
      <c r="AA726" s="30">
        <v>43111</v>
      </c>
      <c r="AB726" s="28"/>
    </row>
    <row r="727" spans="1:28" ht="15.75" customHeight="1" thickTop="1">
      <c r="A727" s="289" t="s">
        <v>3122</v>
      </c>
      <c r="C727" s="15">
        <v>48</v>
      </c>
      <c r="D727" s="2">
        <v>19867</v>
      </c>
      <c r="E727" s="2" t="s">
        <v>1883</v>
      </c>
      <c r="F727" s="3" t="s">
        <v>1884</v>
      </c>
      <c r="G727" s="2" t="s">
        <v>34</v>
      </c>
      <c r="H727" s="2" t="s">
        <v>1900</v>
      </c>
      <c r="I727" s="2" t="s">
        <v>66</v>
      </c>
      <c r="J727" s="4">
        <v>43100</v>
      </c>
      <c r="K727" s="15" t="s">
        <v>8</v>
      </c>
      <c r="L727" s="15" t="s">
        <v>12</v>
      </c>
      <c r="W727" s="16" t="s">
        <v>62</v>
      </c>
      <c r="Y727" s="7">
        <v>43124</v>
      </c>
      <c r="Z727" s="16" t="s">
        <v>67</v>
      </c>
      <c r="AA727" s="7" t="s">
        <v>3111</v>
      </c>
    </row>
    <row r="728" spans="1:28" ht="15" customHeight="1">
      <c r="A728" s="290"/>
      <c r="C728" s="15">
        <v>48</v>
      </c>
      <c r="D728" s="2">
        <v>19868</v>
      </c>
      <c r="E728" s="2" t="s">
        <v>1885</v>
      </c>
      <c r="F728" s="3">
        <v>29306031200751</v>
      </c>
      <c r="G728" s="2" t="s">
        <v>34</v>
      </c>
      <c r="H728" s="2" t="s">
        <v>1901</v>
      </c>
      <c r="I728" s="2" t="s">
        <v>66</v>
      </c>
      <c r="J728" s="4">
        <v>43100</v>
      </c>
      <c r="K728" s="15" t="s">
        <v>8</v>
      </c>
      <c r="L728" s="15" t="s">
        <v>12</v>
      </c>
      <c r="W728" s="16" t="s">
        <v>61</v>
      </c>
      <c r="Y728" s="7">
        <v>43124</v>
      </c>
      <c r="Z728" s="16" t="s">
        <v>66</v>
      </c>
      <c r="AA728" s="7">
        <v>43124</v>
      </c>
    </row>
    <row r="729" spans="1:28" ht="15" customHeight="1">
      <c r="A729" s="290"/>
      <c r="C729" s="15">
        <v>48</v>
      </c>
      <c r="D729" s="2">
        <v>19869</v>
      </c>
      <c r="E729" s="2" t="s">
        <v>1886</v>
      </c>
      <c r="F729" s="3">
        <v>29510032100691</v>
      </c>
      <c r="G729" s="15" t="s">
        <v>34</v>
      </c>
      <c r="H729" s="2" t="s">
        <v>1902</v>
      </c>
      <c r="I729" s="2" t="s">
        <v>66</v>
      </c>
      <c r="J729" s="4">
        <v>43100</v>
      </c>
      <c r="K729" s="15" t="s">
        <v>8</v>
      </c>
      <c r="L729" s="15" t="s">
        <v>12</v>
      </c>
      <c r="W729" s="16" t="s">
        <v>59</v>
      </c>
      <c r="X729" s="2" t="s">
        <v>66</v>
      </c>
      <c r="Y729" s="7">
        <v>43124</v>
      </c>
      <c r="Z729" s="16" t="s">
        <v>67</v>
      </c>
      <c r="AA729" s="7" t="s">
        <v>3111</v>
      </c>
    </row>
    <row r="730" spans="1:28" ht="15" customHeight="1">
      <c r="A730" s="290"/>
      <c r="C730" s="16">
        <v>48</v>
      </c>
      <c r="D730" s="16">
        <v>19870</v>
      </c>
      <c r="E730" s="16" t="s">
        <v>1887</v>
      </c>
      <c r="F730" s="3">
        <v>29407012108381</v>
      </c>
      <c r="G730" s="16" t="s">
        <v>34</v>
      </c>
      <c r="H730" s="16" t="s">
        <v>1903</v>
      </c>
      <c r="I730" s="16" t="s">
        <v>66</v>
      </c>
      <c r="J730" s="45">
        <v>43100</v>
      </c>
      <c r="K730" s="16" t="s">
        <v>8</v>
      </c>
      <c r="L730" s="16" t="s">
        <v>12</v>
      </c>
      <c r="M730" s="16"/>
      <c r="N730" s="16"/>
      <c r="W730" s="16" t="s">
        <v>61</v>
      </c>
      <c r="X730" s="16"/>
      <c r="Y730" s="45">
        <v>43124</v>
      </c>
      <c r="Z730" s="16" t="s">
        <v>66</v>
      </c>
      <c r="AA730" s="45">
        <v>43130</v>
      </c>
      <c r="AB730" s="16"/>
    </row>
    <row r="731" spans="1:28" ht="15" customHeight="1">
      <c r="A731" s="290"/>
      <c r="C731" s="15">
        <v>48</v>
      </c>
      <c r="D731" s="2">
        <v>19871</v>
      </c>
      <c r="E731" s="2" t="s">
        <v>1888</v>
      </c>
      <c r="F731" s="3">
        <v>28010280100804</v>
      </c>
      <c r="G731" s="2" t="s">
        <v>34</v>
      </c>
      <c r="H731" s="2" t="s">
        <v>1904</v>
      </c>
      <c r="I731" s="2" t="s">
        <v>66</v>
      </c>
      <c r="J731" s="4">
        <v>43100</v>
      </c>
      <c r="K731" s="15" t="s">
        <v>8</v>
      </c>
      <c r="L731" s="15" t="s">
        <v>12</v>
      </c>
      <c r="W731" s="16" t="s">
        <v>60</v>
      </c>
      <c r="Y731" s="7">
        <v>43124</v>
      </c>
      <c r="Z731" s="16" t="s">
        <v>66</v>
      </c>
      <c r="AA731" s="7">
        <v>43131</v>
      </c>
      <c r="AB731" s="2" t="s">
        <v>3177</v>
      </c>
    </row>
    <row r="732" spans="1:28" ht="15" customHeight="1">
      <c r="A732" s="290"/>
      <c r="C732" s="2">
        <v>48</v>
      </c>
      <c r="D732" s="2">
        <v>19872</v>
      </c>
      <c r="E732" s="2" t="s">
        <v>1889</v>
      </c>
      <c r="F732" s="3">
        <v>29211231600094</v>
      </c>
      <c r="G732" s="2" t="s">
        <v>34</v>
      </c>
      <c r="H732" s="2" t="s">
        <v>1905</v>
      </c>
      <c r="I732" s="15" t="s">
        <v>66</v>
      </c>
      <c r="J732" s="4">
        <v>43100</v>
      </c>
      <c r="K732" s="15" t="s">
        <v>8</v>
      </c>
      <c r="L732" s="15" t="s">
        <v>12</v>
      </c>
      <c r="W732" s="16" t="s">
        <v>62</v>
      </c>
      <c r="X732" s="2" t="s">
        <v>66</v>
      </c>
      <c r="Y732" s="7">
        <v>43124</v>
      </c>
      <c r="Z732" s="16" t="s">
        <v>67</v>
      </c>
      <c r="AA732" s="7" t="s">
        <v>3111</v>
      </c>
    </row>
    <row r="733" spans="1:28" ht="15" customHeight="1">
      <c r="A733" s="290"/>
      <c r="C733" s="16">
        <v>48</v>
      </c>
      <c r="D733" s="16">
        <v>19873</v>
      </c>
      <c r="E733" s="16" t="s">
        <v>1890</v>
      </c>
      <c r="F733" s="3">
        <v>29301012130294</v>
      </c>
      <c r="G733" s="16" t="s">
        <v>34</v>
      </c>
      <c r="H733" s="16" t="s">
        <v>1906</v>
      </c>
      <c r="I733" s="16" t="s">
        <v>66</v>
      </c>
      <c r="J733" s="45">
        <v>43100</v>
      </c>
      <c r="K733" s="16" t="s">
        <v>8</v>
      </c>
      <c r="L733" s="16" t="s">
        <v>12</v>
      </c>
      <c r="M733" s="16"/>
      <c r="N733" s="16"/>
      <c r="W733" s="16" t="s">
        <v>60</v>
      </c>
      <c r="X733" s="16"/>
      <c r="Y733" s="45">
        <v>43124</v>
      </c>
      <c r="Z733" s="16" t="s">
        <v>66</v>
      </c>
      <c r="AA733" s="45">
        <v>43124</v>
      </c>
      <c r="AB733" s="16"/>
    </row>
    <row r="734" spans="1:28" ht="15" customHeight="1">
      <c r="A734" s="290"/>
      <c r="C734" s="15">
        <v>48</v>
      </c>
      <c r="D734" s="2">
        <v>19874</v>
      </c>
      <c r="E734" s="2" t="s">
        <v>1891</v>
      </c>
      <c r="F734" s="3">
        <v>29306272102903</v>
      </c>
      <c r="G734" s="2" t="s">
        <v>34</v>
      </c>
      <c r="H734" s="2" t="s">
        <v>1907</v>
      </c>
      <c r="I734" s="15" t="s">
        <v>66</v>
      </c>
      <c r="J734" s="4">
        <v>43100</v>
      </c>
      <c r="K734" s="15" t="s">
        <v>8</v>
      </c>
      <c r="L734" s="15" t="s">
        <v>12</v>
      </c>
      <c r="W734" s="16" t="s">
        <v>60</v>
      </c>
      <c r="X734" s="2" t="s">
        <v>66</v>
      </c>
      <c r="Y734" s="7">
        <v>43124</v>
      </c>
      <c r="Z734" s="16" t="s">
        <v>66</v>
      </c>
      <c r="AA734" s="7">
        <v>43150</v>
      </c>
    </row>
    <row r="735" spans="1:28" ht="15" customHeight="1">
      <c r="A735" s="290"/>
      <c r="C735" s="15">
        <v>48</v>
      </c>
      <c r="D735" s="2">
        <v>19875</v>
      </c>
      <c r="E735" s="2" t="s">
        <v>1892</v>
      </c>
      <c r="F735" s="3">
        <v>29406040102049</v>
      </c>
      <c r="G735" s="2" t="s">
        <v>34</v>
      </c>
      <c r="H735" s="2" t="s">
        <v>1908</v>
      </c>
      <c r="I735" s="15" t="s">
        <v>66</v>
      </c>
      <c r="J735" s="4">
        <v>43100</v>
      </c>
      <c r="K735" s="15" t="s">
        <v>8</v>
      </c>
      <c r="L735" s="15" t="s">
        <v>12</v>
      </c>
      <c r="W735" s="16" t="s">
        <v>63</v>
      </c>
      <c r="Y735" s="7">
        <v>43124</v>
      </c>
      <c r="Z735" s="16" t="s">
        <v>67</v>
      </c>
      <c r="AA735" s="7" t="s">
        <v>3111</v>
      </c>
    </row>
    <row r="736" spans="1:28" ht="15" customHeight="1">
      <c r="A736" s="290"/>
      <c r="C736" s="15">
        <v>48</v>
      </c>
      <c r="D736" s="2">
        <v>19876</v>
      </c>
      <c r="E736" s="2" t="s">
        <v>1893</v>
      </c>
      <c r="F736" s="3">
        <v>29303130101277</v>
      </c>
      <c r="G736" s="2" t="s">
        <v>34</v>
      </c>
      <c r="H736" s="2" t="s">
        <v>1909</v>
      </c>
      <c r="I736" s="15" t="s">
        <v>66</v>
      </c>
      <c r="J736" s="4">
        <v>43100</v>
      </c>
      <c r="K736" s="15" t="s">
        <v>8</v>
      </c>
      <c r="L736" s="15" t="s">
        <v>12</v>
      </c>
      <c r="W736" s="16" t="s">
        <v>61</v>
      </c>
      <c r="X736" s="2" t="s">
        <v>66</v>
      </c>
      <c r="Y736" s="7">
        <v>43124</v>
      </c>
      <c r="Z736" s="16" t="s">
        <v>66</v>
      </c>
      <c r="AA736" s="7">
        <v>43156</v>
      </c>
    </row>
    <row r="737" spans="1:28" ht="15" customHeight="1">
      <c r="A737" s="290"/>
      <c r="C737" s="15">
        <v>48</v>
      </c>
      <c r="D737" s="2">
        <v>19877</v>
      </c>
      <c r="E737" s="2" t="s">
        <v>1894</v>
      </c>
      <c r="F737" s="3">
        <v>29412168800415</v>
      </c>
      <c r="G737" s="16" t="s">
        <v>3636</v>
      </c>
      <c r="H737" s="2" t="s">
        <v>1910</v>
      </c>
      <c r="I737" s="15" t="s">
        <v>66</v>
      </c>
      <c r="J737" s="4">
        <v>43100</v>
      </c>
      <c r="K737" s="15" t="s">
        <v>8</v>
      </c>
      <c r="L737" s="15" t="s">
        <v>12</v>
      </c>
      <c r="W737" s="16" t="s">
        <v>61</v>
      </c>
      <c r="X737" s="2" t="s">
        <v>66</v>
      </c>
      <c r="Y737" s="7">
        <v>43124</v>
      </c>
      <c r="Z737" s="16" t="s">
        <v>67</v>
      </c>
      <c r="AA737" s="7" t="s">
        <v>3111</v>
      </c>
    </row>
    <row r="738" spans="1:28" ht="15" customHeight="1">
      <c r="A738" s="290"/>
      <c r="C738" s="15">
        <v>48</v>
      </c>
      <c r="D738" s="2">
        <v>19878</v>
      </c>
      <c r="E738" s="2" t="s">
        <v>1895</v>
      </c>
      <c r="F738" s="3">
        <v>29407101205063</v>
      </c>
      <c r="G738" s="2" t="s">
        <v>34</v>
      </c>
      <c r="H738" s="2" t="s">
        <v>1911</v>
      </c>
      <c r="I738" s="15" t="s">
        <v>66</v>
      </c>
      <c r="J738" s="4">
        <v>43100</v>
      </c>
      <c r="K738" s="15" t="s">
        <v>8</v>
      </c>
      <c r="L738" s="15" t="s">
        <v>12</v>
      </c>
      <c r="W738" s="16" t="s">
        <v>60</v>
      </c>
      <c r="Y738" s="7">
        <v>43124</v>
      </c>
      <c r="Z738" s="16" t="s">
        <v>66</v>
      </c>
      <c r="AA738" s="7">
        <v>43131</v>
      </c>
    </row>
    <row r="739" spans="1:28" ht="15" customHeight="1">
      <c r="A739" s="290"/>
      <c r="C739" s="15">
        <v>48</v>
      </c>
      <c r="D739" s="2">
        <v>19879</v>
      </c>
      <c r="E739" s="2" t="s">
        <v>1896</v>
      </c>
      <c r="F739" s="3">
        <v>28009052103706</v>
      </c>
      <c r="G739" s="15" t="s">
        <v>34</v>
      </c>
      <c r="H739" s="2" t="s">
        <v>1912</v>
      </c>
      <c r="I739" s="15" t="s">
        <v>66</v>
      </c>
      <c r="J739" s="4">
        <v>43100</v>
      </c>
      <c r="K739" s="15" t="s">
        <v>8</v>
      </c>
      <c r="L739" s="15" t="s">
        <v>12</v>
      </c>
      <c r="W739" s="16" t="s">
        <v>61</v>
      </c>
      <c r="X739" s="2" t="s">
        <v>66</v>
      </c>
      <c r="Y739" s="7">
        <v>43124</v>
      </c>
      <c r="Z739" s="16" t="s">
        <v>66</v>
      </c>
      <c r="AA739" s="7">
        <v>43144</v>
      </c>
    </row>
    <row r="740" spans="1:28" ht="15" customHeight="1">
      <c r="A740" s="290"/>
      <c r="C740" s="15">
        <v>48</v>
      </c>
      <c r="D740" s="2">
        <v>19880</v>
      </c>
      <c r="E740" s="2" t="s">
        <v>1897</v>
      </c>
      <c r="F740" s="3">
        <v>29307152105239</v>
      </c>
      <c r="G740" s="2" t="s">
        <v>34</v>
      </c>
      <c r="H740" s="2" t="s">
        <v>1913</v>
      </c>
      <c r="I740" s="15" t="s">
        <v>66</v>
      </c>
      <c r="J740" s="4">
        <v>43100</v>
      </c>
      <c r="K740" s="15" t="s">
        <v>8</v>
      </c>
      <c r="L740" s="15" t="s">
        <v>12</v>
      </c>
      <c r="W740" s="16" t="s">
        <v>61</v>
      </c>
      <c r="Y740" s="7">
        <v>43124</v>
      </c>
      <c r="Z740" s="16" t="s">
        <v>66</v>
      </c>
      <c r="AA740" s="7">
        <v>43130</v>
      </c>
    </row>
    <row r="741" spans="1:28" ht="15" customHeight="1">
      <c r="A741" s="290"/>
      <c r="C741" s="15">
        <v>48</v>
      </c>
      <c r="D741" s="2">
        <v>19881</v>
      </c>
      <c r="E741" s="2" t="s">
        <v>1898</v>
      </c>
      <c r="F741" s="3">
        <v>29402182100072</v>
      </c>
      <c r="G741" s="16" t="s">
        <v>3636</v>
      </c>
      <c r="H741" s="2" t="s">
        <v>1914</v>
      </c>
      <c r="I741" s="15" t="s">
        <v>66</v>
      </c>
      <c r="J741" s="4">
        <v>43100</v>
      </c>
      <c r="K741" s="15" t="s">
        <v>8</v>
      </c>
      <c r="L741" s="15" t="s">
        <v>12</v>
      </c>
      <c r="W741" s="16" t="s">
        <v>60</v>
      </c>
      <c r="Y741" s="7">
        <v>43124</v>
      </c>
      <c r="Z741" s="16" t="s">
        <v>66</v>
      </c>
      <c r="AA741" s="7">
        <v>43124</v>
      </c>
    </row>
    <row r="742" spans="1:28" ht="15.75" customHeight="1" thickBot="1">
      <c r="A742" s="291"/>
      <c r="C742" s="28">
        <v>48</v>
      </c>
      <c r="D742" s="28">
        <v>19882</v>
      </c>
      <c r="E742" s="28" t="s">
        <v>1899</v>
      </c>
      <c r="F742" s="29">
        <v>28111100101191</v>
      </c>
      <c r="G742" s="28" t="s">
        <v>34</v>
      </c>
      <c r="H742" s="28" t="s">
        <v>1915</v>
      </c>
      <c r="I742" s="28" t="s">
        <v>66</v>
      </c>
      <c r="J742" s="30">
        <v>43100</v>
      </c>
      <c r="K742" s="28" t="s">
        <v>8</v>
      </c>
      <c r="L742" s="28" t="s">
        <v>12</v>
      </c>
      <c r="M742" s="28"/>
      <c r="N742" s="28"/>
      <c r="O742" s="226"/>
      <c r="P742" s="28"/>
      <c r="Q742" s="226"/>
      <c r="R742" s="28"/>
      <c r="S742" s="28"/>
      <c r="T742" s="28"/>
      <c r="U742" s="28"/>
      <c r="V742" s="28"/>
      <c r="W742" s="28" t="s">
        <v>62</v>
      </c>
      <c r="X742" s="28"/>
      <c r="Y742" s="30">
        <v>43124</v>
      </c>
      <c r="Z742" s="28" t="s">
        <v>66</v>
      </c>
      <c r="AA742" s="30">
        <v>43124</v>
      </c>
      <c r="AB742" s="28"/>
    </row>
    <row r="743" spans="1:28" ht="15.75" customHeight="1" thickTop="1">
      <c r="A743" s="289" t="s">
        <v>3127</v>
      </c>
      <c r="C743" s="16">
        <v>49</v>
      </c>
      <c r="D743" s="16">
        <v>20009</v>
      </c>
      <c r="E743" s="16" t="s">
        <v>1852</v>
      </c>
      <c r="F743" s="3">
        <v>29204180100869</v>
      </c>
      <c r="G743" s="16" t="s">
        <v>34</v>
      </c>
      <c r="H743" s="16" t="s">
        <v>1868</v>
      </c>
      <c r="I743" s="16" t="s">
        <v>66</v>
      </c>
      <c r="J743" s="45">
        <v>43106</v>
      </c>
      <c r="K743" s="16" t="s">
        <v>8</v>
      </c>
      <c r="L743" s="16" t="s">
        <v>12</v>
      </c>
      <c r="M743" s="16"/>
      <c r="N743" s="16"/>
      <c r="W743" s="16" t="s">
        <v>62</v>
      </c>
      <c r="X743" s="16" t="s">
        <v>66</v>
      </c>
      <c r="Y743" s="45">
        <v>43131</v>
      </c>
      <c r="Z743" s="16" t="s">
        <v>66</v>
      </c>
      <c r="AA743" s="45">
        <v>43152</v>
      </c>
      <c r="AB743" s="16"/>
    </row>
    <row r="744" spans="1:28" ht="15" customHeight="1">
      <c r="A744" s="290"/>
      <c r="C744" s="2">
        <v>49</v>
      </c>
      <c r="D744" s="2">
        <v>20010</v>
      </c>
      <c r="E744" s="2" t="s">
        <v>1853</v>
      </c>
      <c r="F744" s="3">
        <v>29207272101607</v>
      </c>
      <c r="G744" s="2" t="s">
        <v>34</v>
      </c>
      <c r="H744" s="2" t="s">
        <v>1869</v>
      </c>
      <c r="I744" s="2" t="s">
        <v>66</v>
      </c>
      <c r="J744" s="4">
        <v>43106</v>
      </c>
      <c r="K744" s="15" t="s">
        <v>8</v>
      </c>
      <c r="L744" s="15" t="s">
        <v>12</v>
      </c>
      <c r="W744" s="16" t="s">
        <v>62</v>
      </c>
      <c r="X744" s="2" t="s">
        <v>66</v>
      </c>
      <c r="Y744" s="7">
        <v>43131</v>
      </c>
      <c r="Z744" s="16" t="s">
        <v>66</v>
      </c>
      <c r="AA744" s="7">
        <v>43143</v>
      </c>
    </row>
    <row r="745" spans="1:28" ht="15" customHeight="1">
      <c r="A745" s="290"/>
      <c r="C745" s="15">
        <v>49</v>
      </c>
      <c r="D745" s="2">
        <v>20011</v>
      </c>
      <c r="E745" s="2" t="s">
        <v>1854</v>
      </c>
      <c r="F745" s="3">
        <v>29412031401653</v>
      </c>
      <c r="G745" s="2" t="s">
        <v>34</v>
      </c>
      <c r="H745" s="2" t="s">
        <v>1870</v>
      </c>
      <c r="I745" s="2" t="s">
        <v>66</v>
      </c>
      <c r="J745" s="4">
        <v>43106</v>
      </c>
      <c r="K745" s="15" t="s">
        <v>8</v>
      </c>
      <c r="L745" s="15" t="s">
        <v>12</v>
      </c>
      <c r="W745" s="16" t="s">
        <v>61</v>
      </c>
      <c r="X745" s="2" t="s">
        <v>66</v>
      </c>
      <c r="Y745" s="7">
        <v>43131</v>
      </c>
      <c r="Z745" s="16" t="s">
        <v>66</v>
      </c>
      <c r="AA745" s="7">
        <v>43156</v>
      </c>
    </row>
    <row r="746" spans="1:28" ht="15" customHeight="1">
      <c r="A746" s="290"/>
      <c r="C746" s="16">
        <v>49</v>
      </c>
      <c r="D746" s="16">
        <v>20012</v>
      </c>
      <c r="E746" s="16" t="s">
        <v>1855</v>
      </c>
      <c r="F746" s="3">
        <v>28811258800757</v>
      </c>
      <c r="G746" s="16" t="s">
        <v>34</v>
      </c>
      <c r="H746" s="16" t="s">
        <v>1871</v>
      </c>
      <c r="I746" s="16" t="s">
        <v>66</v>
      </c>
      <c r="J746" s="45">
        <v>43106</v>
      </c>
      <c r="K746" s="16" t="s">
        <v>8</v>
      </c>
      <c r="L746" s="16" t="s">
        <v>12</v>
      </c>
      <c r="M746" s="16"/>
      <c r="N746" s="16"/>
      <c r="W746" s="16" t="s">
        <v>61</v>
      </c>
      <c r="X746" s="16"/>
      <c r="Y746" s="45">
        <v>43131</v>
      </c>
      <c r="Z746" s="16" t="s">
        <v>66</v>
      </c>
      <c r="AA746" s="45">
        <v>43156</v>
      </c>
      <c r="AB746" s="16"/>
    </row>
    <row r="747" spans="1:28" ht="15" customHeight="1">
      <c r="A747" s="290"/>
      <c r="C747" s="15">
        <v>49</v>
      </c>
      <c r="D747" s="2">
        <v>20013</v>
      </c>
      <c r="E747" s="2" t="s">
        <v>1856</v>
      </c>
      <c r="F747" s="3">
        <v>29408072101101</v>
      </c>
      <c r="G747" s="2" t="s">
        <v>34</v>
      </c>
      <c r="H747" s="2" t="s">
        <v>1872</v>
      </c>
      <c r="I747" s="2" t="s">
        <v>66</v>
      </c>
      <c r="J747" s="4">
        <v>43106</v>
      </c>
      <c r="K747" s="15" t="s">
        <v>8</v>
      </c>
      <c r="L747" s="15" t="s">
        <v>12</v>
      </c>
      <c r="W747" s="16" t="s">
        <v>61</v>
      </c>
      <c r="Y747" s="7">
        <v>43131</v>
      </c>
      <c r="Z747" s="16" t="s">
        <v>66</v>
      </c>
      <c r="AA747" s="7">
        <v>43178</v>
      </c>
    </row>
    <row r="748" spans="1:28" ht="15" customHeight="1">
      <c r="A748" s="290"/>
      <c r="C748" s="15">
        <v>49</v>
      </c>
      <c r="D748" s="2">
        <v>20014</v>
      </c>
      <c r="E748" s="2" t="s">
        <v>1857</v>
      </c>
      <c r="F748" s="3">
        <v>29111130102561</v>
      </c>
      <c r="G748" s="2" t="s">
        <v>34</v>
      </c>
      <c r="H748" s="2" t="s">
        <v>1873</v>
      </c>
      <c r="I748" s="2" t="s">
        <v>66</v>
      </c>
      <c r="J748" s="4">
        <v>43106</v>
      </c>
      <c r="K748" s="15" t="s">
        <v>8</v>
      </c>
      <c r="L748" s="15" t="s">
        <v>12</v>
      </c>
      <c r="W748" s="16" t="s">
        <v>62</v>
      </c>
      <c r="Y748" s="7">
        <v>43131</v>
      </c>
      <c r="Z748" s="16" t="s">
        <v>66</v>
      </c>
      <c r="AA748" s="7">
        <v>43143</v>
      </c>
    </row>
    <row r="749" spans="1:28" ht="15" customHeight="1">
      <c r="A749" s="290"/>
      <c r="C749" s="15">
        <v>49</v>
      </c>
      <c r="D749" s="2">
        <v>20015</v>
      </c>
      <c r="E749" s="2" t="s">
        <v>1858</v>
      </c>
      <c r="F749" s="3">
        <v>29204232101915</v>
      </c>
      <c r="G749" s="2" t="s">
        <v>34</v>
      </c>
      <c r="H749" s="2" t="s">
        <v>1874</v>
      </c>
      <c r="I749" s="2" t="s">
        <v>66</v>
      </c>
      <c r="J749" s="4">
        <v>43106</v>
      </c>
      <c r="K749" s="15" t="s">
        <v>8</v>
      </c>
      <c r="L749" s="15" t="s">
        <v>12</v>
      </c>
      <c r="W749" s="16" t="s">
        <v>60</v>
      </c>
      <c r="Y749" s="7">
        <v>43131</v>
      </c>
      <c r="Z749" s="16" t="s">
        <v>66</v>
      </c>
      <c r="AA749" s="7">
        <v>43143</v>
      </c>
    </row>
    <row r="750" spans="1:28" ht="15" customHeight="1">
      <c r="A750" s="290"/>
      <c r="C750" s="15">
        <v>49</v>
      </c>
      <c r="D750" s="2">
        <v>20016</v>
      </c>
      <c r="E750" s="2" t="s">
        <v>1859</v>
      </c>
      <c r="F750" s="3">
        <v>29311060101714</v>
      </c>
      <c r="G750" s="2" t="s">
        <v>34</v>
      </c>
      <c r="H750" s="2" t="s">
        <v>1875</v>
      </c>
      <c r="I750" s="2" t="s">
        <v>66</v>
      </c>
      <c r="J750" s="4">
        <v>43106</v>
      </c>
      <c r="K750" s="15" t="s">
        <v>8</v>
      </c>
      <c r="L750" s="15" t="s">
        <v>12</v>
      </c>
      <c r="W750" s="16" t="s">
        <v>61</v>
      </c>
      <c r="Y750" s="7">
        <v>43131</v>
      </c>
      <c r="Z750" s="16" t="s">
        <v>66</v>
      </c>
      <c r="AA750" s="7">
        <v>43135</v>
      </c>
    </row>
    <row r="751" spans="1:28" ht="15" customHeight="1">
      <c r="A751" s="290"/>
      <c r="C751" s="15">
        <v>49</v>
      </c>
      <c r="D751" s="2">
        <v>20017</v>
      </c>
      <c r="E751" s="2" t="s">
        <v>1860</v>
      </c>
      <c r="F751" s="3">
        <v>28910068800112</v>
      </c>
      <c r="G751" s="2" t="s">
        <v>34</v>
      </c>
      <c r="H751" s="2" t="s">
        <v>1876</v>
      </c>
      <c r="I751" s="2" t="s">
        <v>66</v>
      </c>
      <c r="J751" s="4">
        <v>43106</v>
      </c>
      <c r="K751" s="15" t="s">
        <v>8</v>
      </c>
      <c r="L751" s="15" t="s">
        <v>12</v>
      </c>
      <c r="W751" s="16" t="s">
        <v>60</v>
      </c>
      <c r="Y751" s="7">
        <v>43131</v>
      </c>
      <c r="Z751" s="16" t="s">
        <v>66</v>
      </c>
      <c r="AA751" s="7">
        <v>43143</v>
      </c>
    </row>
    <row r="752" spans="1:28" ht="15" customHeight="1">
      <c r="A752" s="290"/>
      <c r="C752" s="15">
        <v>49</v>
      </c>
      <c r="D752" s="2">
        <v>20018</v>
      </c>
      <c r="E752" s="2" t="s">
        <v>1861</v>
      </c>
      <c r="F752" s="3">
        <v>29501010116994</v>
      </c>
      <c r="G752" s="2" t="s">
        <v>34</v>
      </c>
      <c r="H752" s="2" t="s">
        <v>1877</v>
      </c>
      <c r="I752" s="2" t="s">
        <v>66</v>
      </c>
      <c r="J752" s="4">
        <v>43106</v>
      </c>
      <c r="K752" s="15" t="s">
        <v>8</v>
      </c>
      <c r="L752" s="15" t="s">
        <v>12</v>
      </c>
      <c r="N752" s="16"/>
      <c r="W752" s="16" t="s">
        <v>61</v>
      </c>
      <c r="Y752" s="7">
        <v>43131</v>
      </c>
      <c r="Z752" s="16" t="s">
        <v>67</v>
      </c>
      <c r="AA752" s="7" t="s">
        <v>3111</v>
      </c>
    </row>
    <row r="753" spans="1:28" ht="15" customHeight="1">
      <c r="A753" s="290"/>
      <c r="C753" s="2">
        <v>49</v>
      </c>
      <c r="D753" s="2">
        <v>20019</v>
      </c>
      <c r="E753" s="2" t="s">
        <v>1862</v>
      </c>
      <c r="F753" s="3">
        <v>29210151200951</v>
      </c>
      <c r="G753" s="2" t="s">
        <v>34</v>
      </c>
      <c r="H753" s="2" t="s">
        <v>1878</v>
      </c>
      <c r="I753" s="2" t="s">
        <v>66</v>
      </c>
      <c r="J753" s="4">
        <v>43106</v>
      </c>
      <c r="K753" s="15" t="s">
        <v>8</v>
      </c>
      <c r="L753" s="15" t="s">
        <v>12</v>
      </c>
      <c r="W753" s="16" t="s">
        <v>62</v>
      </c>
      <c r="X753" s="2" t="s">
        <v>66</v>
      </c>
      <c r="Y753" s="7">
        <v>43131</v>
      </c>
      <c r="Z753" s="16" t="s">
        <v>66</v>
      </c>
      <c r="AA753" s="7">
        <v>43152</v>
      </c>
    </row>
    <row r="754" spans="1:28" ht="15" customHeight="1">
      <c r="A754" s="290"/>
      <c r="C754" s="15">
        <v>49</v>
      </c>
      <c r="D754" s="2">
        <v>20020</v>
      </c>
      <c r="E754" s="2" t="s">
        <v>1863</v>
      </c>
      <c r="F754" s="3" t="s">
        <v>1864</v>
      </c>
      <c r="G754" s="2" t="s">
        <v>34</v>
      </c>
      <c r="H754" s="2" t="s">
        <v>1879</v>
      </c>
      <c r="I754" s="2" t="s">
        <v>66</v>
      </c>
      <c r="J754" s="4">
        <v>43106</v>
      </c>
      <c r="K754" s="15" t="s">
        <v>8</v>
      </c>
      <c r="L754" s="15" t="s">
        <v>12</v>
      </c>
      <c r="W754" s="16" t="s">
        <v>61</v>
      </c>
      <c r="X754" s="2" t="s">
        <v>66</v>
      </c>
      <c r="Y754" s="7">
        <v>43131</v>
      </c>
      <c r="Z754" s="16" t="s">
        <v>66</v>
      </c>
      <c r="AA754" s="7">
        <v>43119</v>
      </c>
    </row>
    <row r="755" spans="1:28" ht="15" customHeight="1">
      <c r="A755" s="290"/>
      <c r="C755" s="15">
        <v>49</v>
      </c>
      <c r="D755" s="2">
        <v>20021</v>
      </c>
      <c r="E755" s="2" t="s">
        <v>1865</v>
      </c>
      <c r="F755" s="3">
        <v>29112090100477</v>
      </c>
      <c r="G755" s="2" t="s">
        <v>34</v>
      </c>
      <c r="H755" s="2" t="s">
        <v>1880</v>
      </c>
      <c r="I755" s="2" t="s">
        <v>66</v>
      </c>
      <c r="J755" s="4">
        <v>43106</v>
      </c>
      <c r="K755" s="15" t="s">
        <v>8</v>
      </c>
      <c r="L755" s="15" t="s">
        <v>12</v>
      </c>
      <c r="W755" s="16" t="s">
        <v>61</v>
      </c>
      <c r="Y755" s="7">
        <v>43131</v>
      </c>
      <c r="Z755" s="16" t="s">
        <v>66</v>
      </c>
      <c r="AA755" s="7">
        <v>43150</v>
      </c>
    </row>
    <row r="756" spans="1:28" ht="15" customHeight="1">
      <c r="A756" s="290"/>
      <c r="C756" s="15">
        <v>49</v>
      </c>
      <c r="D756" s="2">
        <v>20022</v>
      </c>
      <c r="E756" s="2" t="s">
        <v>1866</v>
      </c>
      <c r="F756" s="3">
        <v>28906140100336</v>
      </c>
      <c r="G756" s="2" t="s">
        <v>34</v>
      </c>
      <c r="H756" s="2" t="s">
        <v>1881</v>
      </c>
      <c r="I756" s="2" t="s">
        <v>66</v>
      </c>
      <c r="J756" s="4">
        <v>43106</v>
      </c>
      <c r="K756" s="15" t="s">
        <v>8</v>
      </c>
      <c r="L756" s="15" t="s">
        <v>12</v>
      </c>
      <c r="W756" s="16" t="s">
        <v>62</v>
      </c>
      <c r="Y756" s="7">
        <v>43131</v>
      </c>
      <c r="Z756" s="16" t="s">
        <v>66</v>
      </c>
      <c r="AA756" s="7">
        <v>43144</v>
      </c>
    </row>
    <row r="757" spans="1:28" ht="15.75" customHeight="1" thickBot="1">
      <c r="A757" s="291"/>
      <c r="C757" s="28">
        <v>49</v>
      </c>
      <c r="D757" s="28">
        <v>20023</v>
      </c>
      <c r="E757" s="28" t="s">
        <v>1867</v>
      </c>
      <c r="F757" s="29">
        <v>29408250106384</v>
      </c>
      <c r="G757" s="28" t="s">
        <v>34</v>
      </c>
      <c r="H757" s="28" t="s">
        <v>1882</v>
      </c>
      <c r="I757" s="28" t="s">
        <v>66</v>
      </c>
      <c r="J757" s="30">
        <v>43106</v>
      </c>
      <c r="K757" s="28" t="s">
        <v>8</v>
      </c>
      <c r="L757" s="28" t="s">
        <v>12</v>
      </c>
      <c r="M757" s="28"/>
      <c r="N757" s="28"/>
      <c r="O757" s="226"/>
      <c r="P757" s="28"/>
      <c r="Q757" s="226"/>
      <c r="R757" s="28"/>
      <c r="S757" s="28"/>
      <c r="T757" s="28"/>
      <c r="U757" s="28"/>
      <c r="V757" s="28"/>
      <c r="W757" s="28" t="s">
        <v>61</v>
      </c>
      <c r="X757" s="28" t="s">
        <v>66</v>
      </c>
      <c r="Y757" s="30">
        <v>43131</v>
      </c>
      <c r="Z757" s="28" t="s">
        <v>66</v>
      </c>
      <c r="AA757" s="30">
        <v>43135</v>
      </c>
      <c r="AB757" s="28"/>
    </row>
    <row r="758" spans="1:28" ht="15.75" customHeight="1" thickTop="1">
      <c r="A758" s="289" t="s">
        <v>3121</v>
      </c>
      <c r="C758" s="15">
        <v>50</v>
      </c>
      <c r="D758" s="2">
        <v>20024</v>
      </c>
      <c r="E758" s="2" t="s">
        <v>1833</v>
      </c>
      <c r="F758" s="3">
        <v>29407270103059</v>
      </c>
      <c r="G758" s="2" t="s">
        <v>34</v>
      </c>
      <c r="H758" s="2" t="s">
        <v>1843</v>
      </c>
      <c r="I758" s="2" t="s">
        <v>66</v>
      </c>
      <c r="J758" s="4">
        <v>43113</v>
      </c>
      <c r="K758" s="15" t="s">
        <v>8</v>
      </c>
      <c r="L758" s="15" t="s">
        <v>12</v>
      </c>
      <c r="W758" s="16" t="s">
        <v>60</v>
      </c>
      <c r="X758" s="2" t="s">
        <v>66</v>
      </c>
      <c r="Y758" s="7">
        <v>43138</v>
      </c>
      <c r="Z758" s="16" t="s">
        <v>66</v>
      </c>
      <c r="AA758" s="7">
        <v>43167</v>
      </c>
    </row>
    <row r="759" spans="1:28" ht="15" customHeight="1">
      <c r="A759" s="290"/>
      <c r="C759" s="15">
        <v>50</v>
      </c>
      <c r="D759" s="2">
        <v>20025</v>
      </c>
      <c r="E759" s="2" t="s">
        <v>1834</v>
      </c>
      <c r="F759" s="3">
        <v>29407118800399</v>
      </c>
      <c r="G759" s="2" t="s">
        <v>34</v>
      </c>
      <c r="H759" s="2" t="s">
        <v>1844</v>
      </c>
      <c r="I759" s="2" t="s">
        <v>66</v>
      </c>
      <c r="J759" s="4">
        <v>43113</v>
      </c>
      <c r="K759" s="15" t="s">
        <v>8</v>
      </c>
      <c r="L759" s="15" t="s">
        <v>12</v>
      </c>
      <c r="W759" s="16" t="s">
        <v>61</v>
      </c>
      <c r="X759" s="2" t="s">
        <v>66</v>
      </c>
      <c r="Y759" s="7">
        <v>43138</v>
      </c>
      <c r="Z759" s="16" t="s">
        <v>66</v>
      </c>
      <c r="AA759" s="7">
        <v>43174</v>
      </c>
      <c r="AB759" s="2" t="s">
        <v>3178</v>
      </c>
    </row>
    <row r="760" spans="1:28" ht="15" customHeight="1">
      <c r="A760" s="290"/>
      <c r="C760" s="15">
        <v>50</v>
      </c>
      <c r="D760" s="2">
        <v>20026</v>
      </c>
      <c r="E760" s="2" t="s">
        <v>1835</v>
      </c>
      <c r="F760" s="3">
        <v>29304020100387</v>
      </c>
      <c r="G760" s="2" t="s">
        <v>34</v>
      </c>
      <c r="H760" s="2" t="s">
        <v>1845</v>
      </c>
      <c r="I760" s="2" t="s">
        <v>66</v>
      </c>
      <c r="J760" s="4">
        <v>43113</v>
      </c>
      <c r="K760" s="15" t="s">
        <v>8</v>
      </c>
      <c r="L760" s="15" t="s">
        <v>12</v>
      </c>
      <c r="W760" s="16" t="s">
        <v>60</v>
      </c>
      <c r="X760" s="2" t="s">
        <v>66</v>
      </c>
      <c r="Y760" s="7">
        <v>43138</v>
      </c>
      <c r="Z760" s="16" t="s">
        <v>66</v>
      </c>
      <c r="AA760" s="7">
        <v>43167</v>
      </c>
    </row>
    <row r="761" spans="1:28" ht="15" customHeight="1">
      <c r="A761" s="290"/>
      <c r="C761" s="15">
        <v>50</v>
      </c>
      <c r="D761" s="2">
        <v>20027</v>
      </c>
      <c r="E761" s="2" t="s">
        <v>1836</v>
      </c>
      <c r="F761" s="3">
        <v>27910220103771</v>
      </c>
      <c r="G761" s="2" t="s">
        <v>34</v>
      </c>
      <c r="H761" s="2" t="s">
        <v>1846</v>
      </c>
      <c r="I761" s="2" t="s">
        <v>66</v>
      </c>
      <c r="J761" s="4">
        <v>43113</v>
      </c>
      <c r="K761" s="15" t="s">
        <v>8</v>
      </c>
      <c r="L761" s="15" t="s">
        <v>12</v>
      </c>
      <c r="W761" s="16" t="s">
        <v>62</v>
      </c>
      <c r="Y761" s="7">
        <v>43138</v>
      </c>
      <c r="Z761" s="16" t="s">
        <v>67</v>
      </c>
      <c r="AA761" s="7" t="s">
        <v>3111</v>
      </c>
      <c r="AB761" s="2" t="s">
        <v>5285</v>
      </c>
    </row>
    <row r="762" spans="1:28" ht="15" customHeight="1">
      <c r="A762" s="290"/>
      <c r="C762" s="15">
        <v>50</v>
      </c>
      <c r="D762" s="2">
        <v>20028</v>
      </c>
      <c r="E762" s="2" t="s">
        <v>1837</v>
      </c>
      <c r="F762" s="3">
        <v>28811232100102</v>
      </c>
      <c r="G762" s="2" t="s">
        <v>34</v>
      </c>
      <c r="H762" s="2" t="s">
        <v>1847</v>
      </c>
      <c r="I762" s="2" t="s">
        <v>66</v>
      </c>
      <c r="J762" s="4">
        <v>43113</v>
      </c>
      <c r="K762" s="15" t="s">
        <v>8</v>
      </c>
      <c r="L762" s="15" t="s">
        <v>12</v>
      </c>
      <c r="W762" s="16" t="s">
        <v>61</v>
      </c>
      <c r="Y762" s="7">
        <v>43138</v>
      </c>
      <c r="Z762" s="16" t="s">
        <v>66</v>
      </c>
      <c r="AA762" s="7">
        <v>43156</v>
      </c>
    </row>
    <row r="763" spans="1:28" ht="15" customHeight="1">
      <c r="A763" s="290"/>
      <c r="C763" s="15">
        <v>50</v>
      </c>
      <c r="D763" s="2">
        <v>20029</v>
      </c>
      <c r="E763" s="2" t="s">
        <v>1838</v>
      </c>
      <c r="F763" s="3">
        <v>28909300104251</v>
      </c>
      <c r="G763" s="2" t="s">
        <v>34</v>
      </c>
      <c r="H763" s="2" t="s">
        <v>1848</v>
      </c>
      <c r="I763" s="2" t="s">
        <v>66</v>
      </c>
      <c r="J763" s="4">
        <v>43113</v>
      </c>
      <c r="K763" s="15" t="s">
        <v>8</v>
      </c>
      <c r="L763" s="15" t="s">
        <v>12</v>
      </c>
      <c r="W763" s="16" t="s">
        <v>61</v>
      </c>
      <c r="X763" s="2" t="s">
        <v>66</v>
      </c>
      <c r="Y763" s="7">
        <v>43138</v>
      </c>
      <c r="Z763" s="16" t="s">
        <v>66</v>
      </c>
      <c r="AA763" s="7">
        <v>43174</v>
      </c>
    </row>
    <row r="764" spans="1:28" ht="15" customHeight="1">
      <c r="A764" s="290"/>
      <c r="C764" s="16">
        <v>50</v>
      </c>
      <c r="D764" s="16">
        <v>20030</v>
      </c>
      <c r="E764" s="16" t="s">
        <v>1839</v>
      </c>
      <c r="F764" s="3">
        <v>29505300100621</v>
      </c>
      <c r="G764" s="16" t="s">
        <v>34</v>
      </c>
      <c r="H764" s="16" t="s">
        <v>1849</v>
      </c>
      <c r="I764" s="16" t="s">
        <v>66</v>
      </c>
      <c r="J764" s="45">
        <v>43113</v>
      </c>
      <c r="K764" s="16" t="s">
        <v>8</v>
      </c>
      <c r="L764" s="16" t="s">
        <v>12</v>
      </c>
      <c r="M764" s="16"/>
      <c r="N764" s="16"/>
      <c r="W764" s="16" t="s">
        <v>61</v>
      </c>
      <c r="X764" s="16"/>
      <c r="Y764" s="45">
        <v>43138</v>
      </c>
      <c r="Z764" s="16" t="s">
        <v>66</v>
      </c>
      <c r="AA764" s="45">
        <v>43156</v>
      </c>
      <c r="AB764" s="16"/>
    </row>
    <row r="765" spans="1:28" ht="15" customHeight="1">
      <c r="A765" s="290"/>
      <c r="C765" s="15">
        <v>50</v>
      </c>
      <c r="D765" s="2">
        <v>20031</v>
      </c>
      <c r="E765" s="2" t="s">
        <v>1840</v>
      </c>
      <c r="F765" s="3">
        <v>29501198800692</v>
      </c>
      <c r="G765" s="15" t="s">
        <v>34</v>
      </c>
      <c r="H765" s="2" t="s">
        <v>1850</v>
      </c>
      <c r="I765" s="2" t="s">
        <v>66</v>
      </c>
      <c r="J765" s="4">
        <v>43113</v>
      </c>
      <c r="K765" s="15" t="s">
        <v>8</v>
      </c>
      <c r="L765" s="15" t="s">
        <v>12</v>
      </c>
      <c r="W765" s="16" t="s">
        <v>60</v>
      </c>
      <c r="Y765" s="7">
        <v>43138</v>
      </c>
      <c r="Z765" s="16" t="s">
        <v>66</v>
      </c>
      <c r="AA765" s="7">
        <v>43143</v>
      </c>
    </row>
    <row r="766" spans="1:28" ht="15.75" customHeight="1" thickBot="1">
      <c r="A766" s="291"/>
      <c r="C766" s="28">
        <v>50</v>
      </c>
      <c r="D766" s="28">
        <v>20032</v>
      </c>
      <c r="E766" s="28" t="s">
        <v>1841</v>
      </c>
      <c r="F766" s="29" t="s">
        <v>1842</v>
      </c>
      <c r="G766" s="28" t="s">
        <v>3636</v>
      </c>
      <c r="H766" s="28" t="s">
        <v>1851</v>
      </c>
      <c r="I766" s="28" t="s">
        <v>66</v>
      </c>
      <c r="J766" s="30">
        <v>43113</v>
      </c>
      <c r="K766" s="28" t="s">
        <v>8</v>
      </c>
      <c r="L766" s="28" t="s">
        <v>12</v>
      </c>
      <c r="M766" s="28"/>
      <c r="N766" s="28"/>
      <c r="O766" s="226"/>
      <c r="P766" s="28"/>
      <c r="Q766" s="226"/>
      <c r="R766" s="28"/>
      <c r="S766" s="28"/>
      <c r="T766" s="28"/>
      <c r="U766" s="28"/>
      <c r="V766" s="28"/>
      <c r="W766" s="28" t="s">
        <v>60</v>
      </c>
      <c r="X766" s="28"/>
      <c r="Y766" s="30">
        <v>43138</v>
      </c>
      <c r="Z766" s="28" t="s">
        <v>67</v>
      </c>
      <c r="AA766" s="30" t="s">
        <v>3111</v>
      </c>
      <c r="AB766" s="28"/>
    </row>
    <row r="767" spans="1:28" ht="15.75" customHeight="1" thickTop="1">
      <c r="A767" s="289" t="s">
        <v>3119</v>
      </c>
      <c r="C767" s="15">
        <v>51</v>
      </c>
      <c r="D767" s="2">
        <v>20033</v>
      </c>
      <c r="E767" s="2" t="s">
        <v>1813</v>
      </c>
      <c r="F767" s="3">
        <v>29604178800312</v>
      </c>
      <c r="G767" s="15" t="s">
        <v>34</v>
      </c>
      <c r="H767" s="2" t="s">
        <v>1823</v>
      </c>
      <c r="I767" s="2" t="s">
        <v>66</v>
      </c>
      <c r="J767" s="4">
        <v>43113</v>
      </c>
      <c r="K767" s="15" t="s">
        <v>8</v>
      </c>
      <c r="L767" s="15" t="s">
        <v>12</v>
      </c>
      <c r="W767" s="16" t="s">
        <v>60</v>
      </c>
      <c r="Y767" s="7">
        <v>43142</v>
      </c>
      <c r="Z767" s="16" t="s">
        <v>67</v>
      </c>
      <c r="AA767" s="7" t="s">
        <v>3111</v>
      </c>
    </row>
    <row r="768" spans="1:28" ht="15" customHeight="1">
      <c r="A768" s="290"/>
      <c r="C768" s="16">
        <v>51</v>
      </c>
      <c r="D768" s="16">
        <v>20034</v>
      </c>
      <c r="E768" s="16" t="s">
        <v>1814</v>
      </c>
      <c r="F768" s="3">
        <v>29402138800636</v>
      </c>
      <c r="G768" s="16" t="s">
        <v>34</v>
      </c>
      <c r="H768" s="16" t="s">
        <v>1824</v>
      </c>
      <c r="I768" s="16" t="s">
        <v>66</v>
      </c>
      <c r="J768" s="45">
        <v>43113</v>
      </c>
      <c r="K768" s="16" t="s">
        <v>8</v>
      </c>
      <c r="L768" s="16" t="s">
        <v>12</v>
      </c>
      <c r="M768" s="16"/>
      <c r="N768" s="16"/>
      <c r="W768" s="16" t="s">
        <v>61</v>
      </c>
      <c r="X768" s="16" t="s">
        <v>66</v>
      </c>
      <c r="Y768" s="45">
        <v>43142</v>
      </c>
      <c r="Z768" s="16" t="s">
        <v>66</v>
      </c>
      <c r="AA768" s="45">
        <v>43174</v>
      </c>
      <c r="AB768" s="16"/>
    </row>
    <row r="769" spans="1:28" ht="15" customHeight="1">
      <c r="A769" s="290"/>
      <c r="C769" s="15">
        <v>51</v>
      </c>
      <c r="D769" s="2">
        <v>20035</v>
      </c>
      <c r="E769" s="2" t="s">
        <v>1815</v>
      </c>
      <c r="F769" s="3">
        <v>28804200104436</v>
      </c>
      <c r="G769" s="2" t="s">
        <v>34</v>
      </c>
      <c r="H769" s="2" t="s">
        <v>1825</v>
      </c>
      <c r="I769" s="2" t="s">
        <v>66</v>
      </c>
      <c r="J769" s="4">
        <v>43113</v>
      </c>
      <c r="K769" s="15" t="s">
        <v>8</v>
      </c>
      <c r="L769" s="15" t="s">
        <v>12</v>
      </c>
      <c r="W769" s="16" t="s">
        <v>62</v>
      </c>
      <c r="Y769" s="7">
        <v>43142</v>
      </c>
      <c r="Z769" s="16" t="s">
        <v>66</v>
      </c>
      <c r="AA769" s="7">
        <v>43177</v>
      </c>
    </row>
    <row r="770" spans="1:28" ht="15" customHeight="1">
      <c r="A770" s="290"/>
      <c r="C770" s="15">
        <v>51</v>
      </c>
      <c r="D770" s="2">
        <v>20036</v>
      </c>
      <c r="E770" s="2" t="s">
        <v>1816</v>
      </c>
      <c r="F770" s="3">
        <v>29207142101516</v>
      </c>
      <c r="G770" s="2" t="s">
        <v>34</v>
      </c>
      <c r="H770" s="2" t="s">
        <v>1826</v>
      </c>
      <c r="I770" s="2" t="s">
        <v>66</v>
      </c>
      <c r="J770" s="4">
        <v>43113</v>
      </c>
      <c r="K770" s="15" t="s">
        <v>8</v>
      </c>
      <c r="L770" s="15" t="s">
        <v>12</v>
      </c>
      <c r="W770" s="16" t="s">
        <v>60</v>
      </c>
      <c r="Y770" s="7">
        <v>43142</v>
      </c>
      <c r="Z770" s="16" t="s">
        <v>66</v>
      </c>
      <c r="AA770" s="7">
        <v>43143</v>
      </c>
    </row>
    <row r="771" spans="1:28" ht="15" customHeight="1">
      <c r="A771" s="290"/>
      <c r="C771" s="15">
        <v>51</v>
      </c>
      <c r="D771" s="2">
        <v>20037</v>
      </c>
      <c r="E771" s="2" t="s">
        <v>1817</v>
      </c>
      <c r="F771" s="3">
        <v>29512070103931</v>
      </c>
      <c r="G771" s="2" t="s">
        <v>34</v>
      </c>
      <c r="H771" s="2" t="s">
        <v>1827</v>
      </c>
      <c r="I771" s="2" t="s">
        <v>66</v>
      </c>
      <c r="J771" s="4">
        <v>43113</v>
      </c>
      <c r="K771" s="15" t="s">
        <v>8</v>
      </c>
      <c r="L771" s="15" t="s">
        <v>12</v>
      </c>
      <c r="W771" s="16" t="s">
        <v>60</v>
      </c>
      <c r="Y771" s="7">
        <v>43142</v>
      </c>
      <c r="Z771" s="16" t="s">
        <v>66</v>
      </c>
      <c r="AA771" s="7">
        <v>43143</v>
      </c>
    </row>
    <row r="772" spans="1:28" ht="15" customHeight="1">
      <c r="A772" s="290"/>
      <c r="C772" s="15">
        <v>51</v>
      </c>
      <c r="D772" s="2">
        <v>20038</v>
      </c>
      <c r="E772" s="2" t="s">
        <v>1818</v>
      </c>
      <c r="F772" s="3">
        <v>28905223200051</v>
      </c>
      <c r="G772" s="2" t="s">
        <v>34</v>
      </c>
      <c r="H772" s="2" t="s">
        <v>1828</v>
      </c>
      <c r="I772" s="2" t="s">
        <v>66</v>
      </c>
      <c r="J772" s="4">
        <v>43113</v>
      </c>
      <c r="K772" s="15" t="s">
        <v>8</v>
      </c>
      <c r="L772" s="15" t="s">
        <v>12</v>
      </c>
      <c r="W772" s="16" t="s">
        <v>61</v>
      </c>
      <c r="X772" s="2" t="s">
        <v>66</v>
      </c>
      <c r="Y772" s="7">
        <v>43142</v>
      </c>
      <c r="Z772" s="16" t="s">
        <v>66</v>
      </c>
      <c r="AA772" s="7">
        <v>43174</v>
      </c>
    </row>
    <row r="773" spans="1:28" ht="15" customHeight="1">
      <c r="A773" s="290"/>
      <c r="C773" s="15">
        <v>51</v>
      </c>
      <c r="D773" s="2">
        <v>20039</v>
      </c>
      <c r="E773" s="2" t="s">
        <v>1819</v>
      </c>
      <c r="F773" s="3">
        <v>28611300300078</v>
      </c>
      <c r="G773" s="15" t="s">
        <v>34</v>
      </c>
      <c r="H773" s="2" t="s">
        <v>1829</v>
      </c>
      <c r="I773" s="2" t="s">
        <v>66</v>
      </c>
      <c r="J773" s="4">
        <v>43113</v>
      </c>
      <c r="K773" s="15" t="s">
        <v>8</v>
      </c>
      <c r="L773" s="15" t="s">
        <v>12</v>
      </c>
      <c r="W773" s="16" t="s">
        <v>61</v>
      </c>
      <c r="Y773" s="7">
        <v>43142</v>
      </c>
      <c r="Z773" s="16" t="s">
        <v>66</v>
      </c>
      <c r="AA773" s="7">
        <v>43135</v>
      </c>
    </row>
    <row r="774" spans="1:28" ht="15" customHeight="1">
      <c r="A774" s="290"/>
      <c r="C774" s="15">
        <v>51</v>
      </c>
      <c r="D774" s="2">
        <v>20040</v>
      </c>
      <c r="E774" s="2" t="s">
        <v>1820</v>
      </c>
      <c r="F774" s="3">
        <v>29001280200901</v>
      </c>
      <c r="G774" s="2" t="s">
        <v>34</v>
      </c>
      <c r="H774" s="2" t="s">
        <v>1830</v>
      </c>
      <c r="I774" s="2" t="s">
        <v>66</v>
      </c>
      <c r="J774" s="4">
        <v>43113</v>
      </c>
      <c r="K774" s="15" t="s">
        <v>8</v>
      </c>
      <c r="L774" s="15" t="s">
        <v>12</v>
      </c>
      <c r="W774" s="16" t="s">
        <v>61</v>
      </c>
      <c r="Y774" s="7">
        <v>43142</v>
      </c>
      <c r="Z774" s="16" t="s">
        <v>66</v>
      </c>
      <c r="AA774" s="7">
        <v>43158</v>
      </c>
    </row>
    <row r="775" spans="1:28" ht="15" customHeight="1">
      <c r="A775" s="290"/>
      <c r="C775" s="2">
        <v>51</v>
      </c>
      <c r="D775" s="2">
        <v>20041</v>
      </c>
      <c r="E775" s="2" t="s">
        <v>1821</v>
      </c>
      <c r="F775" s="3">
        <v>29508220102591</v>
      </c>
      <c r="G775" s="2" t="s">
        <v>184</v>
      </c>
      <c r="H775" s="2" t="s">
        <v>1831</v>
      </c>
      <c r="I775" s="2" t="s">
        <v>66</v>
      </c>
      <c r="J775" s="4">
        <v>43113</v>
      </c>
      <c r="K775" s="15" t="s">
        <v>8</v>
      </c>
      <c r="L775" s="15" t="s">
        <v>12</v>
      </c>
      <c r="W775" s="16" t="s">
        <v>61</v>
      </c>
      <c r="Y775" s="7">
        <v>43142</v>
      </c>
      <c r="Z775" s="16" t="s">
        <v>66</v>
      </c>
      <c r="AA775" s="7">
        <v>43156</v>
      </c>
    </row>
    <row r="776" spans="1:28" ht="15.75" customHeight="1" thickBot="1">
      <c r="A776" s="291"/>
      <c r="C776" s="28">
        <v>51</v>
      </c>
      <c r="D776" s="28">
        <v>20042</v>
      </c>
      <c r="E776" s="28" t="s">
        <v>1822</v>
      </c>
      <c r="F776" s="29">
        <v>29201250101893</v>
      </c>
      <c r="G776" s="28" t="s">
        <v>34</v>
      </c>
      <c r="H776" s="28" t="s">
        <v>1832</v>
      </c>
      <c r="I776" s="28" t="s">
        <v>66</v>
      </c>
      <c r="J776" s="30">
        <v>43113</v>
      </c>
      <c r="K776" s="28" t="s">
        <v>8</v>
      </c>
      <c r="L776" s="28" t="s">
        <v>12</v>
      </c>
      <c r="M776" s="28"/>
      <c r="N776" s="28"/>
      <c r="O776" s="226"/>
      <c r="P776" s="28"/>
      <c r="Q776" s="226"/>
      <c r="R776" s="28"/>
      <c r="S776" s="28"/>
      <c r="T776" s="28"/>
      <c r="U776" s="28"/>
      <c r="V776" s="28"/>
      <c r="W776" s="28" t="s">
        <v>60</v>
      </c>
      <c r="X776" s="28"/>
      <c r="Y776" s="30">
        <v>43142</v>
      </c>
      <c r="Z776" s="28" t="s">
        <v>66</v>
      </c>
      <c r="AA776" s="30">
        <v>43143</v>
      </c>
      <c r="AB776" s="28"/>
    </row>
    <row r="777" spans="1:28" ht="15.75" customHeight="1" thickTop="1">
      <c r="A777" s="289" t="s">
        <v>3118</v>
      </c>
      <c r="C777" s="16">
        <v>52</v>
      </c>
      <c r="D777" s="16">
        <v>20045</v>
      </c>
      <c r="E777" s="16" t="s">
        <v>1797</v>
      </c>
      <c r="F777" s="3">
        <v>29601282102393</v>
      </c>
      <c r="G777" s="16" t="s">
        <v>184</v>
      </c>
      <c r="H777" s="16" t="s">
        <v>1809</v>
      </c>
      <c r="I777" s="16" t="s">
        <v>66</v>
      </c>
      <c r="J777" s="45">
        <v>43120</v>
      </c>
      <c r="K777" s="16" t="s">
        <v>8</v>
      </c>
      <c r="L777" s="16" t="s">
        <v>12</v>
      </c>
      <c r="M777" s="16"/>
      <c r="N777" s="16"/>
      <c r="W777" s="16" t="s">
        <v>60</v>
      </c>
      <c r="X777" s="16"/>
      <c r="Y777" s="45">
        <v>43146</v>
      </c>
      <c r="Z777" s="16" t="s">
        <v>66</v>
      </c>
      <c r="AA777" s="45">
        <v>43150</v>
      </c>
      <c r="AB777" s="16" t="s">
        <v>3667</v>
      </c>
    </row>
    <row r="778" spans="1:28" ht="15" customHeight="1">
      <c r="A778" s="290"/>
      <c r="C778" s="15">
        <v>52</v>
      </c>
      <c r="D778" s="2">
        <v>20046</v>
      </c>
      <c r="E778" s="2" t="s">
        <v>1796</v>
      </c>
      <c r="F778" s="3">
        <v>29212250103294</v>
      </c>
      <c r="G778" s="15" t="s">
        <v>34</v>
      </c>
      <c r="H778" s="2" t="s">
        <v>1808</v>
      </c>
      <c r="I778" s="2" t="s">
        <v>66</v>
      </c>
      <c r="J778" s="4">
        <v>43120</v>
      </c>
      <c r="K778" s="15" t="s">
        <v>8</v>
      </c>
      <c r="L778" s="15" t="s">
        <v>12</v>
      </c>
      <c r="W778" s="16" t="s">
        <v>60</v>
      </c>
      <c r="X778" s="16" t="s">
        <v>66</v>
      </c>
      <c r="Y778" s="7">
        <v>43146</v>
      </c>
      <c r="Z778" s="16" t="s">
        <v>66</v>
      </c>
      <c r="AA778" s="7">
        <v>43135</v>
      </c>
    </row>
    <row r="779" spans="1:28" ht="15" customHeight="1">
      <c r="A779" s="290"/>
      <c r="C779" s="15">
        <v>52</v>
      </c>
      <c r="D779" s="2">
        <v>20047</v>
      </c>
      <c r="E779" s="2" t="s">
        <v>1795</v>
      </c>
      <c r="F779" s="3">
        <v>29408148800519</v>
      </c>
      <c r="G779" s="2" t="s">
        <v>34</v>
      </c>
      <c r="H779" s="2" t="s">
        <v>1807</v>
      </c>
      <c r="I779" s="2" t="s">
        <v>66</v>
      </c>
      <c r="J779" s="4">
        <v>43120</v>
      </c>
      <c r="K779" s="15" t="s">
        <v>8</v>
      </c>
      <c r="L779" s="15" t="s">
        <v>12</v>
      </c>
      <c r="W779" s="16" t="s">
        <v>60</v>
      </c>
      <c r="Y779" s="7">
        <v>43146</v>
      </c>
      <c r="Z779" s="16" t="s">
        <v>66</v>
      </c>
      <c r="AA779" s="7">
        <v>43150</v>
      </c>
    </row>
    <row r="780" spans="1:28" ht="15" customHeight="1">
      <c r="A780" s="290"/>
      <c r="C780" s="15">
        <v>52</v>
      </c>
      <c r="D780" s="2">
        <v>20048</v>
      </c>
      <c r="E780" s="2" t="s">
        <v>1799</v>
      </c>
      <c r="F780" s="3">
        <v>29207212100121</v>
      </c>
      <c r="G780" s="2" t="s">
        <v>34</v>
      </c>
      <c r="H780" s="2" t="s">
        <v>1810</v>
      </c>
      <c r="I780" s="2" t="s">
        <v>66</v>
      </c>
      <c r="J780" s="4">
        <v>43120</v>
      </c>
      <c r="K780" s="15" t="s">
        <v>8</v>
      </c>
      <c r="L780" s="15" t="s">
        <v>12</v>
      </c>
      <c r="W780" s="16" t="s">
        <v>61</v>
      </c>
      <c r="X780" s="16" t="s">
        <v>66</v>
      </c>
      <c r="Y780" s="7">
        <v>43146</v>
      </c>
      <c r="Z780" s="16" t="s">
        <v>66</v>
      </c>
      <c r="AA780" s="7">
        <v>43174</v>
      </c>
      <c r="AB780" s="2" t="s">
        <v>3178</v>
      </c>
    </row>
    <row r="781" spans="1:28" ht="15" customHeight="1">
      <c r="A781" s="290"/>
      <c r="C781" s="16">
        <v>52</v>
      </c>
      <c r="D781" s="16">
        <v>20049</v>
      </c>
      <c r="E781" s="16" t="s">
        <v>1798</v>
      </c>
      <c r="F781" s="3">
        <v>29412082100682</v>
      </c>
      <c r="G781" s="16" t="s">
        <v>34</v>
      </c>
      <c r="H781" s="16" t="s">
        <v>1810</v>
      </c>
      <c r="I781" s="16" t="s">
        <v>66</v>
      </c>
      <c r="J781" s="45">
        <v>43120</v>
      </c>
      <c r="K781" s="16" t="s">
        <v>8</v>
      </c>
      <c r="L781" s="16" t="s">
        <v>12</v>
      </c>
      <c r="M781" s="16"/>
      <c r="N781" s="16"/>
      <c r="W781" s="16" t="s">
        <v>61</v>
      </c>
      <c r="X781" s="16" t="s">
        <v>66</v>
      </c>
      <c r="Y781" s="45">
        <v>43146</v>
      </c>
      <c r="Z781" s="16" t="s">
        <v>66</v>
      </c>
      <c r="AA781" s="45">
        <v>43156</v>
      </c>
      <c r="AB781" s="16"/>
    </row>
    <row r="782" spans="1:28" ht="15" customHeight="1">
      <c r="A782" s="290"/>
      <c r="C782" s="15">
        <v>52</v>
      </c>
      <c r="D782" s="2">
        <v>20050</v>
      </c>
      <c r="E782" s="2" t="s">
        <v>1791</v>
      </c>
      <c r="F782" s="3" t="s">
        <v>1792</v>
      </c>
      <c r="G782" s="16" t="s">
        <v>3636</v>
      </c>
      <c r="H782" s="2" t="s">
        <v>1804</v>
      </c>
      <c r="I782" s="2" t="s">
        <v>66</v>
      </c>
      <c r="J782" s="4">
        <v>43120</v>
      </c>
      <c r="K782" s="15" t="s">
        <v>8</v>
      </c>
      <c r="L782" s="15" t="s">
        <v>12</v>
      </c>
      <c r="W782" s="16" t="s">
        <v>60</v>
      </c>
      <c r="Y782" s="7">
        <v>43146</v>
      </c>
      <c r="Z782" s="16" t="s">
        <v>66</v>
      </c>
      <c r="AA782" s="7">
        <v>43150</v>
      </c>
    </row>
    <row r="783" spans="1:28" ht="15" customHeight="1">
      <c r="A783" s="290"/>
      <c r="C783" s="15">
        <v>52</v>
      </c>
      <c r="D783" s="2">
        <v>20051</v>
      </c>
      <c r="E783" s="2" t="s">
        <v>1801</v>
      </c>
      <c r="F783" s="3">
        <v>28001262100083</v>
      </c>
      <c r="G783" s="2" t="s">
        <v>34</v>
      </c>
      <c r="H783" s="2" t="s">
        <v>1805</v>
      </c>
      <c r="I783" s="2" t="s">
        <v>66</v>
      </c>
      <c r="J783" s="4">
        <v>43120</v>
      </c>
      <c r="K783" s="15" t="s">
        <v>8</v>
      </c>
      <c r="L783" s="15" t="s">
        <v>12</v>
      </c>
      <c r="W783" s="16" t="s">
        <v>62</v>
      </c>
      <c r="X783" s="16" t="s">
        <v>66</v>
      </c>
      <c r="Y783" s="7">
        <v>43146</v>
      </c>
      <c r="Z783" s="16" t="s">
        <v>66</v>
      </c>
      <c r="AA783" s="7">
        <v>43152</v>
      </c>
      <c r="AB783" s="2" t="s">
        <v>6590</v>
      </c>
    </row>
    <row r="784" spans="1:28" ht="15" customHeight="1">
      <c r="A784" s="290"/>
      <c r="C784" s="15">
        <v>52</v>
      </c>
      <c r="D784" s="2">
        <v>20052</v>
      </c>
      <c r="E784" s="2" t="s">
        <v>1793</v>
      </c>
      <c r="F784" s="3">
        <v>29503250101024</v>
      </c>
      <c r="G784" s="2" t="s">
        <v>34</v>
      </c>
      <c r="I784" s="2" t="s">
        <v>66</v>
      </c>
      <c r="J784" s="4">
        <v>43120</v>
      </c>
      <c r="K784" s="15" t="s">
        <v>8</v>
      </c>
      <c r="L784" s="15" t="s">
        <v>12</v>
      </c>
      <c r="W784" s="16" t="s">
        <v>60</v>
      </c>
      <c r="X784" s="16" t="s">
        <v>66</v>
      </c>
      <c r="Y784" s="7">
        <v>43146</v>
      </c>
      <c r="Z784" s="16" t="s">
        <v>66</v>
      </c>
      <c r="AA784" s="7">
        <v>43150</v>
      </c>
    </row>
    <row r="785" spans="1:28" ht="15" customHeight="1">
      <c r="A785" s="290"/>
      <c r="C785" s="15">
        <v>52</v>
      </c>
      <c r="D785" s="2">
        <v>20053</v>
      </c>
      <c r="E785" s="2" t="s">
        <v>1794</v>
      </c>
      <c r="F785" s="3">
        <v>28811082102772</v>
      </c>
      <c r="G785" s="2" t="s">
        <v>34</v>
      </c>
      <c r="H785" s="2" t="s">
        <v>1806</v>
      </c>
      <c r="I785" s="2" t="s">
        <v>66</v>
      </c>
      <c r="J785" s="4">
        <v>43120</v>
      </c>
      <c r="K785" s="15" t="s">
        <v>8</v>
      </c>
      <c r="L785" s="15" t="s">
        <v>12</v>
      </c>
      <c r="W785" s="16" t="s">
        <v>61</v>
      </c>
      <c r="Y785" s="7">
        <v>43146</v>
      </c>
      <c r="Z785" s="16" t="s">
        <v>66</v>
      </c>
      <c r="AA785" s="7">
        <v>42863</v>
      </c>
    </row>
    <row r="786" spans="1:28" ht="15" customHeight="1">
      <c r="A786" s="290"/>
      <c r="C786" s="15">
        <v>52</v>
      </c>
      <c r="D786" s="2">
        <v>20054</v>
      </c>
      <c r="E786" s="2" t="s">
        <v>1800</v>
      </c>
      <c r="F786" s="3">
        <v>28809220100391</v>
      </c>
      <c r="G786" s="2" t="s">
        <v>34</v>
      </c>
      <c r="H786" s="2" t="s">
        <v>1811</v>
      </c>
      <c r="I786" s="2" t="s">
        <v>66</v>
      </c>
      <c r="J786" s="4">
        <v>43120</v>
      </c>
      <c r="K786" s="15" t="s">
        <v>8</v>
      </c>
      <c r="L786" s="15" t="s">
        <v>12</v>
      </c>
      <c r="W786" s="16" t="s">
        <v>63</v>
      </c>
      <c r="Y786" s="7">
        <v>43146</v>
      </c>
      <c r="Z786" s="16" t="s">
        <v>67</v>
      </c>
      <c r="AA786" s="7" t="s">
        <v>3111</v>
      </c>
    </row>
    <row r="787" spans="1:28" ht="15" customHeight="1">
      <c r="A787" s="290"/>
      <c r="C787" s="15">
        <v>52</v>
      </c>
      <c r="D787" s="2">
        <v>20055</v>
      </c>
      <c r="E787" s="2" t="s">
        <v>1790</v>
      </c>
      <c r="F787" s="3">
        <v>29402042100919</v>
      </c>
      <c r="G787" s="16" t="s">
        <v>3636</v>
      </c>
      <c r="H787" s="2" t="s">
        <v>1803</v>
      </c>
      <c r="I787" s="2" t="s">
        <v>66</v>
      </c>
      <c r="J787" s="4">
        <v>43120</v>
      </c>
      <c r="K787" s="15" t="s">
        <v>8</v>
      </c>
      <c r="L787" s="15" t="s">
        <v>12</v>
      </c>
      <c r="W787" s="16" t="s">
        <v>60</v>
      </c>
      <c r="X787" s="16" t="s">
        <v>66</v>
      </c>
      <c r="Y787" s="7">
        <v>43146</v>
      </c>
      <c r="Z787" s="16" t="s">
        <v>66</v>
      </c>
      <c r="AA787" s="7">
        <v>43167</v>
      </c>
    </row>
    <row r="788" spans="1:28" ht="15.75" customHeight="1" thickBot="1">
      <c r="A788" s="291"/>
      <c r="C788" s="28">
        <v>52</v>
      </c>
      <c r="D788" s="28">
        <v>20056</v>
      </c>
      <c r="E788" s="28" t="s">
        <v>1802</v>
      </c>
      <c r="F788" s="29">
        <v>29507130104238</v>
      </c>
      <c r="G788" s="28" t="s">
        <v>34</v>
      </c>
      <c r="H788" s="28" t="s">
        <v>1812</v>
      </c>
      <c r="I788" s="28" t="s">
        <v>66</v>
      </c>
      <c r="J788" s="30">
        <v>43120</v>
      </c>
      <c r="K788" s="28" t="s">
        <v>8</v>
      </c>
      <c r="L788" s="28" t="s">
        <v>12</v>
      </c>
      <c r="M788" s="28"/>
      <c r="N788" s="28"/>
      <c r="O788" s="226"/>
      <c r="P788" s="28"/>
      <c r="Q788" s="226"/>
      <c r="R788" s="28"/>
      <c r="S788" s="28"/>
      <c r="T788" s="28"/>
      <c r="U788" s="28"/>
      <c r="V788" s="28"/>
      <c r="W788" s="28" t="s">
        <v>60</v>
      </c>
      <c r="X788" s="28"/>
      <c r="Y788" s="30">
        <v>43146</v>
      </c>
      <c r="Z788" s="28" t="s">
        <v>66</v>
      </c>
      <c r="AA788" s="30">
        <v>43122</v>
      </c>
      <c r="AB788" s="28"/>
    </row>
    <row r="789" spans="1:28" ht="15.75" customHeight="1" thickTop="1">
      <c r="A789" s="289" t="s">
        <v>3124</v>
      </c>
      <c r="C789" s="16">
        <v>53</v>
      </c>
      <c r="D789" s="16">
        <v>20057</v>
      </c>
      <c r="E789" s="16" t="s">
        <v>1767</v>
      </c>
      <c r="F789" s="3">
        <v>29211292102445</v>
      </c>
      <c r="G789" s="16" t="s">
        <v>1152</v>
      </c>
      <c r="H789" s="16" t="s">
        <v>1779</v>
      </c>
      <c r="I789" s="16" t="s">
        <v>66</v>
      </c>
      <c r="J789" s="45">
        <v>43127</v>
      </c>
      <c r="K789" s="16" t="s">
        <v>8</v>
      </c>
      <c r="L789" s="16" t="s">
        <v>12</v>
      </c>
      <c r="M789" s="16"/>
      <c r="N789" s="16"/>
      <c r="W789" s="16" t="s">
        <v>61</v>
      </c>
      <c r="X789" s="16"/>
      <c r="Y789" s="45">
        <v>43153</v>
      </c>
      <c r="Z789" s="16" t="s">
        <v>66</v>
      </c>
      <c r="AA789" s="45">
        <v>43142</v>
      </c>
      <c r="AB789" s="16" t="s">
        <v>5187</v>
      </c>
    </row>
    <row r="790" spans="1:28" ht="15" customHeight="1">
      <c r="A790" s="290"/>
      <c r="C790" s="15">
        <v>53</v>
      </c>
      <c r="D790" s="2">
        <v>20058</v>
      </c>
      <c r="E790" s="2" t="s">
        <v>1768</v>
      </c>
      <c r="F790" s="3">
        <v>28602122103434</v>
      </c>
      <c r="G790" s="2" t="s">
        <v>1152</v>
      </c>
      <c r="H790" s="2" t="s">
        <v>1780</v>
      </c>
      <c r="I790" s="2" t="s">
        <v>66</v>
      </c>
      <c r="J790" s="4">
        <v>43127</v>
      </c>
      <c r="K790" s="15" t="s">
        <v>8</v>
      </c>
      <c r="L790" s="15" t="s">
        <v>12</v>
      </c>
      <c r="W790" s="16" t="s">
        <v>62</v>
      </c>
      <c r="Y790" s="7">
        <v>43153</v>
      </c>
      <c r="Z790" s="16" t="s">
        <v>66</v>
      </c>
      <c r="AA790" s="7">
        <v>43158</v>
      </c>
    </row>
    <row r="791" spans="1:28" ht="15" customHeight="1">
      <c r="A791" s="290"/>
      <c r="C791" s="15">
        <v>53</v>
      </c>
      <c r="D791" s="2">
        <v>20059</v>
      </c>
      <c r="E791" s="2" t="s">
        <v>1769</v>
      </c>
      <c r="F791" s="3">
        <v>29008022103032</v>
      </c>
      <c r="G791" s="2" t="s">
        <v>1152</v>
      </c>
      <c r="H791" s="2" t="s">
        <v>1781</v>
      </c>
      <c r="I791" s="2" t="s">
        <v>66</v>
      </c>
      <c r="J791" s="4">
        <v>43127</v>
      </c>
      <c r="K791" s="15" t="s">
        <v>8</v>
      </c>
      <c r="L791" s="15" t="s">
        <v>12</v>
      </c>
      <c r="W791" s="16" t="s">
        <v>62</v>
      </c>
      <c r="Y791" s="7">
        <v>43153</v>
      </c>
      <c r="Z791" s="16" t="s">
        <v>66</v>
      </c>
      <c r="AA791" s="7">
        <v>43156</v>
      </c>
    </row>
    <row r="792" spans="1:28" ht="15" customHeight="1">
      <c r="A792" s="290"/>
      <c r="C792" s="15">
        <v>53</v>
      </c>
      <c r="D792" s="2">
        <v>20060</v>
      </c>
      <c r="E792" s="2" t="s">
        <v>1770</v>
      </c>
      <c r="F792" s="3">
        <v>28712091100334</v>
      </c>
      <c r="G792" s="2" t="s">
        <v>1152</v>
      </c>
      <c r="H792" s="2" t="s">
        <v>1782</v>
      </c>
      <c r="I792" s="2" t="s">
        <v>66</v>
      </c>
      <c r="J792" s="4">
        <v>43127</v>
      </c>
      <c r="K792" s="15" t="s">
        <v>8</v>
      </c>
      <c r="L792" s="15" t="s">
        <v>12</v>
      </c>
      <c r="W792" s="16" t="s">
        <v>62</v>
      </c>
      <c r="Y792" s="7">
        <v>43153</v>
      </c>
      <c r="Z792" s="16" t="s">
        <v>66</v>
      </c>
      <c r="AA792" s="7">
        <v>43159</v>
      </c>
    </row>
    <row r="793" spans="1:28" ht="15" customHeight="1">
      <c r="A793" s="290"/>
      <c r="C793" s="15">
        <v>53</v>
      </c>
      <c r="D793" s="2">
        <v>20061</v>
      </c>
      <c r="E793" s="2" t="s">
        <v>1771</v>
      </c>
      <c r="F793" s="3">
        <v>29406050100486</v>
      </c>
      <c r="G793" s="2" t="s">
        <v>184</v>
      </c>
      <c r="H793" s="2" t="s">
        <v>1783</v>
      </c>
      <c r="I793" s="2" t="s">
        <v>66</v>
      </c>
      <c r="J793" s="4">
        <v>43127</v>
      </c>
      <c r="K793" s="15" t="s">
        <v>8</v>
      </c>
      <c r="L793" s="15" t="s">
        <v>12</v>
      </c>
      <c r="W793" s="16" t="s">
        <v>60</v>
      </c>
      <c r="Y793" s="7">
        <v>43153</v>
      </c>
      <c r="Z793" s="16" t="s">
        <v>66</v>
      </c>
      <c r="AA793" s="7">
        <v>43159</v>
      </c>
    </row>
    <row r="794" spans="1:28" ht="15" customHeight="1">
      <c r="A794" s="290"/>
      <c r="C794" s="15">
        <v>53</v>
      </c>
      <c r="D794" s="2">
        <v>20062</v>
      </c>
      <c r="E794" s="2" t="s">
        <v>1772</v>
      </c>
      <c r="F794" s="3">
        <v>29403098800855</v>
      </c>
      <c r="G794" s="2" t="s">
        <v>1152</v>
      </c>
      <c r="H794" s="2" t="s">
        <v>1784</v>
      </c>
      <c r="I794" s="2" t="s">
        <v>66</v>
      </c>
      <c r="J794" s="4">
        <v>43127</v>
      </c>
      <c r="K794" s="15" t="s">
        <v>8</v>
      </c>
      <c r="L794" s="15" t="s">
        <v>12</v>
      </c>
      <c r="W794" s="16" t="s">
        <v>60</v>
      </c>
      <c r="Y794" s="7">
        <v>43153</v>
      </c>
      <c r="Z794" s="16" t="s">
        <v>66</v>
      </c>
      <c r="AA794" s="7">
        <v>43159</v>
      </c>
    </row>
    <row r="795" spans="1:28" ht="15" customHeight="1">
      <c r="A795" s="290"/>
      <c r="C795" s="15">
        <v>53</v>
      </c>
      <c r="D795" s="2">
        <v>20063</v>
      </c>
      <c r="E795" s="2" t="s">
        <v>1773</v>
      </c>
      <c r="F795" s="3">
        <v>29706050101818</v>
      </c>
      <c r="G795" s="2" t="s">
        <v>184</v>
      </c>
      <c r="H795" s="2" t="s">
        <v>1785</v>
      </c>
      <c r="I795" s="2" t="s">
        <v>66</v>
      </c>
      <c r="J795" s="4">
        <v>43127</v>
      </c>
      <c r="K795" s="15" t="s">
        <v>8</v>
      </c>
      <c r="L795" s="15" t="s">
        <v>12</v>
      </c>
      <c r="W795" s="16" t="s">
        <v>60</v>
      </c>
      <c r="Y795" s="7">
        <v>43153</v>
      </c>
      <c r="Z795" s="16" t="s">
        <v>66</v>
      </c>
      <c r="AA795" s="7">
        <v>43159</v>
      </c>
    </row>
    <row r="796" spans="1:28" ht="15" customHeight="1">
      <c r="A796" s="290"/>
      <c r="C796" s="15">
        <v>53</v>
      </c>
      <c r="D796" s="2">
        <v>20064</v>
      </c>
      <c r="E796" s="2" t="s">
        <v>1774</v>
      </c>
      <c r="F796" s="3">
        <v>29507140400196</v>
      </c>
      <c r="G796" s="2" t="s">
        <v>1152</v>
      </c>
      <c r="H796" s="2" t="s">
        <v>1786</v>
      </c>
      <c r="I796" s="2" t="s">
        <v>66</v>
      </c>
      <c r="J796" s="4">
        <v>43127</v>
      </c>
      <c r="K796" s="15" t="s">
        <v>8</v>
      </c>
      <c r="L796" s="15" t="s">
        <v>12</v>
      </c>
      <c r="W796" s="16" t="s">
        <v>60</v>
      </c>
      <c r="Y796" s="7">
        <v>43153</v>
      </c>
      <c r="Z796" s="16" t="s">
        <v>66</v>
      </c>
      <c r="AA796" s="7">
        <v>43188</v>
      </c>
    </row>
    <row r="797" spans="1:28" ht="15" customHeight="1">
      <c r="A797" s="290"/>
      <c r="C797" s="16">
        <v>53</v>
      </c>
      <c r="D797" s="16">
        <v>20065</v>
      </c>
      <c r="E797" s="16" t="s">
        <v>1775</v>
      </c>
      <c r="F797" s="3">
        <v>29409088800847</v>
      </c>
      <c r="G797" s="16" t="s">
        <v>1152</v>
      </c>
      <c r="H797" s="16" t="s">
        <v>1787</v>
      </c>
      <c r="I797" s="16" t="s">
        <v>66</v>
      </c>
      <c r="J797" s="45">
        <v>43127</v>
      </c>
      <c r="K797" s="16" t="s">
        <v>8</v>
      </c>
      <c r="L797" s="16" t="s">
        <v>12</v>
      </c>
      <c r="M797" s="16"/>
      <c r="N797" s="16"/>
      <c r="W797" s="16" t="s">
        <v>62</v>
      </c>
      <c r="X797" s="16"/>
      <c r="Y797" s="45">
        <v>43153</v>
      </c>
      <c r="Z797" s="16" t="s">
        <v>66</v>
      </c>
      <c r="AA797" s="45">
        <v>43142</v>
      </c>
      <c r="AB797" s="16"/>
    </row>
    <row r="798" spans="1:28" ht="15" customHeight="1">
      <c r="A798" s="290"/>
      <c r="C798" s="15">
        <v>53</v>
      </c>
      <c r="D798" s="2">
        <v>15346</v>
      </c>
      <c r="E798" s="2" t="s">
        <v>1776</v>
      </c>
      <c r="F798" s="3" t="s">
        <v>1777</v>
      </c>
      <c r="G798" s="2" t="s">
        <v>1152</v>
      </c>
      <c r="H798" s="2" t="s">
        <v>1788</v>
      </c>
      <c r="I798" s="2" t="s">
        <v>67</v>
      </c>
      <c r="J798" s="4">
        <v>43127</v>
      </c>
      <c r="K798" s="15" t="s">
        <v>8</v>
      </c>
      <c r="L798" s="15" t="s">
        <v>12</v>
      </c>
      <c r="Y798" s="7">
        <v>43153</v>
      </c>
      <c r="Z798" s="16" t="s">
        <v>66</v>
      </c>
      <c r="AA798" s="7">
        <v>43135</v>
      </c>
    </row>
    <row r="799" spans="1:28" ht="15.75" customHeight="1" thickBot="1">
      <c r="A799" s="291"/>
      <c r="C799" s="28">
        <v>53</v>
      </c>
      <c r="D799" s="28">
        <v>20066</v>
      </c>
      <c r="E799" s="28" t="s">
        <v>1778</v>
      </c>
      <c r="F799" s="29">
        <v>28611248800113</v>
      </c>
      <c r="G799" s="28" t="s">
        <v>1152</v>
      </c>
      <c r="H799" s="28" t="s">
        <v>1789</v>
      </c>
      <c r="I799" s="28" t="s">
        <v>66</v>
      </c>
      <c r="J799" s="30">
        <v>43127</v>
      </c>
      <c r="K799" s="28" t="s">
        <v>8</v>
      </c>
      <c r="L799" s="28" t="s">
        <v>12</v>
      </c>
      <c r="M799" s="28"/>
      <c r="N799" s="28"/>
      <c r="O799" s="226"/>
      <c r="P799" s="28"/>
      <c r="Q799" s="226"/>
      <c r="R799" s="28"/>
      <c r="S799" s="28"/>
      <c r="T799" s="28"/>
      <c r="U799" s="28"/>
      <c r="V799" s="28"/>
      <c r="W799" s="28" t="s">
        <v>59</v>
      </c>
      <c r="X799" s="28" t="s">
        <v>66</v>
      </c>
      <c r="Y799" s="30">
        <v>43153</v>
      </c>
      <c r="Z799" s="28" t="s">
        <v>67</v>
      </c>
      <c r="AA799" s="30" t="s">
        <v>3111</v>
      </c>
      <c r="AB799" s="28"/>
    </row>
    <row r="800" spans="1:28" ht="15.75" customHeight="1" thickTop="1">
      <c r="A800" s="289" t="s">
        <v>3127</v>
      </c>
      <c r="C800" s="15">
        <v>54</v>
      </c>
      <c r="D800" s="2">
        <v>20071</v>
      </c>
      <c r="E800" s="2" t="s">
        <v>1739</v>
      </c>
      <c r="F800" s="3">
        <v>28910231201841</v>
      </c>
      <c r="G800" s="2" t="s">
        <v>34</v>
      </c>
      <c r="H800" s="2" t="s">
        <v>1754</v>
      </c>
      <c r="I800" s="2" t="s">
        <v>66</v>
      </c>
      <c r="J800" s="4">
        <v>43134</v>
      </c>
      <c r="K800" s="15" t="s">
        <v>8</v>
      </c>
      <c r="L800" s="15" t="s">
        <v>12</v>
      </c>
      <c r="W800" s="16" t="s">
        <v>60</v>
      </c>
      <c r="Y800" s="7">
        <v>43159</v>
      </c>
      <c r="Z800" s="16" t="s">
        <v>66</v>
      </c>
      <c r="AA800" s="7">
        <v>43188</v>
      </c>
    </row>
    <row r="801" spans="1:28" ht="15" customHeight="1">
      <c r="A801" s="290"/>
      <c r="C801" s="16">
        <v>54</v>
      </c>
      <c r="D801" s="16">
        <v>20072</v>
      </c>
      <c r="E801" s="16" t="s">
        <v>1740</v>
      </c>
      <c r="F801" s="3">
        <v>29011131701293</v>
      </c>
      <c r="G801" s="16" t="s">
        <v>34</v>
      </c>
      <c r="H801" s="16" t="s">
        <v>1755</v>
      </c>
      <c r="I801" s="16" t="s">
        <v>66</v>
      </c>
      <c r="J801" s="45">
        <v>43134</v>
      </c>
      <c r="K801" s="16" t="s">
        <v>8</v>
      </c>
      <c r="L801" s="16" t="s">
        <v>12</v>
      </c>
      <c r="M801" s="16"/>
      <c r="N801" s="16"/>
      <c r="W801" s="16" t="s">
        <v>62</v>
      </c>
      <c r="X801" s="16"/>
      <c r="Y801" s="45">
        <v>43159</v>
      </c>
      <c r="Z801" s="16" t="s">
        <v>66</v>
      </c>
      <c r="AA801" s="45">
        <v>43177</v>
      </c>
      <c r="AB801" s="16"/>
    </row>
    <row r="802" spans="1:28" ht="15" customHeight="1">
      <c r="A802" s="290"/>
      <c r="C802" s="15">
        <v>54</v>
      </c>
      <c r="D802" s="2">
        <v>20073</v>
      </c>
      <c r="E802" s="2" t="s">
        <v>1741</v>
      </c>
      <c r="F802" s="3">
        <v>29601282104078</v>
      </c>
      <c r="G802" s="15" t="s">
        <v>34</v>
      </c>
      <c r="H802" s="2" t="s">
        <v>1756</v>
      </c>
      <c r="I802" s="2" t="s">
        <v>66</v>
      </c>
      <c r="J802" s="4">
        <v>43134</v>
      </c>
      <c r="K802" s="15" t="s">
        <v>8</v>
      </c>
      <c r="L802" s="15" t="s">
        <v>12</v>
      </c>
      <c r="W802" s="16" t="s">
        <v>60</v>
      </c>
      <c r="Y802" s="7">
        <v>43159</v>
      </c>
      <c r="Z802" s="16" t="s">
        <v>66</v>
      </c>
      <c r="AA802" s="7">
        <v>43167</v>
      </c>
    </row>
    <row r="803" spans="1:28" ht="15" customHeight="1">
      <c r="A803" s="290"/>
      <c r="C803" s="15">
        <v>54</v>
      </c>
      <c r="D803" s="2">
        <v>20074</v>
      </c>
      <c r="E803" s="2" t="s">
        <v>1742</v>
      </c>
      <c r="F803" s="3">
        <v>29110012127064</v>
      </c>
      <c r="G803" s="2" t="s">
        <v>34</v>
      </c>
      <c r="H803" s="2" t="s">
        <v>1757</v>
      </c>
      <c r="I803" s="15" t="s">
        <v>66</v>
      </c>
      <c r="J803" s="7">
        <v>43134</v>
      </c>
      <c r="K803" s="15" t="s">
        <v>8</v>
      </c>
      <c r="L803" s="15" t="s">
        <v>12</v>
      </c>
      <c r="N803" s="16"/>
      <c r="W803" s="16" t="s">
        <v>62</v>
      </c>
      <c r="Y803" s="7">
        <v>43159</v>
      </c>
      <c r="Z803" s="16" t="s">
        <v>67</v>
      </c>
      <c r="AA803" s="7" t="s">
        <v>3111</v>
      </c>
    </row>
    <row r="804" spans="1:28" ht="15" customHeight="1">
      <c r="A804" s="290"/>
      <c r="C804" s="15">
        <v>54</v>
      </c>
      <c r="D804" s="2">
        <v>20075</v>
      </c>
      <c r="E804" s="2" t="s">
        <v>1743</v>
      </c>
      <c r="F804" s="3">
        <v>29403262101602</v>
      </c>
      <c r="G804" s="2" t="s">
        <v>34</v>
      </c>
      <c r="H804" s="2" t="s">
        <v>1758</v>
      </c>
      <c r="I804" s="15" t="s">
        <v>66</v>
      </c>
      <c r="J804" s="7">
        <v>43134</v>
      </c>
      <c r="K804" s="15" t="s">
        <v>8</v>
      </c>
      <c r="L804" s="15" t="s">
        <v>12</v>
      </c>
      <c r="N804" s="16"/>
      <c r="W804" s="16" t="s">
        <v>60</v>
      </c>
      <c r="Y804" s="7">
        <v>43159</v>
      </c>
      <c r="Z804" s="16" t="s">
        <v>66</v>
      </c>
      <c r="AA804" s="7">
        <v>43167</v>
      </c>
      <c r="AB804" s="2" t="s">
        <v>5647</v>
      </c>
    </row>
    <row r="805" spans="1:28" ht="15" customHeight="1">
      <c r="A805" s="290"/>
      <c r="C805" s="2">
        <v>54</v>
      </c>
      <c r="D805" s="2">
        <v>20076</v>
      </c>
      <c r="E805" s="2" t="s">
        <v>1744</v>
      </c>
      <c r="F805" s="3">
        <v>29502042103238</v>
      </c>
      <c r="G805" s="2" t="s">
        <v>34</v>
      </c>
      <c r="H805" s="2" t="s">
        <v>1759</v>
      </c>
      <c r="I805" s="2" t="s">
        <v>66</v>
      </c>
      <c r="J805" s="4">
        <v>43134</v>
      </c>
      <c r="K805" s="15" t="s">
        <v>8</v>
      </c>
      <c r="L805" s="15" t="s">
        <v>12</v>
      </c>
      <c r="W805" s="16" t="s">
        <v>63</v>
      </c>
      <c r="Y805" s="7">
        <v>43159</v>
      </c>
      <c r="Z805" s="16" t="s">
        <v>67</v>
      </c>
      <c r="AA805" s="7" t="s">
        <v>3111</v>
      </c>
      <c r="AB805" s="2" t="s">
        <v>6785</v>
      </c>
    </row>
    <row r="806" spans="1:28" ht="15" customHeight="1">
      <c r="A806" s="290"/>
      <c r="C806" s="15">
        <v>54</v>
      </c>
      <c r="D806" s="2">
        <v>20077</v>
      </c>
      <c r="E806" s="2" t="s">
        <v>1745</v>
      </c>
      <c r="F806" s="3">
        <v>29506158800071</v>
      </c>
      <c r="G806" s="16" t="s">
        <v>4</v>
      </c>
      <c r="H806" s="2" t="s">
        <v>1760</v>
      </c>
      <c r="I806" s="2" t="s">
        <v>66</v>
      </c>
      <c r="J806" s="4">
        <v>43134</v>
      </c>
      <c r="K806" s="15" t="s">
        <v>8</v>
      </c>
      <c r="L806" s="15" t="s">
        <v>12</v>
      </c>
      <c r="W806" s="16" t="s">
        <v>62</v>
      </c>
      <c r="Y806" s="7">
        <v>43159</v>
      </c>
      <c r="Z806" s="16" t="s">
        <v>66</v>
      </c>
      <c r="AA806" s="7">
        <v>43284</v>
      </c>
    </row>
    <row r="807" spans="1:28" ht="15" customHeight="1">
      <c r="A807" s="290"/>
      <c r="C807" s="15">
        <v>54</v>
      </c>
      <c r="D807" s="2">
        <v>20078</v>
      </c>
      <c r="E807" s="2" t="s">
        <v>1746</v>
      </c>
      <c r="F807" s="3" t="s">
        <v>1747</v>
      </c>
      <c r="G807" s="16" t="s">
        <v>3636</v>
      </c>
      <c r="H807" s="2" t="s">
        <v>1761</v>
      </c>
      <c r="I807" s="2" t="s">
        <v>66</v>
      </c>
      <c r="J807" s="4">
        <v>43134</v>
      </c>
      <c r="K807" s="15" t="s">
        <v>8</v>
      </c>
      <c r="L807" s="15" t="s">
        <v>12</v>
      </c>
      <c r="W807" s="16" t="s">
        <v>62</v>
      </c>
      <c r="Y807" s="7">
        <v>43159</v>
      </c>
      <c r="Z807" s="16" t="s">
        <v>66</v>
      </c>
      <c r="AA807" s="7">
        <v>43177</v>
      </c>
    </row>
    <row r="808" spans="1:28" ht="15" customHeight="1">
      <c r="A808" s="290"/>
      <c r="C808" s="15">
        <v>54</v>
      </c>
      <c r="D808" s="2">
        <v>20079</v>
      </c>
      <c r="E808" s="2" t="s">
        <v>1748</v>
      </c>
      <c r="F808" s="3">
        <v>29505150101071</v>
      </c>
      <c r="G808" s="2" t="s">
        <v>34</v>
      </c>
      <c r="H808" s="2" t="s">
        <v>1762</v>
      </c>
      <c r="I808" s="2" t="s">
        <v>66</v>
      </c>
      <c r="J808" s="4">
        <v>43134</v>
      </c>
      <c r="K808" s="15" t="s">
        <v>8</v>
      </c>
      <c r="L808" s="15" t="s">
        <v>12</v>
      </c>
      <c r="W808" s="16" t="s">
        <v>60</v>
      </c>
      <c r="Y808" s="7">
        <v>43159</v>
      </c>
      <c r="Z808" s="16" t="s">
        <v>66</v>
      </c>
      <c r="AA808" s="7">
        <v>43167</v>
      </c>
    </row>
    <row r="809" spans="1:28" ht="15" customHeight="1">
      <c r="A809" s="290"/>
      <c r="C809" s="15">
        <v>54</v>
      </c>
      <c r="D809" s="2">
        <v>20080</v>
      </c>
      <c r="E809" s="2" t="s">
        <v>1749</v>
      </c>
      <c r="F809" s="3">
        <v>29312020100819</v>
      </c>
      <c r="G809" s="16" t="s">
        <v>4</v>
      </c>
      <c r="H809" s="2" t="s">
        <v>1763</v>
      </c>
      <c r="I809" s="2" t="s">
        <v>66</v>
      </c>
      <c r="J809" s="4">
        <v>43134</v>
      </c>
      <c r="K809" s="15" t="s">
        <v>8</v>
      </c>
      <c r="L809" s="15" t="s">
        <v>12</v>
      </c>
      <c r="W809" s="16" t="s">
        <v>60</v>
      </c>
      <c r="Y809" s="7">
        <v>43159</v>
      </c>
      <c r="Z809" s="16" t="s">
        <v>66</v>
      </c>
      <c r="AA809" s="7">
        <v>43167</v>
      </c>
    </row>
    <row r="810" spans="1:28" ht="15" customHeight="1">
      <c r="A810" s="290"/>
      <c r="C810" s="16">
        <v>54</v>
      </c>
      <c r="D810" s="16">
        <v>20081</v>
      </c>
      <c r="E810" s="16" t="s">
        <v>1750</v>
      </c>
      <c r="F810" s="3">
        <v>29508210103522</v>
      </c>
      <c r="G810" s="16" t="s">
        <v>1152</v>
      </c>
      <c r="H810" s="16" t="s">
        <v>1764</v>
      </c>
      <c r="I810" s="16" t="s">
        <v>66</v>
      </c>
      <c r="J810" s="45">
        <v>43134</v>
      </c>
      <c r="K810" s="16" t="s">
        <v>8</v>
      </c>
      <c r="L810" s="16" t="s">
        <v>12</v>
      </c>
      <c r="M810" s="16"/>
      <c r="N810" s="16"/>
      <c r="W810" s="16" t="s">
        <v>61</v>
      </c>
      <c r="X810" s="16"/>
      <c r="Y810" s="45">
        <v>43159</v>
      </c>
      <c r="Z810" s="16" t="s">
        <v>66</v>
      </c>
      <c r="AA810" s="45">
        <v>43186</v>
      </c>
      <c r="AB810" s="16"/>
    </row>
    <row r="811" spans="1:28" ht="15" customHeight="1">
      <c r="A811" s="290"/>
      <c r="C811" s="15">
        <v>54</v>
      </c>
      <c r="D811" s="2">
        <v>20082</v>
      </c>
      <c r="E811" s="2" t="s">
        <v>1751</v>
      </c>
      <c r="F811" s="3">
        <v>29507110102701</v>
      </c>
      <c r="G811" s="2" t="s">
        <v>1152</v>
      </c>
      <c r="H811" s="2" t="s">
        <v>1765</v>
      </c>
      <c r="I811" s="2" t="s">
        <v>66</v>
      </c>
      <c r="J811" s="4">
        <v>43134</v>
      </c>
      <c r="K811" s="15" t="s">
        <v>8</v>
      </c>
      <c r="L811" s="15" t="s">
        <v>12</v>
      </c>
      <c r="W811" s="16" t="s">
        <v>62</v>
      </c>
      <c r="Y811" s="7">
        <v>43159</v>
      </c>
      <c r="Z811" s="16" t="s">
        <v>66</v>
      </c>
      <c r="AA811" s="7">
        <v>43226</v>
      </c>
    </row>
    <row r="812" spans="1:28" ht="15.75" customHeight="1" thickBot="1">
      <c r="A812" s="291"/>
      <c r="C812" s="28">
        <v>54</v>
      </c>
      <c r="D812" s="28">
        <v>7459</v>
      </c>
      <c r="E812" s="28" t="s">
        <v>1752</v>
      </c>
      <c r="F812" s="29">
        <v>28708151402052</v>
      </c>
      <c r="G812" s="28" t="s">
        <v>1152</v>
      </c>
      <c r="H812" s="28" t="s">
        <v>1766</v>
      </c>
      <c r="I812" s="28" t="s">
        <v>67</v>
      </c>
      <c r="J812" s="30">
        <v>43134</v>
      </c>
      <c r="K812" s="28" t="s">
        <v>8</v>
      </c>
      <c r="L812" s="28" t="s">
        <v>12</v>
      </c>
      <c r="M812" s="28"/>
      <c r="N812" s="28"/>
      <c r="O812" s="226"/>
      <c r="P812" s="28"/>
      <c r="Q812" s="226"/>
      <c r="R812" s="28"/>
      <c r="S812" s="28"/>
      <c r="T812" s="28"/>
      <c r="U812" s="28"/>
      <c r="V812" s="28"/>
      <c r="W812" s="28" t="s">
        <v>61</v>
      </c>
      <c r="X812" s="28"/>
      <c r="Y812" s="30">
        <v>43159</v>
      </c>
      <c r="Z812" s="28" t="s">
        <v>66</v>
      </c>
      <c r="AA812" s="30">
        <v>43174</v>
      </c>
      <c r="AB812" s="28"/>
    </row>
    <row r="813" spans="1:28" ht="15.75" customHeight="1" thickTop="1">
      <c r="A813" s="289" t="s">
        <v>3120</v>
      </c>
      <c r="C813" s="15">
        <v>55</v>
      </c>
      <c r="D813" s="16">
        <v>20083</v>
      </c>
      <c r="E813" s="16" t="s">
        <v>1721</v>
      </c>
      <c r="F813" s="3">
        <v>29203090102874</v>
      </c>
      <c r="G813" s="2" t="s">
        <v>184</v>
      </c>
      <c r="H813" s="16" t="s">
        <v>1730</v>
      </c>
      <c r="I813" s="15" t="s">
        <v>66</v>
      </c>
      <c r="J813" s="7">
        <v>43141</v>
      </c>
      <c r="K813" s="15" t="s">
        <v>8</v>
      </c>
      <c r="L813" s="15" t="s">
        <v>12</v>
      </c>
      <c r="N813" s="16"/>
      <c r="W813" s="16" t="s">
        <v>61</v>
      </c>
      <c r="Y813" s="7">
        <v>43170</v>
      </c>
      <c r="Z813" s="16" t="s">
        <v>66</v>
      </c>
      <c r="AA813" s="7">
        <v>43174</v>
      </c>
      <c r="AB813" s="2" t="s">
        <v>3178</v>
      </c>
    </row>
    <row r="814" spans="1:28" ht="15" customHeight="1">
      <c r="A814" s="290"/>
      <c r="C814" s="15">
        <v>55</v>
      </c>
      <c r="D814" s="16">
        <v>20084</v>
      </c>
      <c r="E814" s="16" t="s">
        <v>1722</v>
      </c>
      <c r="F814" s="3">
        <v>29210151602693</v>
      </c>
      <c r="G814" s="2" t="s">
        <v>34</v>
      </c>
      <c r="H814" s="16" t="s">
        <v>1731</v>
      </c>
      <c r="I814" s="15" t="s">
        <v>66</v>
      </c>
      <c r="J814" s="7">
        <v>43141</v>
      </c>
      <c r="K814" s="15" t="s">
        <v>8</v>
      </c>
      <c r="L814" s="15" t="s">
        <v>12</v>
      </c>
      <c r="N814" s="16"/>
      <c r="W814" s="16" t="s">
        <v>61</v>
      </c>
      <c r="Y814" s="7">
        <v>43170</v>
      </c>
      <c r="Z814" s="16" t="s">
        <v>66</v>
      </c>
      <c r="AA814" s="7">
        <v>43184</v>
      </c>
      <c r="AB814" s="2" t="s">
        <v>4998</v>
      </c>
    </row>
    <row r="815" spans="1:28" ht="15" customHeight="1">
      <c r="A815" s="290"/>
      <c r="C815" s="15">
        <v>55</v>
      </c>
      <c r="D815" s="16">
        <v>20085</v>
      </c>
      <c r="E815" s="16" t="s">
        <v>1723</v>
      </c>
      <c r="F815" s="3">
        <v>29312250102098</v>
      </c>
      <c r="G815" s="16" t="s">
        <v>34</v>
      </c>
      <c r="H815" s="16" t="s">
        <v>1732</v>
      </c>
      <c r="I815" s="15" t="s">
        <v>66</v>
      </c>
      <c r="J815" s="7">
        <v>43141</v>
      </c>
      <c r="K815" s="15" t="s">
        <v>8</v>
      </c>
      <c r="L815" s="15" t="s">
        <v>12</v>
      </c>
      <c r="N815" s="16"/>
      <c r="W815" s="16" t="s">
        <v>61</v>
      </c>
      <c r="Y815" s="7">
        <v>43170</v>
      </c>
      <c r="Z815" s="16" t="s">
        <v>66</v>
      </c>
      <c r="AA815" s="7">
        <v>43174</v>
      </c>
      <c r="AB815" s="2" t="s">
        <v>6920</v>
      </c>
    </row>
    <row r="816" spans="1:28" ht="15" customHeight="1">
      <c r="A816" s="290"/>
      <c r="C816" s="2">
        <v>55</v>
      </c>
      <c r="D816" s="16">
        <v>20086</v>
      </c>
      <c r="E816" s="16" t="s">
        <v>1724</v>
      </c>
      <c r="F816" s="3">
        <v>29305260101221</v>
      </c>
      <c r="G816" s="2" t="s">
        <v>34</v>
      </c>
      <c r="H816" s="16" t="s">
        <v>1733</v>
      </c>
      <c r="I816" s="2" t="s">
        <v>66</v>
      </c>
      <c r="J816" s="4">
        <v>43141</v>
      </c>
      <c r="K816" s="15" t="s">
        <v>8</v>
      </c>
      <c r="L816" s="15" t="s">
        <v>12</v>
      </c>
      <c r="W816" s="16" t="s">
        <v>62</v>
      </c>
      <c r="Y816" s="7">
        <v>43170</v>
      </c>
      <c r="Z816" s="16" t="s">
        <v>66</v>
      </c>
      <c r="AA816" s="7">
        <v>43079</v>
      </c>
    </row>
    <row r="817" spans="1:28" ht="15" customHeight="1">
      <c r="A817" s="290"/>
      <c r="C817" s="15">
        <v>55</v>
      </c>
      <c r="D817" s="16">
        <v>20087</v>
      </c>
      <c r="E817" s="16" t="s">
        <v>1725</v>
      </c>
      <c r="F817" s="3">
        <v>29309232100982</v>
      </c>
      <c r="G817" s="16" t="s">
        <v>34</v>
      </c>
      <c r="H817" s="16" t="s">
        <v>1734</v>
      </c>
      <c r="I817" s="2" t="s">
        <v>66</v>
      </c>
      <c r="J817" s="4">
        <v>43141</v>
      </c>
      <c r="K817" s="15" t="s">
        <v>8</v>
      </c>
      <c r="L817" s="15" t="s">
        <v>12</v>
      </c>
      <c r="W817" s="16" t="s">
        <v>60</v>
      </c>
      <c r="Y817" s="7">
        <v>43170</v>
      </c>
      <c r="Z817" s="16" t="s">
        <v>66</v>
      </c>
      <c r="AA817" s="7">
        <v>43178</v>
      </c>
    </row>
    <row r="818" spans="1:28" ht="15" customHeight="1">
      <c r="A818" s="290"/>
      <c r="C818" s="15">
        <v>55</v>
      </c>
      <c r="D818" s="16">
        <v>20088</v>
      </c>
      <c r="E818" s="16" t="s">
        <v>1726</v>
      </c>
      <c r="F818" s="3">
        <v>27604198800257</v>
      </c>
      <c r="G818" s="16" t="s">
        <v>34</v>
      </c>
      <c r="H818" s="16" t="s">
        <v>1735</v>
      </c>
      <c r="I818" s="2" t="s">
        <v>66</v>
      </c>
      <c r="J818" s="4">
        <v>43141</v>
      </c>
      <c r="K818" s="15" t="s">
        <v>8</v>
      </c>
      <c r="L818" s="15" t="s">
        <v>12</v>
      </c>
      <c r="W818" s="16" t="s">
        <v>60</v>
      </c>
      <c r="Y818" s="7">
        <v>43170</v>
      </c>
      <c r="Z818" s="16" t="s">
        <v>66</v>
      </c>
      <c r="AA818" s="7">
        <v>43177</v>
      </c>
    </row>
    <row r="819" spans="1:28" ht="15" customHeight="1">
      <c r="A819" s="290"/>
      <c r="C819" s="15">
        <v>55</v>
      </c>
      <c r="D819" s="16">
        <v>20089</v>
      </c>
      <c r="E819" s="16" t="s">
        <v>1727</v>
      </c>
      <c r="F819" s="3">
        <v>29407010209457</v>
      </c>
      <c r="G819" s="16" t="s">
        <v>34</v>
      </c>
      <c r="H819" s="16" t="s">
        <v>1736</v>
      </c>
      <c r="I819" s="2" t="s">
        <v>66</v>
      </c>
      <c r="J819" s="4">
        <v>43141</v>
      </c>
      <c r="K819" s="15" t="s">
        <v>8</v>
      </c>
      <c r="L819" s="15" t="s">
        <v>12</v>
      </c>
      <c r="W819" s="16" t="s">
        <v>60</v>
      </c>
      <c r="X819" s="2" t="s">
        <v>66</v>
      </c>
      <c r="Y819" s="7">
        <v>43170</v>
      </c>
      <c r="Z819" s="16" t="s">
        <v>66</v>
      </c>
      <c r="AA819" s="7">
        <v>43212</v>
      </c>
      <c r="AB819" s="2" t="s">
        <v>3177</v>
      </c>
    </row>
    <row r="820" spans="1:28" ht="15" customHeight="1">
      <c r="A820" s="290"/>
      <c r="C820" s="15">
        <v>55</v>
      </c>
      <c r="D820" s="16">
        <v>20090</v>
      </c>
      <c r="E820" s="16" t="s">
        <v>1728</v>
      </c>
      <c r="F820" s="3">
        <v>488442916</v>
      </c>
      <c r="G820" s="2" t="s">
        <v>184</v>
      </c>
      <c r="H820" s="16" t="s">
        <v>1737</v>
      </c>
      <c r="I820" s="2" t="s">
        <v>66</v>
      </c>
      <c r="J820" s="4">
        <v>43141</v>
      </c>
      <c r="K820" s="15" t="s">
        <v>8</v>
      </c>
      <c r="L820" s="15" t="s">
        <v>12</v>
      </c>
      <c r="W820" s="16" t="s">
        <v>60</v>
      </c>
      <c r="Y820" s="7">
        <v>43170</v>
      </c>
      <c r="Z820" s="16" t="s">
        <v>67</v>
      </c>
      <c r="AA820" s="7" t="s">
        <v>3111</v>
      </c>
    </row>
    <row r="821" spans="1:28" ht="15.75" customHeight="1" thickBot="1">
      <c r="A821" s="291"/>
      <c r="C821" s="28">
        <v>55</v>
      </c>
      <c r="D821" s="28">
        <v>5771</v>
      </c>
      <c r="E821" s="28" t="s">
        <v>1729</v>
      </c>
      <c r="F821" s="29">
        <v>28904142101973</v>
      </c>
      <c r="G821" s="28" t="s">
        <v>34</v>
      </c>
      <c r="H821" s="28" t="s">
        <v>1738</v>
      </c>
      <c r="I821" s="28" t="s">
        <v>67</v>
      </c>
      <c r="J821" s="30">
        <v>43141</v>
      </c>
      <c r="K821" s="28" t="s">
        <v>8</v>
      </c>
      <c r="L821" s="28" t="s">
        <v>12</v>
      </c>
      <c r="M821" s="28"/>
      <c r="N821" s="28"/>
      <c r="O821" s="226"/>
      <c r="P821" s="28"/>
      <c r="Q821" s="226"/>
      <c r="R821" s="28"/>
      <c r="S821" s="28"/>
      <c r="T821" s="28"/>
      <c r="U821" s="28"/>
      <c r="V821" s="28"/>
      <c r="W821" s="28" t="s">
        <v>61</v>
      </c>
      <c r="X821" s="28"/>
      <c r="Y821" s="30">
        <v>43170</v>
      </c>
      <c r="Z821" s="28" t="s">
        <v>66</v>
      </c>
      <c r="AA821" s="30">
        <v>43186</v>
      </c>
      <c r="AB821" s="28"/>
    </row>
    <row r="822" spans="1:28" ht="15.75" customHeight="1" thickTop="1">
      <c r="A822" s="289" t="s">
        <v>3129</v>
      </c>
      <c r="C822" s="16">
        <v>56</v>
      </c>
      <c r="D822" s="16">
        <v>20093</v>
      </c>
      <c r="E822" s="16" t="s">
        <v>1694</v>
      </c>
      <c r="F822" s="3">
        <v>29105210102448</v>
      </c>
      <c r="G822" s="16" t="s">
        <v>34</v>
      </c>
      <c r="H822" s="16" t="s">
        <v>1709</v>
      </c>
      <c r="I822" s="16" t="s">
        <v>66</v>
      </c>
      <c r="J822" s="45">
        <v>43148</v>
      </c>
      <c r="K822" s="16" t="s">
        <v>8</v>
      </c>
      <c r="L822" s="16" t="s">
        <v>12</v>
      </c>
      <c r="M822" s="16"/>
      <c r="N822" s="16"/>
      <c r="W822" s="16" t="s">
        <v>111</v>
      </c>
      <c r="X822" s="16"/>
      <c r="Y822" s="45">
        <v>43174</v>
      </c>
      <c r="Z822" s="16" t="s">
        <v>67</v>
      </c>
      <c r="AA822" s="45" t="s">
        <v>3111</v>
      </c>
      <c r="AB822" s="16"/>
    </row>
    <row r="823" spans="1:28" ht="15" customHeight="1">
      <c r="A823" s="290"/>
      <c r="C823" s="16">
        <v>56</v>
      </c>
      <c r="D823" s="16">
        <v>20094</v>
      </c>
      <c r="E823" s="16" t="s">
        <v>1695</v>
      </c>
      <c r="F823" s="3">
        <v>29407250102676</v>
      </c>
      <c r="G823" s="16" t="s">
        <v>34</v>
      </c>
      <c r="H823" s="16" t="s">
        <v>1710</v>
      </c>
      <c r="I823" s="16" t="s">
        <v>66</v>
      </c>
      <c r="J823" s="45">
        <v>43148</v>
      </c>
      <c r="K823" s="16" t="s">
        <v>8</v>
      </c>
      <c r="L823" s="16" t="s">
        <v>12</v>
      </c>
      <c r="M823" s="16"/>
      <c r="N823" s="16"/>
      <c r="W823" s="16" t="s">
        <v>110</v>
      </c>
      <c r="X823" s="16"/>
      <c r="Y823" s="45">
        <v>43174</v>
      </c>
      <c r="Z823" s="16" t="s">
        <v>66</v>
      </c>
      <c r="AA823" s="45">
        <v>43178</v>
      </c>
      <c r="AB823" s="16"/>
    </row>
    <row r="824" spans="1:28" ht="15" customHeight="1">
      <c r="A824" s="290"/>
      <c r="C824" s="15">
        <v>56</v>
      </c>
      <c r="D824" s="2">
        <v>20095</v>
      </c>
      <c r="E824" s="2" t="s">
        <v>1696</v>
      </c>
      <c r="F824" s="3">
        <v>29501150102845</v>
      </c>
      <c r="G824" s="2" t="s">
        <v>34</v>
      </c>
      <c r="H824" s="2" t="s">
        <v>1711</v>
      </c>
      <c r="I824" s="2" t="s">
        <v>66</v>
      </c>
      <c r="J824" s="4">
        <v>43148</v>
      </c>
      <c r="K824" s="15" t="s">
        <v>8</v>
      </c>
      <c r="L824" s="15" t="s">
        <v>12</v>
      </c>
      <c r="W824" s="16" t="s">
        <v>110</v>
      </c>
      <c r="Y824" s="7">
        <v>43174</v>
      </c>
      <c r="Z824" s="16" t="s">
        <v>66</v>
      </c>
      <c r="AA824" s="7">
        <v>43178</v>
      </c>
    </row>
    <row r="825" spans="1:28" ht="15" customHeight="1">
      <c r="A825" s="290"/>
      <c r="C825" s="15">
        <v>56</v>
      </c>
      <c r="D825" s="2">
        <v>20096</v>
      </c>
      <c r="E825" s="2" t="s">
        <v>1697</v>
      </c>
      <c r="F825" s="3" t="s">
        <v>1698</v>
      </c>
      <c r="G825" s="2" t="s">
        <v>34</v>
      </c>
      <c r="H825" s="2" t="s">
        <v>1712</v>
      </c>
      <c r="I825" s="2" t="s">
        <v>66</v>
      </c>
      <c r="J825" s="4">
        <v>43148</v>
      </c>
      <c r="K825" s="15" t="s">
        <v>8</v>
      </c>
      <c r="L825" s="15" t="s">
        <v>12</v>
      </c>
      <c r="W825" s="16" t="s">
        <v>64</v>
      </c>
      <c r="Y825" s="7">
        <v>43174</v>
      </c>
      <c r="Z825" s="16" t="s">
        <v>67</v>
      </c>
      <c r="AA825" s="7" t="s">
        <v>3111</v>
      </c>
    </row>
    <row r="826" spans="1:28" ht="15" customHeight="1">
      <c r="A826" s="290"/>
      <c r="C826" s="15">
        <v>56</v>
      </c>
      <c r="D826" s="2">
        <v>20097</v>
      </c>
      <c r="E826" s="2" t="s">
        <v>1699</v>
      </c>
      <c r="F826" s="3">
        <v>29410012123895</v>
      </c>
      <c r="G826" s="2" t="s">
        <v>34</v>
      </c>
      <c r="H826" s="2" t="s">
        <v>1713</v>
      </c>
      <c r="I826" s="2" t="s">
        <v>66</v>
      </c>
      <c r="J826" s="4">
        <v>43148</v>
      </c>
      <c r="K826" s="15" t="s">
        <v>8</v>
      </c>
      <c r="L826" s="15" t="s">
        <v>12</v>
      </c>
      <c r="W826" s="16" t="s">
        <v>61</v>
      </c>
      <c r="Y826" s="7">
        <v>43174</v>
      </c>
      <c r="Z826" s="16" t="s">
        <v>66</v>
      </c>
      <c r="AA826" s="7">
        <v>43167</v>
      </c>
    </row>
    <row r="827" spans="1:28" ht="15" customHeight="1">
      <c r="A827" s="290"/>
      <c r="C827" s="15">
        <v>56</v>
      </c>
      <c r="D827" s="2">
        <v>20098</v>
      </c>
      <c r="E827" s="2" t="s">
        <v>1700</v>
      </c>
      <c r="F827" s="3">
        <v>29206110100163</v>
      </c>
      <c r="G827" s="2" t="s">
        <v>34</v>
      </c>
      <c r="H827" s="2" t="s">
        <v>1714</v>
      </c>
      <c r="I827" s="2" t="s">
        <v>66</v>
      </c>
      <c r="J827" s="4">
        <v>43148</v>
      </c>
      <c r="K827" s="15" t="s">
        <v>8</v>
      </c>
      <c r="L827" s="15" t="s">
        <v>12</v>
      </c>
      <c r="W827" s="16" t="s">
        <v>110</v>
      </c>
      <c r="Y827" s="7">
        <v>43174</v>
      </c>
      <c r="Z827" s="16" t="s">
        <v>66</v>
      </c>
      <c r="AA827" s="7">
        <v>43178</v>
      </c>
    </row>
    <row r="828" spans="1:28" ht="15" customHeight="1">
      <c r="A828" s="290"/>
      <c r="C828" s="15">
        <v>56</v>
      </c>
      <c r="D828" s="2">
        <v>20099</v>
      </c>
      <c r="E828" s="2" t="s">
        <v>1701</v>
      </c>
      <c r="F828" s="3">
        <v>29105280103565</v>
      </c>
      <c r="G828" s="2" t="s">
        <v>34</v>
      </c>
      <c r="H828" s="2" t="s">
        <v>1715</v>
      </c>
      <c r="I828" s="2" t="s">
        <v>66</v>
      </c>
      <c r="J828" s="4">
        <v>43148</v>
      </c>
      <c r="K828" s="15" t="s">
        <v>8</v>
      </c>
      <c r="L828" s="15" t="s">
        <v>12</v>
      </c>
      <c r="W828" s="16" t="s">
        <v>61</v>
      </c>
      <c r="Y828" s="7">
        <v>43174</v>
      </c>
      <c r="Z828" s="16" t="s">
        <v>67</v>
      </c>
      <c r="AA828" s="7" t="s">
        <v>3111</v>
      </c>
    </row>
    <row r="829" spans="1:28" ht="15" customHeight="1">
      <c r="A829" s="290"/>
      <c r="C829" s="15">
        <v>56</v>
      </c>
      <c r="D829" s="2">
        <v>20100</v>
      </c>
      <c r="E829" s="2" t="s">
        <v>1702</v>
      </c>
      <c r="F829" s="3" t="s">
        <v>1703</v>
      </c>
      <c r="G829" s="2" t="s">
        <v>184</v>
      </c>
      <c r="H829" s="2" t="s">
        <v>1716</v>
      </c>
      <c r="I829" s="2" t="s">
        <v>66</v>
      </c>
      <c r="J829" s="4">
        <v>43148</v>
      </c>
      <c r="K829" s="15" t="s">
        <v>8</v>
      </c>
      <c r="L829" s="15" t="s">
        <v>12</v>
      </c>
      <c r="W829" s="16" t="s">
        <v>64</v>
      </c>
      <c r="Y829" s="7">
        <v>43174</v>
      </c>
      <c r="Z829" s="16" t="s">
        <v>67</v>
      </c>
      <c r="AA829" s="7" t="s">
        <v>3111</v>
      </c>
    </row>
    <row r="830" spans="1:28" ht="15" customHeight="1">
      <c r="A830" s="290"/>
      <c r="C830" s="15">
        <v>56</v>
      </c>
      <c r="D830" s="2">
        <v>20101</v>
      </c>
      <c r="E830" s="2" t="s">
        <v>1704</v>
      </c>
      <c r="F830" s="3">
        <v>29502090102634</v>
      </c>
      <c r="G830" s="2" t="s">
        <v>184</v>
      </c>
      <c r="H830" s="2" t="s">
        <v>1717</v>
      </c>
      <c r="I830" s="2" t="s">
        <v>66</v>
      </c>
      <c r="J830" s="4">
        <v>43148</v>
      </c>
      <c r="K830" s="15" t="s">
        <v>8</v>
      </c>
      <c r="L830" s="15" t="s">
        <v>12</v>
      </c>
      <c r="W830" s="16" t="s">
        <v>62</v>
      </c>
      <c r="Y830" s="7">
        <v>43174</v>
      </c>
      <c r="Z830" s="16" t="s">
        <v>66</v>
      </c>
      <c r="AA830" s="7">
        <v>43177</v>
      </c>
    </row>
    <row r="831" spans="1:28" ht="15" customHeight="1">
      <c r="A831" s="290"/>
      <c r="C831" s="15">
        <v>56</v>
      </c>
      <c r="D831" s="2">
        <v>20102</v>
      </c>
      <c r="E831" s="2" t="s">
        <v>1705</v>
      </c>
      <c r="F831" s="3" t="s">
        <v>1706</v>
      </c>
      <c r="G831" s="2" t="s">
        <v>184</v>
      </c>
      <c r="H831" s="2" t="s">
        <v>1718</v>
      </c>
      <c r="I831" s="2" t="s">
        <v>66</v>
      </c>
      <c r="J831" s="4">
        <v>43148</v>
      </c>
      <c r="K831" s="15" t="s">
        <v>8</v>
      </c>
      <c r="L831" s="15" t="s">
        <v>12</v>
      </c>
      <c r="W831" s="16" t="s">
        <v>63</v>
      </c>
      <c r="Y831" s="7">
        <v>43174</v>
      </c>
      <c r="Z831" s="16" t="s">
        <v>67</v>
      </c>
      <c r="AA831" s="7" t="s">
        <v>3111</v>
      </c>
    </row>
    <row r="832" spans="1:28" ht="15" customHeight="1">
      <c r="A832" s="290"/>
      <c r="C832" s="2">
        <v>56</v>
      </c>
      <c r="D832" s="2">
        <v>20103</v>
      </c>
      <c r="E832" s="2" t="s">
        <v>1707</v>
      </c>
      <c r="F832" s="3">
        <v>29606180101599</v>
      </c>
      <c r="G832" s="2" t="s">
        <v>184</v>
      </c>
      <c r="H832" s="2" t="s">
        <v>1719</v>
      </c>
      <c r="I832" s="16" t="s">
        <v>66</v>
      </c>
      <c r="J832" s="4">
        <v>43148</v>
      </c>
      <c r="K832" s="15" t="s">
        <v>8</v>
      </c>
      <c r="L832" s="15" t="s">
        <v>12</v>
      </c>
      <c r="W832" s="16" t="s">
        <v>110</v>
      </c>
      <c r="Y832" s="7">
        <v>43174</v>
      </c>
      <c r="Z832" s="16" t="s">
        <v>66</v>
      </c>
      <c r="AA832" s="7">
        <v>43178</v>
      </c>
    </row>
    <row r="833" spans="1:28" ht="15.75" customHeight="1" thickBot="1">
      <c r="A833" s="291"/>
      <c r="C833" s="28">
        <v>56</v>
      </c>
      <c r="D833" s="28">
        <v>20104</v>
      </c>
      <c r="E833" s="28" t="s">
        <v>1708</v>
      </c>
      <c r="F833" s="29">
        <v>29306050105581</v>
      </c>
      <c r="G833" s="28" t="s">
        <v>34</v>
      </c>
      <c r="H833" s="28" t="s">
        <v>1720</v>
      </c>
      <c r="I833" s="28" t="s">
        <v>66</v>
      </c>
      <c r="J833" s="30">
        <v>43148</v>
      </c>
      <c r="K833" s="28" t="s">
        <v>8</v>
      </c>
      <c r="L833" s="28" t="s">
        <v>12</v>
      </c>
      <c r="M833" s="28"/>
      <c r="N833" s="28"/>
      <c r="O833" s="226"/>
      <c r="P833" s="28"/>
      <c r="Q833" s="226"/>
      <c r="R833" s="28"/>
      <c r="S833" s="28"/>
      <c r="T833" s="28"/>
      <c r="U833" s="28"/>
      <c r="V833" s="28"/>
      <c r="W833" s="28" t="s">
        <v>63</v>
      </c>
      <c r="X833" s="28"/>
      <c r="Y833" s="30">
        <v>43174</v>
      </c>
      <c r="Z833" s="28" t="s">
        <v>67</v>
      </c>
      <c r="AA833" s="30" t="s">
        <v>3111</v>
      </c>
      <c r="AB833" s="28"/>
    </row>
    <row r="834" spans="1:28" ht="15.75" customHeight="1" thickTop="1">
      <c r="A834" s="289" t="s">
        <v>3122</v>
      </c>
      <c r="C834" s="15">
        <v>57</v>
      </c>
      <c r="D834" s="2">
        <v>20270</v>
      </c>
      <c r="E834" s="2" t="s">
        <v>1661</v>
      </c>
      <c r="F834" s="3">
        <v>29201072100471</v>
      </c>
      <c r="G834" s="2" t="s">
        <v>34</v>
      </c>
      <c r="H834" s="2" t="s">
        <v>1678</v>
      </c>
      <c r="I834" s="16" t="s">
        <v>66</v>
      </c>
      <c r="J834" s="4">
        <v>43162</v>
      </c>
      <c r="K834" s="15" t="s">
        <v>8</v>
      </c>
      <c r="L834" s="15" t="s">
        <v>12</v>
      </c>
      <c r="W834" s="16" t="s">
        <v>63</v>
      </c>
      <c r="Y834" s="7">
        <v>43188</v>
      </c>
      <c r="Z834" s="16" t="s">
        <v>67</v>
      </c>
      <c r="AA834" s="7" t="s">
        <v>3111</v>
      </c>
    </row>
    <row r="835" spans="1:28" ht="15" customHeight="1">
      <c r="A835" s="290"/>
      <c r="C835" s="15">
        <v>57</v>
      </c>
      <c r="D835" s="2">
        <v>20271</v>
      </c>
      <c r="E835" s="2" t="s">
        <v>1662</v>
      </c>
      <c r="F835" s="3">
        <v>29112051701439</v>
      </c>
      <c r="G835" s="2" t="s">
        <v>34</v>
      </c>
      <c r="H835" s="2" t="s">
        <v>1679</v>
      </c>
      <c r="I835" s="16" t="s">
        <v>66</v>
      </c>
      <c r="J835" s="4">
        <v>43162</v>
      </c>
      <c r="K835" s="15" t="s">
        <v>8</v>
      </c>
      <c r="L835" s="15" t="s">
        <v>12</v>
      </c>
      <c r="W835" s="16" t="s">
        <v>60</v>
      </c>
      <c r="Y835" s="7">
        <v>43188</v>
      </c>
      <c r="Z835" s="16" t="s">
        <v>66</v>
      </c>
      <c r="AA835" s="7">
        <v>43188</v>
      </c>
    </row>
    <row r="836" spans="1:28" ht="15" customHeight="1">
      <c r="A836" s="290"/>
      <c r="C836" s="15">
        <v>57</v>
      </c>
      <c r="D836" s="2">
        <v>20272</v>
      </c>
      <c r="E836" s="2" t="s">
        <v>1663</v>
      </c>
      <c r="F836" s="3">
        <v>29203172100969</v>
      </c>
      <c r="G836" s="2" t="s">
        <v>34</v>
      </c>
      <c r="H836" s="2" t="s">
        <v>1680</v>
      </c>
      <c r="I836" s="16" t="s">
        <v>66</v>
      </c>
      <c r="J836" s="4">
        <v>43162</v>
      </c>
      <c r="K836" s="15" t="s">
        <v>8</v>
      </c>
      <c r="L836" s="15" t="s">
        <v>12</v>
      </c>
      <c r="W836" s="16" t="s">
        <v>63</v>
      </c>
      <c r="Y836" s="7">
        <v>43188</v>
      </c>
      <c r="Z836" s="16" t="s">
        <v>67</v>
      </c>
      <c r="AA836" s="7" t="s">
        <v>3111</v>
      </c>
    </row>
    <row r="837" spans="1:28" ht="15" customHeight="1">
      <c r="A837" s="290"/>
      <c r="C837" s="15">
        <v>57</v>
      </c>
      <c r="D837" s="2">
        <v>20273</v>
      </c>
      <c r="E837" s="2" t="s">
        <v>1664</v>
      </c>
      <c r="F837" s="3">
        <v>28410140100918</v>
      </c>
      <c r="G837" s="2" t="s">
        <v>34</v>
      </c>
      <c r="H837" s="2" t="s">
        <v>1681</v>
      </c>
      <c r="I837" s="16" t="s">
        <v>66</v>
      </c>
      <c r="J837" s="4">
        <v>43162</v>
      </c>
      <c r="K837" s="15" t="s">
        <v>8</v>
      </c>
      <c r="L837" s="15" t="s">
        <v>12</v>
      </c>
      <c r="W837" s="16" t="s">
        <v>60</v>
      </c>
      <c r="Y837" s="7">
        <v>43188</v>
      </c>
      <c r="Z837" s="16" t="s">
        <v>66</v>
      </c>
      <c r="AA837" s="7">
        <v>43188</v>
      </c>
    </row>
    <row r="838" spans="1:28" ht="15" customHeight="1">
      <c r="A838" s="290"/>
      <c r="C838" s="15">
        <v>57</v>
      </c>
      <c r="D838" s="2">
        <v>20274</v>
      </c>
      <c r="E838" s="2" t="s">
        <v>1665</v>
      </c>
      <c r="F838" s="3" t="s">
        <v>1666</v>
      </c>
      <c r="G838" s="2" t="s">
        <v>34</v>
      </c>
      <c r="H838" s="2" t="s">
        <v>1682</v>
      </c>
      <c r="I838" s="16" t="s">
        <v>66</v>
      </c>
      <c r="J838" s="4">
        <v>43162</v>
      </c>
      <c r="K838" s="15" t="s">
        <v>8</v>
      </c>
      <c r="L838" s="15" t="s">
        <v>12</v>
      </c>
      <c r="W838" s="16" t="s">
        <v>60</v>
      </c>
      <c r="Y838" s="7">
        <v>43188</v>
      </c>
      <c r="Z838" s="16" t="s">
        <v>66</v>
      </c>
      <c r="AA838" s="7">
        <v>43188</v>
      </c>
    </row>
    <row r="839" spans="1:28" ht="15" customHeight="1">
      <c r="A839" s="290"/>
      <c r="C839" s="15">
        <v>57</v>
      </c>
      <c r="D839" s="2">
        <v>20275</v>
      </c>
      <c r="E839" s="2" t="s">
        <v>1667</v>
      </c>
      <c r="F839" s="3">
        <v>28707162102399</v>
      </c>
      <c r="G839" s="15" t="s">
        <v>34</v>
      </c>
      <c r="H839" s="2" t="s">
        <v>1683</v>
      </c>
      <c r="I839" s="16" t="s">
        <v>66</v>
      </c>
      <c r="J839" s="4">
        <v>43162</v>
      </c>
      <c r="K839" s="15" t="s">
        <v>8</v>
      </c>
      <c r="L839" s="15" t="s">
        <v>12</v>
      </c>
      <c r="W839" s="16" t="s">
        <v>62</v>
      </c>
      <c r="X839" s="2" t="s">
        <v>66</v>
      </c>
      <c r="Y839" s="7">
        <v>43188</v>
      </c>
      <c r="Z839" s="16" t="s">
        <v>66</v>
      </c>
      <c r="AA839" s="7">
        <v>43226</v>
      </c>
    </row>
    <row r="840" spans="1:28" ht="15" customHeight="1">
      <c r="A840" s="290"/>
      <c r="C840" s="15">
        <v>57</v>
      </c>
      <c r="D840" s="2">
        <v>20276</v>
      </c>
      <c r="E840" s="2" t="s">
        <v>1668</v>
      </c>
      <c r="F840" s="3">
        <v>29402022403133</v>
      </c>
      <c r="G840" s="15" t="s">
        <v>34</v>
      </c>
      <c r="H840" s="2" t="s">
        <v>1684</v>
      </c>
      <c r="I840" s="16" t="s">
        <v>66</v>
      </c>
      <c r="J840" s="4">
        <v>43162</v>
      </c>
      <c r="K840" s="15" t="s">
        <v>8</v>
      </c>
      <c r="L840" s="15" t="s">
        <v>12</v>
      </c>
      <c r="W840" s="16" t="s">
        <v>60</v>
      </c>
      <c r="Y840" s="7">
        <v>43188</v>
      </c>
      <c r="Z840" s="16" t="s">
        <v>66</v>
      </c>
      <c r="AA840" s="7">
        <v>43188</v>
      </c>
    </row>
    <row r="841" spans="1:28" ht="15" customHeight="1">
      <c r="A841" s="290"/>
      <c r="C841" s="16">
        <v>57</v>
      </c>
      <c r="D841" s="16">
        <v>20277</v>
      </c>
      <c r="E841" s="16" t="s">
        <v>1669</v>
      </c>
      <c r="F841" s="3">
        <v>29410192701255</v>
      </c>
      <c r="G841" s="16" t="s">
        <v>34</v>
      </c>
      <c r="H841" s="16" t="s">
        <v>1685</v>
      </c>
      <c r="I841" s="16" t="s">
        <v>66</v>
      </c>
      <c r="J841" s="45">
        <v>43162</v>
      </c>
      <c r="K841" s="16" t="s">
        <v>8</v>
      </c>
      <c r="L841" s="16" t="s">
        <v>12</v>
      </c>
      <c r="M841" s="16"/>
      <c r="N841" s="16"/>
      <c r="W841" s="16" t="s">
        <v>60</v>
      </c>
      <c r="X841" s="16"/>
      <c r="Y841" s="45">
        <v>43188</v>
      </c>
      <c r="Z841" s="16" t="s">
        <v>66</v>
      </c>
      <c r="AA841" s="45">
        <v>43188</v>
      </c>
      <c r="AB841" s="16"/>
    </row>
    <row r="842" spans="1:28" ht="15" customHeight="1">
      <c r="A842" s="290"/>
      <c r="C842" s="15">
        <v>57</v>
      </c>
      <c r="D842" s="2">
        <v>20278</v>
      </c>
      <c r="E842" s="2" t="s">
        <v>1670</v>
      </c>
      <c r="F842" s="3">
        <v>29403262101696</v>
      </c>
      <c r="G842" s="15" t="s">
        <v>34</v>
      </c>
      <c r="H842" s="2" t="s">
        <v>1686</v>
      </c>
      <c r="I842" s="16" t="s">
        <v>66</v>
      </c>
      <c r="J842" s="4">
        <v>43162</v>
      </c>
      <c r="K842" s="15" t="s">
        <v>8</v>
      </c>
      <c r="L842" s="15" t="s">
        <v>12</v>
      </c>
      <c r="W842" s="16" t="s">
        <v>60</v>
      </c>
      <c r="Y842" s="7">
        <v>43188</v>
      </c>
      <c r="Z842" s="16" t="s">
        <v>66</v>
      </c>
      <c r="AA842" s="7">
        <v>43184</v>
      </c>
    </row>
    <row r="843" spans="1:28" ht="15" customHeight="1">
      <c r="A843" s="290"/>
      <c r="C843" s="15">
        <v>57</v>
      </c>
      <c r="D843" s="2">
        <v>20279</v>
      </c>
      <c r="E843" s="2" t="s">
        <v>1671</v>
      </c>
      <c r="F843" s="3">
        <v>28805130101732</v>
      </c>
      <c r="G843" s="2" t="s">
        <v>34</v>
      </c>
      <c r="H843" s="2" t="s">
        <v>1687</v>
      </c>
      <c r="I843" s="16" t="s">
        <v>66</v>
      </c>
      <c r="J843" s="4">
        <v>43162</v>
      </c>
      <c r="K843" s="15" t="s">
        <v>8</v>
      </c>
      <c r="L843" s="15" t="s">
        <v>12</v>
      </c>
      <c r="W843" s="16" t="s">
        <v>61</v>
      </c>
      <c r="Y843" s="7">
        <v>43188</v>
      </c>
      <c r="Z843" s="16" t="s">
        <v>66</v>
      </c>
      <c r="AA843" s="7">
        <v>43193</v>
      </c>
    </row>
    <row r="844" spans="1:28" ht="15" customHeight="1">
      <c r="A844" s="290"/>
      <c r="C844" s="16">
        <v>57</v>
      </c>
      <c r="D844" s="16">
        <v>20280</v>
      </c>
      <c r="E844" s="16" t="s">
        <v>1672</v>
      </c>
      <c r="F844" s="3">
        <v>29305120200792</v>
      </c>
      <c r="G844" s="16" t="s">
        <v>34</v>
      </c>
      <c r="H844" s="16" t="s">
        <v>1688</v>
      </c>
      <c r="I844" s="16" t="s">
        <v>66</v>
      </c>
      <c r="J844" s="45">
        <v>43162</v>
      </c>
      <c r="K844" s="16" t="s">
        <v>8</v>
      </c>
      <c r="L844" s="16" t="s">
        <v>12</v>
      </c>
      <c r="M844" s="16"/>
      <c r="N844" s="16"/>
      <c r="W844" s="16" t="s">
        <v>61</v>
      </c>
      <c r="X844" s="16"/>
      <c r="Y844" s="45">
        <v>43188</v>
      </c>
      <c r="Z844" s="16" t="s">
        <v>67</v>
      </c>
      <c r="AA844" s="45" t="s">
        <v>3111</v>
      </c>
      <c r="AB844" s="16"/>
    </row>
    <row r="845" spans="1:28" ht="15" customHeight="1">
      <c r="A845" s="290"/>
      <c r="C845" s="16">
        <v>57</v>
      </c>
      <c r="D845" s="2">
        <v>20281</v>
      </c>
      <c r="E845" s="2" t="s">
        <v>1673</v>
      </c>
      <c r="F845" s="3">
        <v>29211112102752</v>
      </c>
      <c r="G845" s="2" t="s">
        <v>34</v>
      </c>
      <c r="H845" s="2" t="s">
        <v>1689</v>
      </c>
      <c r="I845" s="2" t="s">
        <v>66</v>
      </c>
      <c r="J845" s="4">
        <v>43162</v>
      </c>
      <c r="K845" s="16" t="s">
        <v>8</v>
      </c>
      <c r="L845" s="16" t="s">
        <v>12</v>
      </c>
      <c r="W845" s="16" t="s">
        <v>59</v>
      </c>
      <c r="X845" s="2" t="s">
        <v>66</v>
      </c>
      <c r="Y845" s="7">
        <v>43188</v>
      </c>
      <c r="Z845" s="16" t="s">
        <v>67</v>
      </c>
      <c r="AA845" s="7" t="s">
        <v>3111</v>
      </c>
    </row>
    <row r="846" spans="1:28" ht="15" customHeight="1">
      <c r="A846" s="290"/>
      <c r="C846" s="16">
        <v>57</v>
      </c>
      <c r="D846" s="2">
        <v>20282</v>
      </c>
      <c r="E846" s="2" t="s">
        <v>1674</v>
      </c>
      <c r="F846" s="3">
        <v>29207210100931</v>
      </c>
      <c r="G846" s="2" t="s">
        <v>34</v>
      </c>
      <c r="H846" s="2" t="s">
        <v>1690</v>
      </c>
      <c r="I846" s="2" t="s">
        <v>66</v>
      </c>
      <c r="J846" s="4">
        <v>43162</v>
      </c>
      <c r="K846" s="16" t="s">
        <v>8</v>
      </c>
      <c r="L846" s="16" t="s">
        <v>12</v>
      </c>
      <c r="W846" s="16" t="s">
        <v>60</v>
      </c>
      <c r="Y846" s="7">
        <v>43188</v>
      </c>
      <c r="Z846" s="16" t="s">
        <v>66</v>
      </c>
      <c r="AA846" s="7">
        <v>43188</v>
      </c>
    </row>
    <row r="847" spans="1:28" ht="15" customHeight="1">
      <c r="A847" s="290"/>
      <c r="C847" s="16">
        <v>57</v>
      </c>
      <c r="D847" s="2">
        <v>20283</v>
      </c>
      <c r="E847" s="2" t="s">
        <v>1675</v>
      </c>
      <c r="F847" s="3">
        <v>29601080202051</v>
      </c>
      <c r="G847" s="2" t="s">
        <v>34</v>
      </c>
      <c r="H847" s="2" t="s">
        <v>1691</v>
      </c>
      <c r="I847" s="2" t="s">
        <v>66</v>
      </c>
      <c r="J847" s="4">
        <v>43162</v>
      </c>
      <c r="K847" s="16" t="s">
        <v>8</v>
      </c>
      <c r="L847" s="16" t="s">
        <v>12</v>
      </c>
      <c r="W847" s="16" t="s">
        <v>63</v>
      </c>
      <c r="Y847" s="7">
        <v>43188</v>
      </c>
      <c r="Z847" s="16" t="s">
        <v>67</v>
      </c>
      <c r="AA847" s="7" t="s">
        <v>3111</v>
      </c>
    </row>
    <row r="848" spans="1:28" ht="15" customHeight="1">
      <c r="A848" s="290"/>
      <c r="C848" s="16">
        <v>57</v>
      </c>
      <c r="D848" s="16">
        <v>20284</v>
      </c>
      <c r="E848" s="16" t="s">
        <v>1676</v>
      </c>
      <c r="F848" s="3">
        <v>29601280200339</v>
      </c>
      <c r="G848" s="16" t="s">
        <v>34</v>
      </c>
      <c r="H848" s="16" t="s">
        <v>1692</v>
      </c>
      <c r="I848" s="16" t="s">
        <v>66</v>
      </c>
      <c r="J848" s="45">
        <v>43162</v>
      </c>
      <c r="K848" s="16" t="s">
        <v>8</v>
      </c>
      <c r="L848" s="16" t="s">
        <v>12</v>
      </c>
      <c r="M848" s="16"/>
      <c r="N848" s="16"/>
      <c r="W848" s="16" t="s">
        <v>59</v>
      </c>
      <c r="X848" s="16" t="s">
        <v>66</v>
      </c>
      <c r="Y848" s="45">
        <v>43188</v>
      </c>
      <c r="Z848" s="16" t="s">
        <v>67</v>
      </c>
      <c r="AA848" s="45" t="s">
        <v>3111</v>
      </c>
      <c r="AB848" s="16"/>
    </row>
    <row r="849" spans="1:28" ht="15.75" customHeight="1" thickBot="1">
      <c r="A849" s="291"/>
      <c r="C849" s="28">
        <v>57</v>
      </c>
      <c r="D849" s="28">
        <v>20285</v>
      </c>
      <c r="E849" s="28" t="s">
        <v>1677</v>
      </c>
      <c r="F849" s="29">
        <v>29009180102317</v>
      </c>
      <c r="G849" s="28" t="s">
        <v>34</v>
      </c>
      <c r="H849" s="28" t="s">
        <v>1693</v>
      </c>
      <c r="I849" s="28" t="s">
        <v>66</v>
      </c>
      <c r="J849" s="30">
        <v>43162</v>
      </c>
      <c r="K849" s="28" t="s">
        <v>8</v>
      </c>
      <c r="L849" s="28" t="s">
        <v>12</v>
      </c>
      <c r="M849" s="28"/>
      <c r="N849" s="28"/>
      <c r="O849" s="226"/>
      <c r="P849" s="28"/>
      <c r="Q849" s="226"/>
      <c r="R849" s="28"/>
      <c r="S849" s="28"/>
      <c r="T849" s="28"/>
      <c r="U849" s="28"/>
      <c r="V849" s="28"/>
      <c r="W849" s="28" t="s">
        <v>61</v>
      </c>
      <c r="X849" s="28"/>
      <c r="Y849" s="30">
        <v>43188</v>
      </c>
      <c r="Z849" s="28" t="s">
        <v>66</v>
      </c>
      <c r="AA849" s="30">
        <v>43193</v>
      </c>
      <c r="AB849" s="28"/>
    </row>
    <row r="850" spans="1:28" ht="15.75" customHeight="1" thickTop="1">
      <c r="A850" s="289" t="s">
        <v>3127</v>
      </c>
      <c r="C850" s="16">
        <v>58</v>
      </c>
      <c r="D850" s="2">
        <v>20287</v>
      </c>
      <c r="E850" s="2" t="s">
        <v>1639</v>
      </c>
      <c r="F850" s="3">
        <v>29310032300934</v>
      </c>
      <c r="G850" s="2" t="s">
        <v>34</v>
      </c>
      <c r="H850" s="2" t="s">
        <v>1647</v>
      </c>
      <c r="I850" s="2" t="s">
        <v>66</v>
      </c>
      <c r="J850" s="4">
        <v>43169</v>
      </c>
      <c r="K850" s="16" t="s">
        <v>8</v>
      </c>
      <c r="L850" s="16" t="s">
        <v>12</v>
      </c>
      <c r="W850" s="16" t="s">
        <v>60</v>
      </c>
      <c r="Y850" s="7">
        <v>43195</v>
      </c>
      <c r="Z850" s="16" t="s">
        <v>66</v>
      </c>
      <c r="AA850" s="7">
        <v>43200</v>
      </c>
    </row>
    <row r="851" spans="1:28" ht="15" customHeight="1">
      <c r="A851" s="290"/>
      <c r="C851" s="16">
        <v>58</v>
      </c>
      <c r="D851" s="2">
        <v>20288</v>
      </c>
      <c r="E851" s="2" t="s">
        <v>1640</v>
      </c>
      <c r="F851" s="3">
        <v>29505010107541</v>
      </c>
      <c r="G851" s="16" t="s">
        <v>34</v>
      </c>
      <c r="H851" s="2" t="s">
        <v>1648</v>
      </c>
      <c r="I851" s="2" t="s">
        <v>66</v>
      </c>
      <c r="J851" s="4">
        <v>43169</v>
      </c>
      <c r="K851" s="16" t="s">
        <v>8</v>
      </c>
      <c r="L851" s="16" t="s">
        <v>12</v>
      </c>
      <c r="W851" s="16" t="s">
        <v>60</v>
      </c>
      <c r="Y851" s="7">
        <v>43195</v>
      </c>
      <c r="Z851" s="16" t="s">
        <v>66</v>
      </c>
      <c r="AA851" s="7">
        <v>43200</v>
      </c>
    </row>
    <row r="852" spans="1:28" ht="15" customHeight="1">
      <c r="A852" s="290"/>
      <c r="C852" s="16">
        <v>58</v>
      </c>
      <c r="D852" s="2">
        <v>20289</v>
      </c>
      <c r="E852" s="2" t="s">
        <v>1641</v>
      </c>
      <c r="F852" s="3">
        <v>29307270104158</v>
      </c>
      <c r="G852" s="2" t="s">
        <v>34</v>
      </c>
      <c r="H852" s="2" t="s">
        <v>1649</v>
      </c>
      <c r="I852" s="2" t="s">
        <v>66</v>
      </c>
      <c r="J852" s="4">
        <v>43169</v>
      </c>
      <c r="K852" s="16" t="s">
        <v>8</v>
      </c>
      <c r="L852" s="16" t="s">
        <v>12</v>
      </c>
      <c r="W852" s="16" t="s">
        <v>63</v>
      </c>
      <c r="Y852" s="7">
        <v>43195</v>
      </c>
      <c r="Z852" s="16" t="s">
        <v>67</v>
      </c>
      <c r="AA852" s="7" t="s">
        <v>3111</v>
      </c>
    </row>
    <row r="853" spans="1:28" ht="15" customHeight="1">
      <c r="A853" s="290"/>
      <c r="C853" s="2">
        <v>58</v>
      </c>
      <c r="D853" s="2">
        <v>20290</v>
      </c>
      <c r="E853" s="2" t="s">
        <v>1642</v>
      </c>
      <c r="F853" s="3">
        <v>28105050202218</v>
      </c>
      <c r="G853" s="16" t="s">
        <v>34</v>
      </c>
      <c r="H853" s="2" t="s">
        <v>1650</v>
      </c>
      <c r="I853" s="16" t="s">
        <v>66</v>
      </c>
      <c r="J853" s="7">
        <v>43169</v>
      </c>
      <c r="K853" s="16" t="s">
        <v>8</v>
      </c>
      <c r="L853" s="16" t="s">
        <v>12</v>
      </c>
      <c r="W853" s="16" t="s">
        <v>502</v>
      </c>
      <c r="Y853" s="7">
        <v>43195</v>
      </c>
      <c r="Z853" s="16" t="s">
        <v>66</v>
      </c>
      <c r="AA853" s="7">
        <v>43200</v>
      </c>
    </row>
    <row r="854" spans="1:28" ht="15" customHeight="1">
      <c r="A854" s="290"/>
      <c r="C854" s="16">
        <v>58</v>
      </c>
      <c r="D854" s="2">
        <v>20291</v>
      </c>
      <c r="E854" s="2" t="s">
        <v>1643</v>
      </c>
      <c r="F854" s="3">
        <v>27702190104491</v>
      </c>
      <c r="G854" s="16" t="s">
        <v>34</v>
      </c>
      <c r="H854" s="2" t="s">
        <v>1651</v>
      </c>
      <c r="I854" s="16" t="s">
        <v>66</v>
      </c>
      <c r="J854" s="7">
        <v>43169</v>
      </c>
      <c r="K854" s="16" t="s">
        <v>8</v>
      </c>
      <c r="L854" s="16" t="s">
        <v>12</v>
      </c>
      <c r="W854" s="16" t="s">
        <v>61</v>
      </c>
      <c r="X854" s="2" t="s">
        <v>66</v>
      </c>
      <c r="Y854" s="7">
        <v>43195</v>
      </c>
      <c r="Z854" s="16" t="s">
        <v>66</v>
      </c>
      <c r="AA854" s="7">
        <v>43227</v>
      </c>
      <c r="AB854" s="2" t="s">
        <v>3383</v>
      </c>
    </row>
    <row r="855" spans="1:28" ht="15" customHeight="1">
      <c r="A855" s="290"/>
      <c r="C855" s="16">
        <v>58</v>
      </c>
      <c r="D855" s="2">
        <v>20292</v>
      </c>
      <c r="E855" s="2" t="s">
        <v>1644</v>
      </c>
      <c r="F855" s="3">
        <v>29404172102479</v>
      </c>
      <c r="G855" s="16" t="s">
        <v>34</v>
      </c>
      <c r="H855" s="2" t="s">
        <v>1652</v>
      </c>
      <c r="I855" s="16" t="s">
        <v>66</v>
      </c>
      <c r="J855" s="7">
        <v>43169</v>
      </c>
      <c r="K855" s="16" t="s">
        <v>8</v>
      </c>
      <c r="L855" s="16" t="s">
        <v>12</v>
      </c>
      <c r="W855" s="16" t="s">
        <v>60</v>
      </c>
      <c r="Y855" s="7">
        <v>43195</v>
      </c>
      <c r="Z855" s="16" t="s">
        <v>66</v>
      </c>
      <c r="AA855" s="7">
        <v>43200</v>
      </c>
    </row>
    <row r="856" spans="1:28" ht="15" customHeight="1">
      <c r="A856" s="290"/>
      <c r="C856" s="16">
        <v>58</v>
      </c>
      <c r="D856" s="2">
        <v>20293</v>
      </c>
      <c r="E856" s="2" t="s">
        <v>1645</v>
      </c>
      <c r="F856" s="3">
        <v>28904042500269</v>
      </c>
      <c r="G856" s="16" t="s">
        <v>34</v>
      </c>
      <c r="H856" s="2" t="s">
        <v>1653</v>
      </c>
      <c r="I856" s="16" t="s">
        <v>66</v>
      </c>
      <c r="J856" s="7">
        <v>43169</v>
      </c>
      <c r="K856" s="16" t="s">
        <v>8</v>
      </c>
      <c r="L856" s="16" t="s">
        <v>12</v>
      </c>
      <c r="W856" s="16" t="s">
        <v>60</v>
      </c>
      <c r="Y856" s="7">
        <v>43195</v>
      </c>
      <c r="Z856" s="16" t="s">
        <v>66</v>
      </c>
      <c r="AA856" s="7">
        <v>43200</v>
      </c>
    </row>
    <row r="857" spans="1:28" ht="15" customHeight="1">
      <c r="A857" s="290"/>
      <c r="C857" s="16">
        <v>58</v>
      </c>
      <c r="D857" s="2">
        <v>20294</v>
      </c>
      <c r="E857" s="2" t="s">
        <v>1646</v>
      </c>
      <c r="F857" s="3">
        <v>28802220102267</v>
      </c>
      <c r="G857" s="16" t="s">
        <v>34</v>
      </c>
      <c r="H857" s="2" t="s">
        <v>1654</v>
      </c>
      <c r="I857" s="16" t="s">
        <v>66</v>
      </c>
      <c r="J857" s="7">
        <v>43169</v>
      </c>
      <c r="K857" s="16" t="s">
        <v>8</v>
      </c>
      <c r="L857" s="16" t="s">
        <v>12</v>
      </c>
      <c r="W857" s="16" t="s">
        <v>60</v>
      </c>
      <c r="X857" s="2" t="s">
        <v>66</v>
      </c>
      <c r="Y857" s="7">
        <v>43195</v>
      </c>
      <c r="Z857" s="16" t="s">
        <v>66</v>
      </c>
      <c r="AA857" s="7">
        <v>43212</v>
      </c>
    </row>
    <row r="858" spans="1:28" ht="15" customHeight="1">
      <c r="A858" s="290"/>
      <c r="C858" s="16">
        <v>58</v>
      </c>
      <c r="D858" s="2">
        <v>1592977</v>
      </c>
      <c r="E858" s="2" t="s">
        <v>1658</v>
      </c>
      <c r="G858" s="16"/>
      <c r="H858" s="8" t="s">
        <v>1655</v>
      </c>
      <c r="I858" s="16" t="s">
        <v>67</v>
      </c>
      <c r="J858" s="7" t="s">
        <v>330</v>
      </c>
      <c r="K858" s="16" t="s">
        <v>8</v>
      </c>
      <c r="L858" s="16" t="s">
        <v>12</v>
      </c>
      <c r="N858" s="11" t="s">
        <v>317</v>
      </c>
      <c r="O858" s="227"/>
      <c r="P858" s="11"/>
      <c r="Q858" s="227"/>
      <c r="R858" s="11"/>
      <c r="S858" s="11"/>
      <c r="T858" s="11"/>
      <c r="U858" s="11"/>
      <c r="V858" s="11"/>
      <c r="Z858" s="16" t="str">
        <f>IF(OR(W858="Dismissed", W858="Resigned"),"No","")</f>
        <v/>
      </c>
    </row>
    <row r="859" spans="1:28" ht="15" customHeight="1">
      <c r="A859" s="290"/>
      <c r="C859" s="16">
        <v>58</v>
      </c>
      <c r="D859" s="16">
        <v>2543275</v>
      </c>
      <c r="E859" s="16" t="s">
        <v>1659</v>
      </c>
      <c r="G859" s="16"/>
      <c r="H859" s="8" t="s">
        <v>1656</v>
      </c>
      <c r="I859" s="16" t="s">
        <v>67</v>
      </c>
      <c r="J859" s="45" t="s">
        <v>330</v>
      </c>
      <c r="K859" s="16" t="s">
        <v>8</v>
      </c>
      <c r="L859" s="16" t="s">
        <v>12</v>
      </c>
      <c r="M859" s="16"/>
      <c r="N859" s="11" t="s">
        <v>317</v>
      </c>
      <c r="O859" s="227"/>
      <c r="P859" s="11"/>
      <c r="Q859" s="227"/>
      <c r="R859" s="11"/>
      <c r="S859" s="11"/>
      <c r="T859" s="11"/>
      <c r="U859" s="11"/>
      <c r="V859" s="11"/>
      <c r="X859" s="16"/>
      <c r="Y859" s="45"/>
      <c r="Z859" s="16" t="str">
        <f>IF(OR(W859="Dismissed", W859="Resigned"),"No","")</f>
        <v/>
      </c>
      <c r="AA859" s="45"/>
      <c r="AB859" s="16"/>
    </row>
    <row r="860" spans="1:28" ht="15.75" customHeight="1" thickBot="1">
      <c r="A860" s="291"/>
      <c r="C860" s="28">
        <v>58</v>
      </c>
      <c r="D860" s="28">
        <v>2496906</v>
      </c>
      <c r="E860" s="28" t="s">
        <v>1660</v>
      </c>
      <c r="F860" s="29"/>
      <c r="G860" s="28"/>
      <c r="H860" s="28" t="s">
        <v>1657</v>
      </c>
      <c r="I860" s="28" t="s">
        <v>67</v>
      </c>
      <c r="J860" s="30" t="s">
        <v>330</v>
      </c>
      <c r="K860" s="28" t="s">
        <v>8</v>
      </c>
      <c r="L860" s="28" t="s">
        <v>12</v>
      </c>
      <c r="M860" s="28"/>
      <c r="N860" s="31" t="s">
        <v>317</v>
      </c>
      <c r="O860" s="228"/>
      <c r="P860" s="31"/>
      <c r="Q860" s="228"/>
      <c r="R860" s="28"/>
      <c r="S860" s="28"/>
      <c r="T860" s="28"/>
      <c r="U860" s="28"/>
      <c r="V860" s="28"/>
      <c r="W860" s="28"/>
      <c r="X860" s="28"/>
      <c r="Y860" s="30"/>
      <c r="Z860" s="28" t="str">
        <f>IF(OR(W860="Dismissed", W860="Resigned"),"No","")</f>
        <v/>
      </c>
      <c r="AA860" s="30"/>
      <c r="AB860" s="28"/>
    </row>
    <row r="861" spans="1:28" ht="15.75" customHeight="1" thickTop="1">
      <c r="A861" s="289" t="s">
        <v>3120</v>
      </c>
      <c r="C861" s="16">
        <v>59</v>
      </c>
      <c r="D861" s="2">
        <v>20297</v>
      </c>
      <c r="E861" s="2" t="s">
        <v>1627</v>
      </c>
      <c r="F861" s="3">
        <v>28812098800859</v>
      </c>
      <c r="G861" s="16" t="s">
        <v>34</v>
      </c>
      <c r="H861" s="2" t="s">
        <v>1633</v>
      </c>
      <c r="I861" s="16" t="s">
        <v>66</v>
      </c>
      <c r="J861" s="7">
        <v>43169</v>
      </c>
      <c r="K861" s="16" t="s">
        <v>8</v>
      </c>
      <c r="L861" s="16" t="s">
        <v>12</v>
      </c>
      <c r="W861" s="16" t="s">
        <v>60</v>
      </c>
      <c r="X861" s="2" t="s">
        <v>66</v>
      </c>
      <c r="Y861" s="7">
        <v>43195</v>
      </c>
      <c r="Z861" s="16" t="s">
        <v>66</v>
      </c>
      <c r="AA861" s="7">
        <v>43212</v>
      </c>
    </row>
    <row r="862" spans="1:28" ht="15" customHeight="1">
      <c r="A862" s="290"/>
      <c r="C862" s="16">
        <v>59</v>
      </c>
      <c r="D862" s="2">
        <v>20296</v>
      </c>
      <c r="E862" s="2" t="s">
        <v>1628</v>
      </c>
      <c r="F862" s="3">
        <v>29601062104611</v>
      </c>
      <c r="G862" s="2" t="s">
        <v>34</v>
      </c>
      <c r="H862" s="2" t="s">
        <v>1634</v>
      </c>
      <c r="I862" s="16" t="s">
        <v>66</v>
      </c>
      <c r="J862" s="7">
        <v>43169</v>
      </c>
      <c r="K862" s="16" t="s">
        <v>8</v>
      </c>
      <c r="L862" s="16" t="s">
        <v>12</v>
      </c>
      <c r="W862" s="16" t="s">
        <v>60</v>
      </c>
      <c r="Y862" s="7">
        <v>43195</v>
      </c>
      <c r="Z862" s="16" t="s">
        <v>66</v>
      </c>
      <c r="AA862" s="7">
        <v>43200</v>
      </c>
    </row>
    <row r="863" spans="1:28" ht="15" customHeight="1">
      <c r="A863" s="290"/>
      <c r="C863" s="16">
        <v>59</v>
      </c>
      <c r="D863" s="2">
        <v>20295</v>
      </c>
      <c r="E863" s="2" t="s">
        <v>1629</v>
      </c>
      <c r="F863" s="3">
        <v>29503078800322</v>
      </c>
      <c r="G863" s="2" t="s">
        <v>34</v>
      </c>
      <c r="H863" s="2" t="s">
        <v>1635</v>
      </c>
      <c r="I863" s="16" t="s">
        <v>66</v>
      </c>
      <c r="J863" s="7">
        <v>43169</v>
      </c>
      <c r="K863" s="16" t="s">
        <v>8</v>
      </c>
      <c r="L863" s="16" t="s">
        <v>12</v>
      </c>
      <c r="W863" s="16" t="s">
        <v>60</v>
      </c>
      <c r="Y863" s="7">
        <v>43195</v>
      </c>
      <c r="Z863" s="16" t="s">
        <v>66</v>
      </c>
      <c r="AA863" s="7">
        <v>43200</v>
      </c>
    </row>
    <row r="864" spans="1:28" ht="15" customHeight="1">
      <c r="A864" s="290"/>
      <c r="C864" s="16">
        <v>59</v>
      </c>
      <c r="D864" s="16">
        <v>19180</v>
      </c>
      <c r="E864" s="16" t="s">
        <v>1630</v>
      </c>
      <c r="F864" s="3">
        <v>29212138800535</v>
      </c>
      <c r="G864" s="16" t="s">
        <v>34</v>
      </c>
      <c r="H864" s="16" t="s">
        <v>1636</v>
      </c>
      <c r="I864" s="16" t="s">
        <v>66</v>
      </c>
      <c r="J864" s="45">
        <v>42959</v>
      </c>
      <c r="K864" s="16" t="s">
        <v>8</v>
      </c>
      <c r="L864" s="16" t="s">
        <v>12</v>
      </c>
      <c r="M864" s="16"/>
      <c r="N864" s="11" t="s">
        <v>317</v>
      </c>
      <c r="O864" s="227"/>
      <c r="P864" s="11"/>
      <c r="Q864" s="227"/>
      <c r="R864" s="11"/>
      <c r="S864" s="11"/>
      <c r="T864" s="11"/>
      <c r="U864" s="11"/>
      <c r="V864" s="11"/>
      <c r="X864" s="16"/>
      <c r="Y864" s="45"/>
      <c r="AA864" s="45"/>
      <c r="AB864" s="16"/>
    </row>
    <row r="865" spans="1:28" ht="15" customHeight="1">
      <c r="A865" s="290"/>
      <c r="C865" s="16">
        <v>59</v>
      </c>
      <c r="D865" s="2">
        <v>2286199</v>
      </c>
      <c r="E865" s="2" t="s">
        <v>1632</v>
      </c>
      <c r="G865" s="16"/>
      <c r="H865" s="2" t="s">
        <v>1637</v>
      </c>
      <c r="I865" s="16" t="s">
        <v>67</v>
      </c>
      <c r="J865" s="7" t="s">
        <v>330</v>
      </c>
      <c r="K865" s="16" t="s">
        <v>8</v>
      </c>
      <c r="L865" s="16" t="s">
        <v>12</v>
      </c>
      <c r="N865" s="11" t="s">
        <v>317</v>
      </c>
      <c r="O865" s="227"/>
      <c r="P865" s="11"/>
      <c r="Q865" s="227"/>
      <c r="R865" s="11"/>
      <c r="S865" s="11"/>
      <c r="T865" s="11"/>
      <c r="U865" s="11"/>
      <c r="V865" s="11"/>
    </row>
    <row r="866" spans="1:28" ht="15.75" customHeight="1" thickBot="1">
      <c r="A866" s="291"/>
      <c r="C866" s="28">
        <v>59</v>
      </c>
      <c r="D866" s="28">
        <v>2202676</v>
      </c>
      <c r="E866" s="28" t="s">
        <v>1631</v>
      </c>
      <c r="F866" s="29"/>
      <c r="G866" s="28"/>
      <c r="H866" s="28" t="s">
        <v>1638</v>
      </c>
      <c r="I866" s="28" t="s">
        <v>67</v>
      </c>
      <c r="J866" s="30" t="s">
        <v>330</v>
      </c>
      <c r="K866" s="28" t="s">
        <v>8</v>
      </c>
      <c r="L866" s="28" t="s">
        <v>12</v>
      </c>
      <c r="M866" s="28"/>
      <c r="N866" s="31" t="s">
        <v>317</v>
      </c>
      <c r="O866" s="228"/>
      <c r="P866" s="31"/>
      <c r="Q866" s="228"/>
      <c r="R866" s="28"/>
      <c r="S866" s="28"/>
      <c r="T866" s="28"/>
      <c r="U866" s="28"/>
      <c r="V866" s="28"/>
      <c r="W866" s="28"/>
      <c r="X866" s="28"/>
      <c r="Y866" s="30"/>
      <c r="Z866" s="28"/>
      <c r="AA866" s="30"/>
      <c r="AB866" s="28"/>
    </row>
    <row r="867" spans="1:28" ht="15.75" customHeight="1" thickTop="1">
      <c r="A867" s="289" t="s">
        <v>3129</v>
      </c>
      <c r="C867" s="16">
        <v>60</v>
      </c>
      <c r="D867" s="2">
        <v>20299</v>
      </c>
      <c r="E867" s="2" t="s">
        <v>1605</v>
      </c>
      <c r="F867" s="3">
        <v>29403230103751</v>
      </c>
      <c r="G867" s="16" t="s">
        <v>184</v>
      </c>
      <c r="H867" s="2" t="s">
        <v>1616</v>
      </c>
      <c r="I867" s="2" t="s">
        <v>66</v>
      </c>
      <c r="J867" s="4">
        <v>43176</v>
      </c>
      <c r="K867" s="16" t="s">
        <v>8</v>
      </c>
      <c r="L867" s="16" t="s">
        <v>12</v>
      </c>
      <c r="W867" s="16" t="s">
        <v>61</v>
      </c>
      <c r="Y867" s="7">
        <v>43202</v>
      </c>
      <c r="Z867" s="16" t="s">
        <v>66</v>
      </c>
      <c r="AA867" s="7">
        <v>43212</v>
      </c>
    </row>
    <row r="868" spans="1:28" ht="15" customHeight="1">
      <c r="A868" s="290"/>
      <c r="C868" s="16">
        <v>60</v>
      </c>
      <c r="D868" s="2">
        <v>20300</v>
      </c>
      <c r="E868" s="2" t="s">
        <v>1606</v>
      </c>
      <c r="F868" s="3">
        <v>29205270101356</v>
      </c>
      <c r="G868" s="16" t="s">
        <v>34</v>
      </c>
      <c r="H868" s="2" t="s">
        <v>1617</v>
      </c>
      <c r="I868" s="2" t="s">
        <v>66</v>
      </c>
      <c r="J868" s="4">
        <v>43176</v>
      </c>
      <c r="K868" s="16" t="s">
        <v>8</v>
      </c>
      <c r="L868" s="16" t="s">
        <v>12</v>
      </c>
      <c r="W868" s="16" t="s">
        <v>63</v>
      </c>
      <c r="Y868" s="7">
        <v>43202</v>
      </c>
      <c r="Z868" s="16" t="s">
        <v>67</v>
      </c>
      <c r="AA868" s="7" t="s">
        <v>3111</v>
      </c>
    </row>
    <row r="869" spans="1:28" ht="15" customHeight="1">
      <c r="A869" s="290"/>
      <c r="C869" s="16">
        <v>60</v>
      </c>
      <c r="D869" s="2">
        <v>20301</v>
      </c>
      <c r="E869" s="2" t="s">
        <v>1607</v>
      </c>
      <c r="F869" s="3">
        <v>29408280102707</v>
      </c>
      <c r="G869" s="16" t="s">
        <v>34</v>
      </c>
      <c r="H869" s="2" t="s">
        <v>1618</v>
      </c>
      <c r="I869" s="2" t="s">
        <v>66</v>
      </c>
      <c r="J869" s="4">
        <v>43176</v>
      </c>
      <c r="K869" s="16" t="s">
        <v>8</v>
      </c>
      <c r="L869" s="16" t="s">
        <v>12</v>
      </c>
      <c r="W869" s="16" t="s">
        <v>60</v>
      </c>
      <c r="Y869" s="7">
        <v>43202</v>
      </c>
      <c r="Z869" s="16" t="s">
        <v>66</v>
      </c>
      <c r="AA869" s="7">
        <v>43212</v>
      </c>
    </row>
    <row r="870" spans="1:28" ht="15" customHeight="1">
      <c r="A870" s="290"/>
      <c r="C870" s="16">
        <v>60</v>
      </c>
      <c r="D870" s="16">
        <v>20302</v>
      </c>
      <c r="E870" s="16" t="s">
        <v>1608</v>
      </c>
      <c r="F870" s="3">
        <v>29409300108258</v>
      </c>
      <c r="G870" s="16" t="s">
        <v>34</v>
      </c>
      <c r="H870" s="16" t="s">
        <v>1619</v>
      </c>
      <c r="I870" s="16" t="s">
        <v>66</v>
      </c>
      <c r="J870" s="45">
        <v>43176</v>
      </c>
      <c r="K870" s="16" t="s">
        <v>8</v>
      </c>
      <c r="L870" s="16" t="s">
        <v>12</v>
      </c>
      <c r="M870" s="16"/>
      <c r="N870" s="16"/>
      <c r="W870" s="16" t="s">
        <v>60</v>
      </c>
      <c r="X870" s="16"/>
      <c r="Y870" s="45">
        <v>43202</v>
      </c>
      <c r="Z870" s="16" t="s">
        <v>66</v>
      </c>
      <c r="AA870" s="45">
        <v>43212</v>
      </c>
      <c r="AB870" s="16"/>
    </row>
    <row r="871" spans="1:28" ht="15" customHeight="1">
      <c r="A871" s="290"/>
      <c r="C871" s="16">
        <v>60</v>
      </c>
      <c r="D871" s="2">
        <v>20303</v>
      </c>
      <c r="E871" s="2" t="s">
        <v>1609</v>
      </c>
      <c r="F871" s="3">
        <v>29309020102454</v>
      </c>
      <c r="G871" s="16" t="s">
        <v>34</v>
      </c>
      <c r="H871" s="2" t="s">
        <v>1620</v>
      </c>
      <c r="I871" s="2" t="s">
        <v>66</v>
      </c>
      <c r="J871" s="4">
        <v>43176</v>
      </c>
      <c r="K871" s="16" t="s">
        <v>8</v>
      </c>
      <c r="L871" s="16" t="s">
        <v>12</v>
      </c>
      <c r="W871" s="16" t="s">
        <v>61</v>
      </c>
      <c r="Y871" s="7">
        <v>43202</v>
      </c>
      <c r="Z871" s="16" t="s">
        <v>66</v>
      </c>
      <c r="AA871" s="7">
        <v>43212</v>
      </c>
    </row>
    <row r="872" spans="1:28" ht="15" customHeight="1">
      <c r="A872" s="290"/>
      <c r="C872" s="16">
        <v>60</v>
      </c>
      <c r="D872" s="2">
        <v>20304</v>
      </c>
      <c r="E872" s="2" t="s">
        <v>1610</v>
      </c>
      <c r="F872" s="3">
        <v>28610128800822</v>
      </c>
      <c r="G872" s="16" t="s">
        <v>34</v>
      </c>
      <c r="H872" s="2" t="s">
        <v>1621</v>
      </c>
      <c r="I872" s="2" t="s">
        <v>66</v>
      </c>
      <c r="J872" s="4">
        <v>43176</v>
      </c>
      <c r="K872" s="16" t="s">
        <v>8</v>
      </c>
      <c r="L872" s="16" t="s">
        <v>12</v>
      </c>
      <c r="W872" s="16" t="s">
        <v>60</v>
      </c>
      <c r="Y872" s="7">
        <v>43202</v>
      </c>
      <c r="Z872" s="16" t="s">
        <v>66</v>
      </c>
      <c r="AA872" s="7">
        <v>43212</v>
      </c>
    </row>
    <row r="873" spans="1:28" ht="15" customHeight="1">
      <c r="A873" s="290"/>
      <c r="C873" s="16">
        <v>60</v>
      </c>
      <c r="D873" s="2">
        <v>20305</v>
      </c>
      <c r="E873" s="2" t="s">
        <v>1611</v>
      </c>
      <c r="F873" s="3">
        <v>29508042100792</v>
      </c>
      <c r="G873" s="16" t="s">
        <v>34</v>
      </c>
      <c r="H873" s="2" t="s">
        <v>1622</v>
      </c>
      <c r="I873" s="2" t="s">
        <v>66</v>
      </c>
      <c r="J873" s="4">
        <v>43176</v>
      </c>
      <c r="K873" s="16" t="s">
        <v>8</v>
      </c>
      <c r="L873" s="16" t="s">
        <v>12</v>
      </c>
      <c r="W873" s="16" t="s">
        <v>60</v>
      </c>
      <c r="Y873" s="7">
        <v>43202</v>
      </c>
      <c r="Z873" s="16" t="s">
        <v>66</v>
      </c>
      <c r="AA873" s="7">
        <v>43212</v>
      </c>
    </row>
    <row r="874" spans="1:28" ht="15" customHeight="1">
      <c r="A874" s="290"/>
      <c r="C874" s="16">
        <v>60</v>
      </c>
      <c r="D874" s="2">
        <v>20306</v>
      </c>
      <c r="E874" s="2" t="s">
        <v>1612</v>
      </c>
      <c r="F874" s="3">
        <v>29101230103739</v>
      </c>
      <c r="G874" s="16" t="s">
        <v>34</v>
      </c>
      <c r="H874" s="2" t="s">
        <v>1623</v>
      </c>
      <c r="I874" s="2" t="s">
        <v>66</v>
      </c>
      <c r="J874" s="4">
        <v>43176</v>
      </c>
      <c r="K874" s="16" t="s">
        <v>8</v>
      </c>
      <c r="L874" s="16" t="s">
        <v>12</v>
      </c>
      <c r="W874" s="16" t="s">
        <v>62</v>
      </c>
      <c r="Y874" s="7">
        <v>43202</v>
      </c>
      <c r="Z874" s="16" t="s">
        <v>67</v>
      </c>
      <c r="AA874" s="7" t="s">
        <v>3111</v>
      </c>
    </row>
    <row r="875" spans="1:28" ht="15" customHeight="1">
      <c r="A875" s="290"/>
      <c r="C875" s="16">
        <v>60</v>
      </c>
      <c r="D875" s="2">
        <v>20307</v>
      </c>
      <c r="E875" s="2" t="s">
        <v>1613</v>
      </c>
      <c r="F875" s="3">
        <v>28509010119117</v>
      </c>
      <c r="G875" s="16" t="s">
        <v>34</v>
      </c>
      <c r="H875" s="2" t="s">
        <v>1624</v>
      </c>
      <c r="I875" s="16" t="s">
        <v>66</v>
      </c>
      <c r="J875" s="4">
        <v>43176</v>
      </c>
      <c r="K875" s="16" t="s">
        <v>8</v>
      </c>
      <c r="L875" s="16" t="s">
        <v>12</v>
      </c>
      <c r="W875" s="16" t="s">
        <v>63</v>
      </c>
      <c r="Y875" s="7">
        <v>43202</v>
      </c>
      <c r="Z875" s="16" t="s">
        <v>67</v>
      </c>
      <c r="AA875" s="7" t="s">
        <v>3111</v>
      </c>
    </row>
    <row r="876" spans="1:28" ht="15" customHeight="1">
      <c r="A876" s="290"/>
      <c r="C876" s="16">
        <v>60</v>
      </c>
      <c r="D876" s="2">
        <v>20308</v>
      </c>
      <c r="E876" s="2" t="s">
        <v>1614</v>
      </c>
      <c r="F876" s="3">
        <v>29007050201051</v>
      </c>
      <c r="G876" s="16" t="s">
        <v>34</v>
      </c>
      <c r="H876" s="2" t="s">
        <v>1625</v>
      </c>
      <c r="I876" s="2" t="s">
        <v>66</v>
      </c>
      <c r="J876" s="4">
        <v>43176</v>
      </c>
      <c r="K876" s="16" t="s">
        <v>8</v>
      </c>
      <c r="L876" s="16" t="s">
        <v>12</v>
      </c>
      <c r="W876" s="16" t="s">
        <v>60</v>
      </c>
      <c r="X876" s="2" t="s">
        <v>66</v>
      </c>
      <c r="Y876" s="7">
        <v>43202</v>
      </c>
      <c r="Z876" s="16" t="s">
        <v>66</v>
      </c>
      <c r="AA876" s="7">
        <v>43192</v>
      </c>
    </row>
    <row r="877" spans="1:28" ht="15.75" customHeight="1" thickBot="1">
      <c r="A877" s="291"/>
      <c r="C877" s="28">
        <v>60</v>
      </c>
      <c r="D877" s="28">
        <v>9969</v>
      </c>
      <c r="E877" s="28" t="s">
        <v>1615</v>
      </c>
      <c r="F877" s="29">
        <v>29007090102811</v>
      </c>
      <c r="G877" s="28" t="s">
        <v>34</v>
      </c>
      <c r="H877" s="28" t="s">
        <v>1626</v>
      </c>
      <c r="I877" s="28" t="s">
        <v>67</v>
      </c>
      <c r="J877" s="30">
        <v>43176</v>
      </c>
      <c r="K877" s="28" t="s">
        <v>8</v>
      </c>
      <c r="L877" s="28" t="s">
        <v>12</v>
      </c>
      <c r="M877" s="28"/>
      <c r="N877" s="28"/>
      <c r="O877" s="226"/>
      <c r="P877" s="28"/>
      <c r="Q877" s="226"/>
      <c r="R877" s="28"/>
      <c r="S877" s="28"/>
      <c r="T877" s="28"/>
      <c r="U877" s="28"/>
      <c r="V877" s="28"/>
      <c r="W877" s="28" t="s">
        <v>111</v>
      </c>
      <c r="X877" s="28"/>
      <c r="Y877" s="30">
        <v>43202</v>
      </c>
      <c r="Z877" s="28" t="s">
        <v>66</v>
      </c>
      <c r="AA877" s="30">
        <v>43226</v>
      </c>
      <c r="AB877" s="28"/>
    </row>
    <row r="878" spans="1:28" ht="15.75" customHeight="1" thickTop="1">
      <c r="A878" s="289" t="s">
        <v>3119</v>
      </c>
      <c r="C878" s="16">
        <v>61</v>
      </c>
      <c r="D878" s="2">
        <v>20313</v>
      </c>
      <c r="E878" s="2" t="s">
        <v>1578</v>
      </c>
      <c r="F878" s="3">
        <v>29410141900296</v>
      </c>
      <c r="G878" s="16" t="s">
        <v>34</v>
      </c>
      <c r="H878" s="2" t="s">
        <v>1592</v>
      </c>
      <c r="I878" s="2" t="s">
        <v>66</v>
      </c>
      <c r="J878" s="4">
        <v>43184</v>
      </c>
      <c r="K878" s="16" t="s">
        <v>8</v>
      </c>
      <c r="L878" s="16" t="s">
        <v>12</v>
      </c>
      <c r="W878" s="16" t="s">
        <v>63</v>
      </c>
      <c r="Y878" s="7">
        <v>43209</v>
      </c>
      <c r="Z878" s="16" t="s">
        <v>67</v>
      </c>
      <c r="AA878" s="7" t="s">
        <v>3111</v>
      </c>
    </row>
    <row r="879" spans="1:28" ht="15" customHeight="1">
      <c r="A879" s="290"/>
      <c r="C879" s="16">
        <v>61</v>
      </c>
      <c r="D879" s="2">
        <v>20314</v>
      </c>
      <c r="E879" s="2" t="s">
        <v>1579</v>
      </c>
      <c r="F879" s="3">
        <v>29303081400174</v>
      </c>
      <c r="G879" s="2" t="s">
        <v>34</v>
      </c>
      <c r="H879" s="2" t="s">
        <v>1593</v>
      </c>
      <c r="I879" s="2" t="s">
        <v>66</v>
      </c>
      <c r="J879" s="4">
        <v>43184</v>
      </c>
      <c r="K879" s="16" t="s">
        <v>8</v>
      </c>
      <c r="L879" s="16" t="s">
        <v>12</v>
      </c>
      <c r="W879" s="16" t="s">
        <v>61</v>
      </c>
      <c r="Y879" s="7">
        <v>43209</v>
      </c>
      <c r="Z879" s="16" t="s">
        <v>66</v>
      </c>
      <c r="AA879" s="7">
        <v>43214</v>
      </c>
    </row>
    <row r="880" spans="1:28" ht="15" customHeight="1">
      <c r="A880" s="290"/>
      <c r="C880" s="16">
        <v>61</v>
      </c>
      <c r="D880" s="16">
        <v>20315</v>
      </c>
      <c r="E880" s="16" t="s">
        <v>1580</v>
      </c>
      <c r="F880" s="3">
        <v>29511100101002</v>
      </c>
      <c r="G880" s="16" t="s">
        <v>34</v>
      </c>
      <c r="H880" s="16" t="s">
        <v>1594</v>
      </c>
      <c r="I880" s="16" t="s">
        <v>66</v>
      </c>
      <c r="J880" s="45">
        <v>43184</v>
      </c>
      <c r="K880" s="16" t="s">
        <v>8</v>
      </c>
      <c r="L880" s="16" t="s">
        <v>12</v>
      </c>
      <c r="M880" s="16"/>
      <c r="N880" s="16"/>
      <c r="W880" s="16" t="s">
        <v>60</v>
      </c>
      <c r="X880" s="16" t="s">
        <v>66</v>
      </c>
      <c r="Y880" s="45">
        <v>43209</v>
      </c>
      <c r="Z880" s="16" t="s">
        <v>66</v>
      </c>
      <c r="AA880" s="45">
        <v>43212</v>
      </c>
      <c r="AB880" s="16"/>
    </row>
    <row r="881" spans="1:28" ht="15" customHeight="1">
      <c r="A881" s="290"/>
      <c r="C881" s="16">
        <v>61</v>
      </c>
      <c r="D881" s="2">
        <v>20316</v>
      </c>
      <c r="E881" s="2" t="s">
        <v>1581</v>
      </c>
      <c r="F881" s="3">
        <v>29103270100417</v>
      </c>
      <c r="G881" s="16" t="s">
        <v>3663</v>
      </c>
      <c r="H881" s="2" t="s">
        <v>1595</v>
      </c>
      <c r="I881" s="2" t="s">
        <v>66</v>
      </c>
      <c r="J881" s="4">
        <v>43184</v>
      </c>
      <c r="K881" s="16" t="s">
        <v>8</v>
      </c>
      <c r="L881" s="16" t="s">
        <v>12</v>
      </c>
      <c r="W881" s="16" t="s">
        <v>60</v>
      </c>
      <c r="Y881" s="7">
        <v>43209</v>
      </c>
      <c r="Z881" s="16" t="s">
        <v>66</v>
      </c>
      <c r="AA881" s="7">
        <v>43212</v>
      </c>
    </row>
    <row r="882" spans="1:28" ht="15" customHeight="1">
      <c r="A882" s="290"/>
      <c r="C882" s="16">
        <v>61</v>
      </c>
      <c r="D882" s="2">
        <v>20317</v>
      </c>
      <c r="E882" s="2" t="s">
        <v>1582</v>
      </c>
      <c r="F882" s="3">
        <v>29201251400819</v>
      </c>
      <c r="G882" s="2" t="s">
        <v>34</v>
      </c>
      <c r="H882" s="2" t="s">
        <v>1596</v>
      </c>
      <c r="I882" s="2" t="s">
        <v>66</v>
      </c>
      <c r="J882" s="4">
        <v>43184</v>
      </c>
      <c r="K882" s="16" t="s">
        <v>8</v>
      </c>
      <c r="L882" s="16" t="s">
        <v>12</v>
      </c>
      <c r="W882" s="16" t="s">
        <v>60</v>
      </c>
      <c r="Y882" s="7">
        <v>43209</v>
      </c>
      <c r="Z882" s="16" t="s">
        <v>67</v>
      </c>
      <c r="AA882" s="7" t="s">
        <v>3111</v>
      </c>
    </row>
    <row r="883" spans="1:28" ht="15" customHeight="1">
      <c r="A883" s="290"/>
      <c r="C883" s="16">
        <v>61</v>
      </c>
      <c r="D883" s="2">
        <v>20318</v>
      </c>
      <c r="E883" s="2" t="s">
        <v>1583</v>
      </c>
      <c r="F883" s="3">
        <v>29509140103275</v>
      </c>
      <c r="G883" s="16" t="s">
        <v>34</v>
      </c>
      <c r="H883" s="2" t="s">
        <v>1597</v>
      </c>
      <c r="I883" s="2" t="s">
        <v>66</v>
      </c>
      <c r="J883" s="4">
        <v>43184</v>
      </c>
      <c r="K883" s="16" t="s">
        <v>8</v>
      </c>
      <c r="L883" s="16" t="s">
        <v>12</v>
      </c>
      <c r="W883" s="16" t="s">
        <v>59</v>
      </c>
      <c r="X883" s="2" t="s">
        <v>66</v>
      </c>
      <c r="Y883" s="7">
        <v>43209</v>
      </c>
      <c r="Z883" s="16" t="s">
        <v>67</v>
      </c>
      <c r="AA883" s="7" t="s">
        <v>3111</v>
      </c>
    </row>
    <row r="884" spans="1:28" ht="15" customHeight="1">
      <c r="A884" s="290"/>
      <c r="C884" s="16">
        <v>61</v>
      </c>
      <c r="D884" s="2">
        <v>20319</v>
      </c>
      <c r="E884" s="2" t="s">
        <v>1584</v>
      </c>
      <c r="F884" s="3">
        <v>29402250104111</v>
      </c>
      <c r="G884" s="2" t="s">
        <v>34</v>
      </c>
      <c r="H884" s="2" t="s">
        <v>1598</v>
      </c>
      <c r="I884" s="2" t="s">
        <v>66</v>
      </c>
      <c r="J884" s="4">
        <v>43184</v>
      </c>
      <c r="K884" s="16" t="s">
        <v>8</v>
      </c>
      <c r="L884" s="16" t="s">
        <v>12</v>
      </c>
      <c r="W884" s="16" t="s">
        <v>60</v>
      </c>
      <c r="Y884" s="7">
        <v>43209</v>
      </c>
      <c r="Z884" s="16" t="s">
        <v>66</v>
      </c>
      <c r="AA884" s="7">
        <v>43212</v>
      </c>
    </row>
    <row r="885" spans="1:28" ht="15" customHeight="1">
      <c r="A885" s="290"/>
      <c r="C885" s="16">
        <v>61</v>
      </c>
      <c r="D885" s="2">
        <v>20320</v>
      </c>
      <c r="E885" s="2" t="s">
        <v>1585</v>
      </c>
      <c r="F885" s="3">
        <v>29405240102012</v>
      </c>
      <c r="G885" s="2" t="s">
        <v>34</v>
      </c>
      <c r="H885" s="2" t="s">
        <v>1599</v>
      </c>
      <c r="I885" s="2" t="s">
        <v>66</v>
      </c>
      <c r="J885" s="4">
        <v>43184</v>
      </c>
      <c r="K885" s="16" t="s">
        <v>8</v>
      </c>
      <c r="L885" s="16" t="s">
        <v>12</v>
      </c>
      <c r="W885" s="16" t="s">
        <v>60</v>
      </c>
      <c r="Y885" s="7">
        <v>43209</v>
      </c>
      <c r="Z885" s="16" t="s">
        <v>66</v>
      </c>
      <c r="AA885" s="7">
        <v>43212</v>
      </c>
    </row>
    <row r="886" spans="1:28" ht="15" customHeight="1">
      <c r="A886" s="290"/>
      <c r="C886" s="16">
        <v>61</v>
      </c>
      <c r="D886" s="16">
        <v>20321</v>
      </c>
      <c r="E886" s="16" t="s">
        <v>1586</v>
      </c>
      <c r="F886" s="3">
        <v>29312050105106</v>
      </c>
      <c r="G886" s="16" t="s">
        <v>34</v>
      </c>
      <c r="H886" s="16" t="s">
        <v>1600</v>
      </c>
      <c r="I886" s="16" t="s">
        <v>66</v>
      </c>
      <c r="J886" s="45">
        <v>43184</v>
      </c>
      <c r="K886" s="16" t="s">
        <v>8</v>
      </c>
      <c r="L886" s="16" t="s">
        <v>12</v>
      </c>
      <c r="M886" s="16"/>
      <c r="N886" s="16"/>
      <c r="W886" s="16" t="s">
        <v>61</v>
      </c>
      <c r="X886" s="16" t="s">
        <v>66</v>
      </c>
      <c r="Y886" s="45">
        <v>43209</v>
      </c>
      <c r="Z886" s="16" t="s">
        <v>66</v>
      </c>
      <c r="AA886" s="45">
        <v>43240</v>
      </c>
      <c r="AB886" s="16" t="s">
        <v>5463</v>
      </c>
    </row>
    <row r="887" spans="1:28" ht="15" customHeight="1">
      <c r="A887" s="290"/>
      <c r="C887" s="16">
        <v>61</v>
      </c>
      <c r="D887" s="2">
        <v>20322</v>
      </c>
      <c r="E887" s="2" t="s">
        <v>1587</v>
      </c>
      <c r="F887" s="3">
        <v>28811120104091</v>
      </c>
      <c r="G887" s="2" t="s">
        <v>34</v>
      </c>
      <c r="H887" s="2" t="s">
        <v>1601</v>
      </c>
      <c r="I887" s="2" t="s">
        <v>66</v>
      </c>
      <c r="J887" s="4">
        <v>43184</v>
      </c>
      <c r="K887" s="16" t="s">
        <v>8</v>
      </c>
      <c r="L887" s="16" t="s">
        <v>12</v>
      </c>
      <c r="W887" s="16" t="s">
        <v>63</v>
      </c>
      <c r="Y887" s="7">
        <v>43209</v>
      </c>
      <c r="Z887" s="16" t="s">
        <v>67</v>
      </c>
      <c r="AA887" s="7" t="s">
        <v>3111</v>
      </c>
    </row>
    <row r="888" spans="1:28" ht="15" customHeight="1">
      <c r="A888" s="290"/>
      <c r="C888" s="16">
        <v>61</v>
      </c>
      <c r="D888" s="16">
        <v>20323</v>
      </c>
      <c r="E888" s="16" t="s">
        <v>1588</v>
      </c>
      <c r="F888" s="3">
        <v>29108100106994</v>
      </c>
      <c r="G888" s="16" t="s">
        <v>34</v>
      </c>
      <c r="H888" s="16" t="s">
        <v>1602</v>
      </c>
      <c r="I888" s="16" t="s">
        <v>66</v>
      </c>
      <c r="J888" s="45">
        <v>43184</v>
      </c>
      <c r="K888" s="16" t="s">
        <v>8</v>
      </c>
      <c r="L888" s="16" t="s">
        <v>12</v>
      </c>
      <c r="M888" s="16"/>
      <c r="N888" s="16"/>
      <c r="W888" s="16" t="s">
        <v>62</v>
      </c>
      <c r="X888" s="16"/>
      <c r="Y888" s="45">
        <v>43209</v>
      </c>
      <c r="Z888" s="16" t="s">
        <v>67</v>
      </c>
      <c r="AA888" s="45" t="s">
        <v>3111</v>
      </c>
      <c r="AB888" s="16"/>
    </row>
    <row r="889" spans="1:28" ht="15" customHeight="1">
      <c r="A889" s="290"/>
      <c r="C889" s="2">
        <v>61</v>
      </c>
      <c r="D889" s="2">
        <v>20324</v>
      </c>
      <c r="E889" s="2" t="s">
        <v>1589</v>
      </c>
      <c r="F889" s="3">
        <v>29410010109551</v>
      </c>
      <c r="G889" s="2" t="s">
        <v>34</v>
      </c>
      <c r="H889" s="2" t="s">
        <v>1603</v>
      </c>
      <c r="I889" s="16" t="s">
        <v>66</v>
      </c>
      <c r="J889" s="4">
        <v>43184</v>
      </c>
      <c r="K889" s="16" t="s">
        <v>8</v>
      </c>
      <c r="L889" s="16" t="s">
        <v>12</v>
      </c>
      <c r="W889" s="16" t="s">
        <v>61</v>
      </c>
      <c r="X889" s="2" t="s">
        <v>66</v>
      </c>
      <c r="Y889" s="7">
        <v>43209</v>
      </c>
      <c r="Z889" s="16" t="s">
        <v>66</v>
      </c>
      <c r="AA889" s="7">
        <v>43240</v>
      </c>
    </row>
    <row r="890" spans="1:28" ht="15.75" customHeight="1" thickBot="1">
      <c r="A890" s="291"/>
      <c r="C890" s="28">
        <v>61</v>
      </c>
      <c r="D890" s="28">
        <v>20325</v>
      </c>
      <c r="E890" s="28" t="s">
        <v>1590</v>
      </c>
      <c r="F890" s="29" t="s">
        <v>1591</v>
      </c>
      <c r="G890" s="28" t="s">
        <v>34</v>
      </c>
      <c r="H890" s="28" t="s">
        <v>1604</v>
      </c>
      <c r="I890" s="28" t="s">
        <v>66</v>
      </c>
      <c r="J890" s="30">
        <v>43184</v>
      </c>
      <c r="K890" s="28" t="s">
        <v>8</v>
      </c>
      <c r="L890" s="28" t="s">
        <v>12</v>
      </c>
      <c r="M890" s="28"/>
      <c r="N890" s="28"/>
      <c r="O890" s="226"/>
      <c r="P890" s="28"/>
      <c r="Q890" s="226"/>
      <c r="R890" s="28"/>
      <c r="S890" s="28"/>
      <c r="T890" s="28"/>
      <c r="U890" s="28"/>
      <c r="V890" s="28"/>
      <c r="W890" s="28" t="s">
        <v>62</v>
      </c>
      <c r="X890" s="28"/>
      <c r="Y890" s="30">
        <v>43209</v>
      </c>
      <c r="Z890" s="28" t="s">
        <v>66</v>
      </c>
      <c r="AA890" s="30">
        <v>43226</v>
      </c>
      <c r="AB890" s="28"/>
    </row>
    <row r="891" spans="1:28" ht="15.75" customHeight="1" thickTop="1">
      <c r="A891" s="289" t="s">
        <v>3124</v>
      </c>
      <c r="C891" s="16">
        <v>62</v>
      </c>
      <c r="D891" s="2">
        <v>20326</v>
      </c>
      <c r="E891" s="2" t="s">
        <v>1555</v>
      </c>
      <c r="F891" s="3">
        <v>29302280105096</v>
      </c>
      <c r="G891" s="2" t="s">
        <v>34</v>
      </c>
      <c r="H891" s="2" t="s">
        <v>1567</v>
      </c>
      <c r="I891" s="16" t="s">
        <v>66</v>
      </c>
      <c r="J891" s="4">
        <v>43190</v>
      </c>
      <c r="K891" s="16" t="s">
        <v>8</v>
      </c>
      <c r="L891" s="16" t="s">
        <v>12</v>
      </c>
      <c r="W891" s="16" t="s">
        <v>61</v>
      </c>
      <c r="Y891" s="7">
        <v>43216</v>
      </c>
      <c r="Z891" s="16" t="s">
        <v>66</v>
      </c>
      <c r="AA891" s="7">
        <v>43227</v>
      </c>
    </row>
    <row r="892" spans="1:28" ht="15" customHeight="1">
      <c r="A892" s="290"/>
      <c r="C892" s="16">
        <v>62</v>
      </c>
      <c r="D892" s="2">
        <v>20327</v>
      </c>
      <c r="E892" s="2" t="s">
        <v>1556</v>
      </c>
      <c r="F892" s="3">
        <v>29806250104671</v>
      </c>
      <c r="G892" s="2" t="s">
        <v>184</v>
      </c>
      <c r="H892" s="2" t="s">
        <v>1568</v>
      </c>
      <c r="I892" s="16" t="s">
        <v>66</v>
      </c>
      <c r="J892" s="4">
        <v>43190</v>
      </c>
      <c r="K892" s="16" t="s">
        <v>8</v>
      </c>
      <c r="L892" s="16" t="s">
        <v>12</v>
      </c>
      <c r="W892" s="16" t="s">
        <v>60</v>
      </c>
      <c r="Y892" s="7">
        <v>43216</v>
      </c>
      <c r="Z892" s="16" t="s">
        <v>66</v>
      </c>
      <c r="AA892" s="7">
        <v>43227</v>
      </c>
    </row>
    <row r="893" spans="1:28" ht="15" customHeight="1">
      <c r="A893" s="290"/>
      <c r="C893" s="16">
        <v>62</v>
      </c>
      <c r="D893" s="2">
        <v>20328</v>
      </c>
      <c r="E893" s="2" t="s">
        <v>1557</v>
      </c>
      <c r="F893" s="3">
        <v>29210100103021</v>
      </c>
      <c r="G893" s="2" t="s">
        <v>34</v>
      </c>
      <c r="H893" s="2" t="s">
        <v>1569</v>
      </c>
      <c r="I893" s="16" t="s">
        <v>66</v>
      </c>
      <c r="J893" s="4">
        <v>43190</v>
      </c>
      <c r="K893" s="16" t="s">
        <v>8</v>
      </c>
      <c r="L893" s="16" t="s">
        <v>12</v>
      </c>
      <c r="W893" s="16" t="s">
        <v>60</v>
      </c>
      <c r="Y893" s="7">
        <v>43216</v>
      </c>
      <c r="Z893" s="16" t="s">
        <v>66</v>
      </c>
      <c r="AA893" s="7">
        <v>43227</v>
      </c>
    </row>
    <row r="894" spans="1:28" ht="15" customHeight="1">
      <c r="A894" s="290"/>
      <c r="C894" s="16">
        <v>62</v>
      </c>
      <c r="D894" s="2">
        <v>20329</v>
      </c>
      <c r="E894" s="2" t="s">
        <v>1558</v>
      </c>
      <c r="F894" s="3" t="s">
        <v>1559</v>
      </c>
      <c r="G894" s="2" t="s">
        <v>184</v>
      </c>
      <c r="H894" s="2" t="s">
        <v>1570</v>
      </c>
      <c r="I894" s="16" t="s">
        <v>66</v>
      </c>
      <c r="J894" s="4">
        <v>43190</v>
      </c>
      <c r="K894" s="16" t="s">
        <v>8</v>
      </c>
      <c r="L894" s="16" t="s">
        <v>12</v>
      </c>
      <c r="W894" s="16" t="s">
        <v>63</v>
      </c>
      <c r="Y894" s="7">
        <v>43216</v>
      </c>
      <c r="Z894" s="16" t="s">
        <v>67</v>
      </c>
      <c r="AA894" s="7" t="s">
        <v>3111</v>
      </c>
    </row>
    <row r="895" spans="1:28" ht="15" customHeight="1">
      <c r="A895" s="290"/>
      <c r="C895" s="16">
        <v>62</v>
      </c>
      <c r="D895" s="2">
        <v>20330</v>
      </c>
      <c r="E895" s="2" t="s">
        <v>1560</v>
      </c>
      <c r="F895" s="3">
        <v>29207182101551</v>
      </c>
      <c r="G895" s="2" t="s">
        <v>184</v>
      </c>
      <c r="H895" s="2" t="s">
        <v>1571</v>
      </c>
      <c r="I895" s="16" t="s">
        <v>66</v>
      </c>
      <c r="J895" s="4">
        <v>43190</v>
      </c>
      <c r="K895" s="16" t="s">
        <v>8</v>
      </c>
      <c r="L895" s="16" t="s">
        <v>12</v>
      </c>
      <c r="W895" s="16" t="s">
        <v>60</v>
      </c>
      <c r="Y895" s="7">
        <v>43216</v>
      </c>
      <c r="Z895" s="16" t="s">
        <v>66</v>
      </c>
      <c r="AA895" s="7">
        <v>43227</v>
      </c>
      <c r="AB895" s="2" t="s">
        <v>7131</v>
      </c>
    </row>
    <row r="896" spans="1:28" ht="15" customHeight="1">
      <c r="A896" s="290"/>
      <c r="C896" s="16">
        <v>62</v>
      </c>
      <c r="D896" s="2">
        <v>20331</v>
      </c>
      <c r="E896" s="2" t="s">
        <v>1561</v>
      </c>
      <c r="F896" s="3">
        <v>28602168800199</v>
      </c>
      <c r="G896" s="2" t="s">
        <v>34</v>
      </c>
      <c r="H896" s="2" t="s">
        <v>1572</v>
      </c>
      <c r="I896" s="16" t="s">
        <v>66</v>
      </c>
      <c r="J896" s="4">
        <v>43190</v>
      </c>
      <c r="K896" s="16" t="s">
        <v>8</v>
      </c>
      <c r="L896" s="16" t="s">
        <v>12</v>
      </c>
      <c r="W896" s="16" t="s">
        <v>60</v>
      </c>
      <c r="X896" s="2" t="s">
        <v>66</v>
      </c>
      <c r="Y896" s="7">
        <v>43216</v>
      </c>
      <c r="Z896" s="16" t="s">
        <v>66</v>
      </c>
      <c r="AA896" s="7">
        <v>43241</v>
      </c>
    </row>
    <row r="897" spans="1:28" ht="15" customHeight="1">
      <c r="A897" s="290"/>
      <c r="C897" s="16">
        <v>62</v>
      </c>
      <c r="D897" s="2">
        <v>20332</v>
      </c>
      <c r="E897" s="2" t="s">
        <v>1562</v>
      </c>
      <c r="F897" s="3">
        <v>29409282102131</v>
      </c>
      <c r="G897" s="16" t="s">
        <v>34</v>
      </c>
      <c r="H897" s="2" t="s">
        <v>1573</v>
      </c>
      <c r="I897" s="16" t="s">
        <v>66</v>
      </c>
      <c r="J897" s="4">
        <v>43190</v>
      </c>
      <c r="K897" s="16" t="s">
        <v>8</v>
      </c>
      <c r="L897" s="16" t="s">
        <v>12</v>
      </c>
      <c r="W897" s="16" t="s">
        <v>60</v>
      </c>
      <c r="Y897" s="7">
        <v>43216</v>
      </c>
      <c r="Z897" s="16" t="s">
        <v>66</v>
      </c>
      <c r="AA897" s="7">
        <v>43227</v>
      </c>
    </row>
    <row r="898" spans="1:28" ht="15" customHeight="1">
      <c r="A898" s="290"/>
      <c r="C898" s="16">
        <v>62</v>
      </c>
      <c r="D898" s="2">
        <v>20333</v>
      </c>
      <c r="E898" s="2" t="s">
        <v>1563</v>
      </c>
      <c r="F898" s="3">
        <v>29204070300129</v>
      </c>
      <c r="G898" s="2" t="s">
        <v>34</v>
      </c>
      <c r="H898" s="2" t="s">
        <v>1574</v>
      </c>
      <c r="I898" s="16" t="s">
        <v>66</v>
      </c>
      <c r="J898" s="4">
        <v>43190</v>
      </c>
      <c r="K898" s="16" t="s">
        <v>8</v>
      </c>
      <c r="L898" s="16" t="s">
        <v>12</v>
      </c>
      <c r="W898" s="16" t="s">
        <v>61</v>
      </c>
      <c r="X898" s="2" t="s">
        <v>66</v>
      </c>
      <c r="Y898" s="7">
        <v>43216</v>
      </c>
      <c r="Z898" s="16" t="s">
        <v>66</v>
      </c>
      <c r="AA898" s="7">
        <v>43240</v>
      </c>
    </row>
    <row r="899" spans="1:28" ht="15" customHeight="1">
      <c r="A899" s="290"/>
      <c r="C899" s="2">
        <v>62</v>
      </c>
      <c r="D899" s="2">
        <v>20334</v>
      </c>
      <c r="E899" s="2" t="s">
        <v>1564</v>
      </c>
      <c r="F899" s="3">
        <v>29205080400098</v>
      </c>
      <c r="G899" s="2" t="s">
        <v>34</v>
      </c>
      <c r="H899" s="2" t="s">
        <v>1575</v>
      </c>
      <c r="I899" s="2" t="s">
        <v>66</v>
      </c>
      <c r="J899" s="4">
        <v>43190</v>
      </c>
      <c r="K899" s="16" t="s">
        <v>8</v>
      </c>
      <c r="L899" s="16" t="s">
        <v>12</v>
      </c>
      <c r="W899" s="16" t="s">
        <v>60</v>
      </c>
      <c r="Y899" s="7">
        <v>43216</v>
      </c>
      <c r="Z899" s="16" t="s">
        <v>66</v>
      </c>
      <c r="AA899" s="7">
        <v>43227</v>
      </c>
    </row>
    <row r="900" spans="1:28" ht="15" customHeight="1">
      <c r="A900" s="290"/>
      <c r="C900" s="16">
        <v>62</v>
      </c>
      <c r="D900" s="16">
        <v>20335</v>
      </c>
      <c r="E900" s="16" t="s">
        <v>1565</v>
      </c>
      <c r="F900" s="3">
        <v>29503061900731</v>
      </c>
      <c r="G900" s="16" t="s">
        <v>184</v>
      </c>
      <c r="H900" s="16" t="s">
        <v>1576</v>
      </c>
      <c r="I900" s="16" t="s">
        <v>66</v>
      </c>
      <c r="J900" s="45">
        <v>43190</v>
      </c>
      <c r="K900" s="16" t="s">
        <v>8</v>
      </c>
      <c r="L900" s="16" t="s">
        <v>12</v>
      </c>
      <c r="M900" s="16"/>
      <c r="N900" s="16"/>
      <c r="W900" s="16" t="s">
        <v>62</v>
      </c>
      <c r="X900" s="16"/>
      <c r="Y900" s="45">
        <v>43216</v>
      </c>
      <c r="Z900" s="16" t="s">
        <v>66</v>
      </c>
      <c r="AA900" s="45">
        <v>43226</v>
      </c>
      <c r="AB900" s="16" t="s">
        <v>6861</v>
      </c>
    </row>
    <row r="901" spans="1:28" ht="15.75" customHeight="1" thickBot="1">
      <c r="A901" s="291"/>
      <c r="C901" s="28">
        <v>62</v>
      </c>
      <c r="D901" s="28">
        <v>20336</v>
      </c>
      <c r="E901" s="28" t="s">
        <v>1566</v>
      </c>
      <c r="F901" s="29">
        <v>29505070102301</v>
      </c>
      <c r="G901" s="28" t="s">
        <v>34</v>
      </c>
      <c r="H901" s="28" t="s">
        <v>1577</v>
      </c>
      <c r="I901" s="28" t="s">
        <v>66</v>
      </c>
      <c r="J901" s="30">
        <v>43190</v>
      </c>
      <c r="K901" s="28" t="s">
        <v>8</v>
      </c>
      <c r="L901" s="28" t="s">
        <v>12</v>
      </c>
      <c r="M901" s="28"/>
      <c r="N901" s="28"/>
      <c r="O901" s="226"/>
      <c r="P901" s="28"/>
      <c r="Q901" s="226"/>
      <c r="R901" s="28"/>
      <c r="S901" s="28"/>
      <c r="T901" s="28"/>
      <c r="U901" s="28"/>
      <c r="V901" s="28"/>
      <c r="W901" s="28" t="s">
        <v>61</v>
      </c>
      <c r="X901" s="28"/>
      <c r="Y901" s="30">
        <v>43216</v>
      </c>
      <c r="Z901" s="28" t="s">
        <v>66</v>
      </c>
      <c r="AA901" s="30">
        <v>43227</v>
      </c>
      <c r="AB901" s="28"/>
    </row>
    <row r="902" spans="1:28" ht="15.75" customHeight="1" thickTop="1">
      <c r="A902" s="289" t="s">
        <v>3127</v>
      </c>
      <c r="C902" s="16">
        <v>63</v>
      </c>
      <c r="D902" s="2">
        <v>20475</v>
      </c>
      <c r="E902" s="2" t="s">
        <v>1533</v>
      </c>
      <c r="F902" s="3">
        <v>28407042100933</v>
      </c>
      <c r="G902" s="2" t="s">
        <v>34</v>
      </c>
      <c r="H902" s="2" t="s">
        <v>1544</v>
      </c>
      <c r="I902" s="2" t="s">
        <v>66</v>
      </c>
      <c r="J902" s="4">
        <v>43197</v>
      </c>
      <c r="K902" s="16" t="s">
        <v>8</v>
      </c>
      <c r="L902" s="16" t="s">
        <v>12</v>
      </c>
      <c r="W902" s="16" t="s">
        <v>61</v>
      </c>
      <c r="Y902" s="7">
        <v>43223</v>
      </c>
      <c r="Z902" s="16" t="s">
        <v>66</v>
      </c>
      <c r="AA902" s="7">
        <v>43227</v>
      </c>
    </row>
    <row r="903" spans="1:28" ht="15" customHeight="1">
      <c r="A903" s="290"/>
      <c r="C903" s="16">
        <v>63</v>
      </c>
      <c r="D903" s="2">
        <v>20476</v>
      </c>
      <c r="E903" s="2" t="s">
        <v>1534</v>
      </c>
      <c r="F903" s="3">
        <v>27801230202278</v>
      </c>
      <c r="G903" s="2" t="s">
        <v>34</v>
      </c>
      <c r="H903" s="2" t="s">
        <v>1545</v>
      </c>
      <c r="I903" s="2" t="s">
        <v>66</v>
      </c>
      <c r="J903" s="4">
        <v>43197</v>
      </c>
      <c r="K903" s="16" t="s">
        <v>8</v>
      </c>
      <c r="L903" s="16" t="s">
        <v>12</v>
      </c>
      <c r="W903" s="16" t="s">
        <v>60</v>
      </c>
      <c r="Y903" s="7">
        <v>43223</v>
      </c>
      <c r="Z903" s="16" t="s">
        <v>66</v>
      </c>
      <c r="AA903" s="7">
        <v>43227</v>
      </c>
    </row>
    <row r="904" spans="1:28" ht="15" customHeight="1">
      <c r="A904" s="290"/>
      <c r="C904" s="16">
        <v>63</v>
      </c>
      <c r="D904" s="2">
        <v>20477</v>
      </c>
      <c r="E904" s="2" t="s">
        <v>1535</v>
      </c>
      <c r="F904" s="3">
        <v>29503078800217</v>
      </c>
      <c r="G904" s="2" t="s">
        <v>34</v>
      </c>
      <c r="H904" s="2" t="s">
        <v>1546</v>
      </c>
      <c r="I904" s="2" t="s">
        <v>66</v>
      </c>
      <c r="J904" s="4">
        <v>43197</v>
      </c>
      <c r="K904" s="16" t="s">
        <v>8</v>
      </c>
      <c r="L904" s="16" t="s">
        <v>12</v>
      </c>
      <c r="W904" s="16" t="s">
        <v>63</v>
      </c>
      <c r="Y904" s="7">
        <v>43223</v>
      </c>
      <c r="Z904" s="16" t="s">
        <v>67</v>
      </c>
      <c r="AA904" s="7" t="s">
        <v>3111</v>
      </c>
    </row>
    <row r="905" spans="1:28" ht="15" customHeight="1">
      <c r="A905" s="290"/>
      <c r="C905" s="16">
        <v>63</v>
      </c>
      <c r="D905" s="2">
        <v>20478</v>
      </c>
      <c r="E905" s="2" t="s">
        <v>1536</v>
      </c>
      <c r="F905" s="3">
        <v>29508060103685</v>
      </c>
      <c r="G905" s="2" t="s">
        <v>34</v>
      </c>
      <c r="H905" s="2" t="s">
        <v>1547</v>
      </c>
      <c r="I905" s="2" t="s">
        <v>66</v>
      </c>
      <c r="J905" s="4">
        <v>43197</v>
      </c>
      <c r="K905" s="16" t="s">
        <v>8</v>
      </c>
      <c r="L905" s="16" t="s">
        <v>12</v>
      </c>
      <c r="W905" s="16" t="s">
        <v>62</v>
      </c>
      <c r="Y905" s="7">
        <v>43223</v>
      </c>
      <c r="Z905" s="16" t="s">
        <v>67</v>
      </c>
      <c r="AA905" s="7" t="s">
        <v>3111</v>
      </c>
    </row>
    <row r="906" spans="1:28" ht="15" customHeight="1">
      <c r="A906" s="290"/>
      <c r="C906" s="16">
        <v>63</v>
      </c>
      <c r="D906" s="2">
        <v>20479</v>
      </c>
      <c r="E906" s="2" t="s">
        <v>1537</v>
      </c>
      <c r="F906" s="3">
        <v>28508071802999</v>
      </c>
      <c r="G906" s="2" t="s">
        <v>34</v>
      </c>
      <c r="H906" s="2" t="s">
        <v>1548</v>
      </c>
      <c r="I906" s="2" t="s">
        <v>66</v>
      </c>
      <c r="J906" s="4">
        <v>43197</v>
      </c>
      <c r="K906" s="16" t="s">
        <v>8</v>
      </c>
      <c r="L906" s="16" t="s">
        <v>12</v>
      </c>
      <c r="W906" s="16" t="s">
        <v>61</v>
      </c>
      <c r="Y906" s="7">
        <v>43223</v>
      </c>
      <c r="Z906" s="16" t="s">
        <v>66</v>
      </c>
      <c r="AA906" s="7">
        <v>43227</v>
      </c>
    </row>
    <row r="907" spans="1:28" ht="15" customHeight="1">
      <c r="A907" s="290"/>
      <c r="C907" s="16">
        <v>63</v>
      </c>
      <c r="D907" s="2">
        <v>20480</v>
      </c>
      <c r="E907" s="2" t="s">
        <v>1538</v>
      </c>
      <c r="F907" s="3">
        <v>29409302107836</v>
      </c>
      <c r="G907" s="16" t="s">
        <v>34</v>
      </c>
      <c r="H907" s="2" t="s">
        <v>1549</v>
      </c>
      <c r="I907" s="2" t="s">
        <v>66</v>
      </c>
      <c r="J907" s="4">
        <v>43197</v>
      </c>
      <c r="K907" s="16" t="s">
        <v>8</v>
      </c>
      <c r="L907" s="16" t="s">
        <v>12</v>
      </c>
      <c r="W907" s="16" t="s">
        <v>63</v>
      </c>
      <c r="Y907" s="7">
        <v>43223</v>
      </c>
      <c r="Z907" s="16" t="s">
        <v>67</v>
      </c>
      <c r="AA907" s="7" t="s">
        <v>3111</v>
      </c>
    </row>
    <row r="908" spans="1:28" ht="15" customHeight="1">
      <c r="A908" s="290"/>
      <c r="C908" s="2">
        <v>63</v>
      </c>
      <c r="D908" s="2">
        <v>20481</v>
      </c>
      <c r="E908" s="2" t="s">
        <v>1539</v>
      </c>
      <c r="F908" s="3">
        <v>29310262101698</v>
      </c>
      <c r="G908" s="2" t="s">
        <v>34</v>
      </c>
      <c r="H908" s="2" t="s">
        <v>1550</v>
      </c>
      <c r="I908" s="16" t="s">
        <v>66</v>
      </c>
      <c r="J908" s="4">
        <v>43197</v>
      </c>
      <c r="K908" s="16" t="s">
        <v>8</v>
      </c>
      <c r="L908" s="16" t="s">
        <v>12</v>
      </c>
      <c r="W908" s="16" t="s">
        <v>61</v>
      </c>
      <c r="Y908" s="7">
        <v>43223</v>
      </c>
      <c r="Z908" s="16" t="s">
        <v>66</v>
      </c>
      <c r="AA908" s="7">
        <v>43227</v>
      </c>
    </row>
    <row r="909" spans="1:28" ht="15" customHeight="1">
      <c r="A909" s="290"/>
      <c r="C909" s="16">
        <v>63</v>
      </c>
      <c r="D909" s="2">
        <v>20482</v>
      </c>
      <c r="E909" s="2" t="s">
        <v>1540</v>
      </c>
      <c r="F909" s="3">
        <v>28109240200934</v>
      </c>
      <c r="G909" s="2" t="s">
        <v>34</v>
      </c>
      <c r="H909" s="2" t="s">
        <v>1551</v>
      </c>
      <c r="I909" s="16" t="s">
        <v>66</v>
      </c>
      <c r="J909" s="4">
        <v>43197</v>
      </c>
      <c r="K909" s="16" t="s">
        <v>8</v>
      </c>
      <c r="L909" s="16" t="s">
        <v>12</v>
      </c>
      <c r="W909" s="16" t="s">
        <v>61</v>
      </c>
      <c r="X909" s="2" t="s">
        <v>66</v>
      </c>
      <c r="Y909" s="7">
        <v>43223</v>
      </c>
      <c r="Z909" s="16" t="s">
        <v>66</v>
      </c>
      <c r="AA909" s="7">
        <v>43240</v>
      </c>
      <c r="AB909" s="2" t="s">
        <v>6291</v>
      </c>
    </row>
    <row r="910" spans="1:28" ht="15" customHeight="1">
      <c r="A910" s="290"/>
      <c r="C910" s="16">
        <v>63</v>
      </c>
      <c r="D910" s="16">
        <v>20483</v>
      </c>
      <c r="E910" s="16" t="s">
        <v>1541</v>
      </c>
      <c r="F910" s="3">
        <v>29409011300639</v>
      </c>
      <c r="G910" s="16" t="s">
        <v>34</v>
      </c>
      <c r="H910" s="16" t="s">
        <v>1552</v>
      </c>
      <c r="I910" s="16" t="s">
        <v>66</v>
      </c>
      <c r="J910" s="45">
        <v>43197</v>
      </c>
      <c r="K910" s="16" t="s">
        <v>8</v>
      </c>
      <c r="L910" s="16" t="s">
        <v>12</v>
      </c>
      <c r="M910" s="16"/>
      <c r="N910" s="16"/>
      <c r="W910" s="16" t="s">
        <v>60</v>
      </c>
      <c r="X910" s="16"/>
      <c r="Y910" s="45">
        <v>43223</v>
      </c>
      <c r="Z910" s="16" t="s">
        <v>66</v>
      </c>
      <c r="AA910" s="45">
        <v>43227</v>
      </c>
      <c r="AB910" s="16"/>
    </row>
    <row r="911" spans="1:28" ht="15" customHeight="1">
      <c r="A911" s="290"/>
      <c r="C911" s="16">
        <v>63</v>
      </c>
      <c r="D911" s="2">
        <v>20484</v>
      </c>
      <c r="E911" s="2" t="s">
        <v>1542</v>
      </c>
      <c r="F911" s="3">
        <v>29203091401816</v>
      </c>
      <c r="G911" s="2" t="s">
        <v>4</v>
      </c>
      <c r="H911" s="2" t="s">
        <v>1553</v>
      </c>
      <c r="I911" s="16" t="s">
        <v>66</v>
      </c>
      <c r="J911" s="4">
        <v>43197</v>
      </c>
      <c r="K911" s="16" t="s">
        <v>8</v>
      </c>
      <c r="L911" s="16" t="s">
        <v>12</v>
      </c>
      <c r="W911" s="16" t="s">
        <v>61</v>
      </c>
      <c r="Y911" s="7">
        <v>43223</v>
      </c>
      <c r="Z911" s="16" t="s">
        <v>66</v>
      </c>
      <c r="AA911" s="7">
        <v>43227</v>
      </c>
    </row>
    <row r="912" spans="1:28" ht="15.75" customHeight="1" thickBot="1">
      <c r="A912" s="291"/>
      <c r="C912" s="28">
        <v>63</v>
      </c>
      <c r="D912" s="28">
        <v>20485</v>
      </c>
      <c r="E912" s="28" t="s">
        <v>1543</v>
      </c>
      <c r="F912" s="29">
        <v>29503152104252</v>
      </c>
      <c r="G912" s="28" t="s">
        <v>34</v>
      </c>
      <c r="H912" s="28" t="s">
        <v>1554</v>
      </c>
      <c r="I912" s="28" t="s">
        <v>66</v>
      </c>
      <c r="J912" s="30">
        <v>43197</v>
      </c>
      <c r="K912" s="28" t="s">
        <v>8</v>
      </c>
      <c r="L912" s="28" t="s">
        <v>12</v>
      </c>
      <c r="M912" s="28"/>
      <c r="N912" s="28"/>
      <c r="O912" s="226"/>
      <c r="P912" s="28"/>
      <c r="Q912" s="226"/>
      <c r="R912" s="28"/>
      <c r="S912" s="28"/>
      <c r="T912" s="28"/>
      <c r="U912" s="28"/>
      <c r="V912" s="28"/>
      <c r="W912" s="28" t="s">
        <v>62</v>
      </c>
      <c r="X912" s="28"/>
      <c r="Y912" s="30">
        <v>43223</v>
      </c>
      <c r="Z912" s="28" t="s">
        <v>66</v>
      </c>
      <c r="AA912" s="30">
        <v>43226</v>
      </c>
      <c r="AB912" s="28"/>
    </row>
    <row r="913" spans="1:28" ht="15.75" customHeight="1" thickTop="1">
      <c r="A913" s="289" t="s">
        <v>3120</v>
      </c>
      <c r="C913" s="16">
        <v>64</v>
      </c>
      <c r="D913" s="2">
        <v>20487</v>
      </c>
      <c r="E913" s="2" t="s">
        <v>1516</v>
      </c>
      <c r="F913" s="3">
        <v>29403312101382</v>
      </c>
      <c r="G913" s="2" t="s">
        <v>34</v>
      </c>
      <c r="H913" s="2" t="s">
        <v>1525</v>
      </c>
      <c r="I913" s="16" t="s">
        <v>66</v>
      </c>
      <c r="J913" s="4">
        <v>43204</v>
      </c>
      <c r="K913" s="16" t="s">
        <v>8</v>
      </c>
      <c r="L913" s="16" t="s">
        <v>12</v>
      </c>
      <c r="W913" s="16" t="s">
        <v>60</v>
      </c>
      <c r="Y913" s="7">
        <v>43229</v>
      </c>
      <c r="Z913" s="16" t="s">
        <v>66</v>
      </c>
      <c r="AA913" s="7">
        <v>43241</v>
      </c>
    </row>
    <row r="914" spans="1:28" ht="15" customHeight="1">
      <c r="A914" s="290"/>
      <c r="C914" s="16">
        <v>64</v>
      </c>
      <c r="D914" s="2">
        <v>20488</v>
      </c>
      <c r="E914" s="2" t="s">
        <v>1517</v>
      </c>
      <c r="F914" s="3">
        <v>29507250105459</v>
      </c>
      <c r="G914" s="2" t="s">
        <v>34</v>
      </c>
      <c r="H914" s="2" t="s">
        <v>1526</v>
      </c>
      <c r="I914" s="16" t="s">
        <v>66</v>
      </c>
      <c r="J914" s="4">
        <v>43204</v>
      </c>
      <c r="K914" s="16" t="s">
        <v>8</v>
      </c>
      <c r="L914" s="16" t="s">
        <v>12</v>
      </c>
      <c r="W914" s="16" t="s">
        <v>62</v>
      </c>
      <c r="X914" s="2" t="s">
        <v>66</v>
      </c>
      <c r="Y914" s="7">
        <v>43229</v>
      </c>
      <c r="Z914" s="16" t="s">
        <v>66</v>
      </c>
      <c r="AA914" s="7">
        <v>43255</v>
      </c>
    </row>
    <row r="915" spans="1:28" ht="15" customHeight="1">
      <c r="A915" s="290"/>
      <c r="C915" s="16">
        <v>64</v>
      </c>
      <c r="D915" s="16">
        <v>20489</v>
      </c>
      <c r="E915" s="16" t="s">
        <v>1518</v>
      </c>
      <c r="F915" s="3">
        <v>28909200107695</v>
      </c>
      <c r="G915" s="16" t="s">
        <v>34</v>
      </c>
      <c r="H915" s="16" t="s">
        <v>1527</v>
      </c>
      <c r="I915" s="16" t="s">
        <v>66</v>
      </c>
      <c r="J915" s="45">
        <v>43204</v>
      </c>
      <c r="K915" s="16" t="s">
        <v>8</v>
      </c>
      <c r="L915" s="16" t="s">
        <v>12</v>
      </c>
      <c r="M915" s="16"/>
      <c r="N915" s="16"/>
      <c r="W915" s="16" t="s">
        <v>61</v>
      </c>
      <c r="X915" s="16" t="s">
        <v>66</v>
      </c>
      <c r="Y915" s="45">
        <v>43229</v>
      </c>
      <c r="Z915" s="16" t="s">
        <v>66</v>
      </c>
      <c r="AA915" s="45">
        <v>43262</v>
      </c>
      <c r="AB915" s="16"/>
    </row>
    <row r="916" spans="1:28" ht="15" customHeight="1">
      <c r="A916" s="290"/>
      <c r="C916" s="16">
        <v>64</v>
      </c>
      <c r="D916" s="2">
        <v>20490</v>
      </c>
      <c r="E916" s="2" t="s">
        <v>1519</v>
      </c>
      <c r="F916" s="3">
        <v>29110180101259</v>
      </c>
      <c r="G916" s="2" t="s">
        <v>34</v>
      </c>
      <c r="H916" s="2" t="s">
        <v>1528</v>
      </c>
      <c r="I916" s="16" t="s">
        <v>66</v>
      </c>
      <c r="J916" s="4">
        <v>43204</v>
      </c>
      <c r="K916" s="16" t="s">
        <v>8</v>
      </c>
      <c r="L916" s="16" t="s">
        <v>12</v>
      </c>
      <c r="W916" s="16" t="s">
        <v>60</v>
      </c>
      <c r="X916" s="2" t="s">
        <v>66</v>
      </c>
      <c r="Y916" s="7">
        <v>43229</v>
      </c>
      <c r="Z916" s="16" t="s">
        <v>66</v>
      </c>
      <c r="AA916" s="7">
        <v>43269</v>
      </c>
    </row>
    <row r="917" spans="1:28" ht="15" customHeight="1">
      <c r="A917" s="290"/>
      <c r="C917" s="16">
        <v>64</v>
      </c>
      <c r="D917" s="2">
        <v>20491</v>
      </c>
      <c r="E917" s="2" t="s">
        <v>1520</v>
      </c>
      <c r="F917" s="3">
        <v>29410270102924</v>
      </c>
      <c r="G917" s="2" t="s">
        <v>34</v>
      </c>
      <c r="H917" s="2" t="s">
        <v>1529</v>
      </c>
      <c r="I917" s="16" t="s">
        <v>66</v>
      </c>
      <c r="J917" s="4">
        <v>43204</v>
      </c>
      <c r="K917" s="16" t="s">
        <v>8</v>
      </c>
      <c r="L917" s="16" t="s">
        <v>12</v>
      </c>
      <c r="W917" s="16" t="s">
        <v>61</v>
      </c>
      <c r="Y917" s="7">
        <v>43229</v>
      </c>
      <c r="Z917" s="16" t="s">
        <v>66</v>
      </c>
      <c r="AA917" s="7">
        <v>43240</v>
      </c>
    </row>
    <row r="918" spans="1:28" ht="15" customHeight="1">
      <c r="A918" s="290"/>
      <c r="C918" s="16">
        <v>64</v>
      </c>
      <c r="D918" s="2">
        <v>20492</v>
      </c>
      <c r="E918" s="2" t="s">
        <v>1521</v>
      </c>
      <c r="F918" s="3">
        <v>29412220101369</v>
      </c>
      <c r="G918" s="2" t="s">
        <v>34</v>
      </c>
      <c r="H918" s="2" t="s">
        <v>1530</v>
      </c>
      <c r="I918" s="16" t="s">
        <v>66</v>
      </c>
      <c r="J918" s="4">
        <v>43204</v>
      </c>
      <c r="K918" s="16" t="s">
        <v>8</v>
      </c>
      <c r="L918" s="16" t="s">
        <v>12</v>
      </c>
      <c r="W918" s="16" t="s">
        <v>110</v>
      </c>
      <c r="Y918" s="7">
        <v>43229</v>
      </c>
      <c r="Z918" s="16" t="s">
        <v>66</v>
      </c>
      <c r="AA918" s="7">
        <v>43241</v>
      </c>
    </row>
    <row r="919" spans="1:28" ht="15" customHeight="1">
      <c r="A919" s="290"/>
      <c r="C919" s="16">
        <v>64</v>
      </c>
      <c r="D919" s="2">
        <v>20493</v>
      </c>
      <c r="E919" s="2" t="s">
        <v>1522</v>
      </c>
      <c r="F919" s="3">
        <v>29501192102179</v>
      </c>
      <c r="G919" s="2" t="s">
        <v>34</v>
      </c>
      <c r="H919" s="2" t="s">
        <v>1531</v>
      </c>
      <c r="I919" s="16" t="s">
        <v>66</v>
      </c>
      <c r="J919" s="4">
        <v>43204</v>
      </c>
      <c r="K919" s="16" t="s">
        <v>8</v>
      </c>
      <c r="L919" s="16" t="s">
        <v>12</v>
      </c>
      <c r="W919" s="16" t="s">
        <v>62</v>
      </c>
      <c r="X919" s="2" t="s">
        <v>66</v>
      </c>
      <c r="Y919" s="7">
        <v>43229</v>
      </c>
      <c r="Z919" s="16" t="s">
        <v>66</v>
      </c>
      <c r="AA919" s="7">
        <v>43255</v>
      </c>
    </row>
    <row r="920" spans="1:28" ht="15" customHeight="1">
      <c r="A920" s="290"/>
      <c r="C920" s="16">
        <v>64</v>
      </c>
      <c r="D920" s="16">
        <v>20494</v>
      </c>
      <c r="E920" s="16" t="s">
        <v>1523</v>
      </c>
      <c r="F920" s="3">
        <v>29507060102585</v>
      </c>
      <c r="G920" s="16" t="s">
        <v>34</v>
      </c>
      <c r="H920" s="16" t="s">
        <v>1532</v>
      </c>
      <c r="I920" s="16" t="s">
        <v>66</v>
      </c>
      <c r="J920" s="45">
        <v>43204</v>
      </c>
      <c r="K920" s="16" t="s">
        <v>8</v>
      </c>
      <c r="L920" s="16" t="s">
        <v>12</v>
      </c>
      <c r="M920" s="16"/>
      <c r="N920" s="16"/>
      <c r="W920" s="16" t="s">
        <v>110</v>
      </c>
      <c r="X920" s="16"/>
      <c r="Y920" s="45">
        <v>43229</v>
      </c>
      <c r="Z920" s="16" t="s">
        <v>66</v>
      </c>
      <c r="AA920" s="45">
        <v>43241</v>
      </c>
      <c r="AB920" s="16"/>
    </row>
    <row r="921" spans="1:28" ht="15.75" customHeight="1" thickBot="1">
      <c r="A921" s="291"/>
      <c r="C921" s="28">
        <v>64</v>
      </c>
      <c r="D921" s="28">
        <v>2144730</v>
      </c>
      <c r="E921" s="28" t="s">
        <v>1524</v>
      </c>
      <c r="F921" s="29"/>
      <c r="G921" s="28"/>
      <c r="H921" s="28"/>
      <c r="I921" s="28" t="s">
        <v>67</v>
      </c>
      <c r="J921" s="30" t="s">
        <v>330</v>
      </c>
      <c r="K921" s="28" t="s">
        <v>8</v>
      </c>
      <c r="L921" s="28" t="s">
        <v>12</v>
      </c>
      <c r="M921" s="28"/>
      <c r="N921" s="31" t="s">
        <v>317</v>
      </c>
      <c r="O921" s="228"/>
      <c r="P921" s="31"/>
      <c r="Q921" s="228"/>
      <c r="R921" s="28"/>
      <c r="S921" s="28"/>
      <c r="T921" s="28"/>
      <c r="U921" s="28"/>
      <c r="V921" s="28"/>
      <c r="W921" s="28"/>
      <c r="X921" s="28"/>
      <c r="Y921" s="30"/>
      <c r="Z921" s="28"/>
      <c r="AA921" s="30"/>
      <c r="AB921" s="28"/>
    </row>
    <row r="922" spans="1:28" ht="15.75" customHeight="1" thickTop="1">
      <c r="A922" s="289" t="s">
        <v>3122</v>
      </c>
      <c r="C922" s="16">
        <v>65</v>
      </c>
      <c r="D922" s="2">
        <v>20495</v>
      </c>
      <c r="E922" s="2" t="s">
        <v>1485</v>
      </c>
      <c r="F922" s="3">
        <v>29411032101371</v>
      </c>
      <c r="G922" s="2" t="s">
        <v>34</v>
      </c>
      <c r="H922" s="2" t="s">
        <v>1501</v>
      </c>
      <c r="I922" s="16" t="s">
        <v>66</v>
      </c>
      <c r="J922" s="4">
        <v>43204</v>
      </c>
      <c r="K922" s="16" t="s">
        <v>8</v>
      </c>
      <c r="L922" s="16" t="s">
        <v>12</v>
      </c>
      <c r="M922" s="2" t="s">
        <v>257</v>
      </c>
      <c r="W922" s="16" t="s">
        <v>110</v>
      </c>
      <c r="Y922" s="7">
        <v>43230</v>
      </c>
      <c r="Z922" s="16" t="s">
        <v>66</v>
      </c>
      <c r="AA922" s="7">
        <v>43241</v>
      </c>
    </row>
    <row r="923" spans="1:28" ht="15" customHeight="1">
      <c r="A923" s="290"/>
      <c r="C923" s="2">
        <v>65</v>
      </c>
      <c r="D923" s="2">
        <v>20496</v>
      </c>
      <c r="E923" s="2" t="s">
        <v>1486</v>
      </c>
      <c r="F923" s="3">
        <v>29208100101091</v>
      </c>
      <c r="G923" s="2" t="s">
        <v>34</v>
      </c>
      <c r="H923" s="2" t="s">
        <v>1502</v>
      </c>
      <c r="I923" s="16" t="s">
        <v>66</v>
      </c>
      <c r="J923" s="4">
        <v>43204</v>
      </c>
      <c r="K923" s="16" t="s">
        <v>8</v>
      </c>
      <c r="L923" s="16" t="s">
        <v>12</v>
      </c>
      <c r="M923" s="2" t="s">
        <v>57</v>
      </c>
      <c r="W923" s="16" t="s">
        <v>64</v>
      </c>
      <c r="Y923" s="7">
        <v>43230</v>
      </c>
      <c r="Z923" s="16" t="s">
        <v>67</v>
      </c>
      <c r="AA923" s="7" t="s">
        <v>3111</v>
      </c>
    </row>
    <row r="924" spans="1:28" ht="15" customHeight="1">
      <c r="A924" s="290"/>
      <c r="C924" s="16">
        <v>65</v>
      </c>
      <c r="D924" s="2" t="s">
        <v>1487</v>
      </c>
      <c r="E924" s="2" t="s">
        <v>1488</v>
      </c>
      <c r="F924" s="3">
        <v>29309280108456</v>
      </c>
      <c r="G924" s="2" t="s">
        <v>184</v>
      </c>
      <c r="H924" s="2" t="s">
        <v>1503</v>
      </c>
      <c r="I924" s="16" t="s">
        <v>66</v>
      </c>
      <c r="J924" s="4">
        <v>43204</v>
      </c>
      <c r="K924" s="16" t="s">
        <v>8</v>
      </c>
      <c r="L924" s="16" t="s">
        <v>12</v>
      </c>
      <c r="M924" s="2" t="s">
        <v>1513</v>
      </c>
      <c r="W924" s="16" t="s">
        <v>63</v>
      </c>
      <c r="Y924" s="7">
        <v>43230</v>
      </c>
      <c r="Z924" s="16" t="s">
        <v>67</v>
      </c>
      <c r="AA924" s="7" t="s">
        <v>3111</v>
      </c>
    </row>
    <row r="925" spans="1:28" ht="15" customHeight="1">
      <c r="A925" s="290"/>
      <c r="C925" s="16">
        <v>65</v>
      </c>
      <c r="D925" s="2">
        <v>20498</v>
      </c>
      <c r="E925" s="2" t="s">
        <v>1489</v>
      </c>
      <c r="F925" s="3">
        <v>29401261400638</v>
      </c>
      <c r="G925" s="2" t="s">
        <v>34</v>
      </c>
      <c r="H925" s="2" t="s">
        <v>1504</v>
      </c>
      <c r="I925" s="16" t="s">
        <v>66</v>
      </c>
      <c r="J925" s="4">
        <v>43204</v>
      </c>
      <c r="K925" s="16" t="s">
        <v>8</v>
      </c>
      <c r="L925" s="16" t="s">
        <v>12</v>
      </c>
      <c r="M925" s="2" t="s">
        <v>57</v>
      </c>
      <c r="W925" s="16" t="s">
        <v>110</v>
      </c>
      <c r="Y925" s="7">
        <v>43230</v>
      </c>
      <c r="Z925" s="16" t="s">
        <v>66</v>
      </c>
      <c r="AA925" s="7">
        <v>43241</v>
      </c>
    </row>
    <row r="926" spans="1:28" ht="15" customHeight="1">
      <c r="A926" s="290"/>
      <c r="C926" s="16">
        <v>65</v>
      </c>
      <c r="D926" s="2">
        <v>20499</v>
      </c>
      <c r="E926" s="2" t="s">
        <v>1490</v>
      </c>
      <c r="F926" s="3">
        <v>29312170102551</v>
      </c>
      <c r="G926" s="2" t="s">
        <v>34</v>
      </c>
      <c r="H926" s="2" t="s">
        <v>1505</v>
      </c>
      <c r="I926" s="16" t="s">
        <v>66</v>
      </c>
      <c r="J926" s="4">
        <v>43204</v>
      </c>
      <c r="K926" s="16" t="s">
        <v>8</v>
      </c>
      <c r="L926" s="16" t="s">
        <v>12</v>
      </c>
      <c r="M926" s="2" t="s">
        <v>1514</v>
      </c>
      <c r="W926" s="16" t="s">
        <v>61</v>
      </c>
      <c r="X926" s="2" t="s">
        <v>66</v>
      </c>
      <c r="Y926" s="7">
        <v>43230</v>
      </c>
      <c r="Z926" s="16" t="s">
        <v>66</v>
      </c>
      <c r="AA926" s="7">
        <v>43262</v>
      </c>
    </row>
    <row r="927" spans="1:28" ht="15" customHeight="1">
      <c r="A927" s="290"/>
      <c r="C927" s="16">
        <v>65</v>
      </c>
      <c r="D927" s="2">
        <v>20500</v>
      </c>
      <c r="E927" s="2" t="s">
        <v>1491</v>
      </c>
      <c r="F927" s="3">
        <v>28206261802298</v>
      </c>
      <c r="G927" s="2" t="s">
        <v>34</v>
      </c>
      <c r="H927" s="2" t="s">
        <v>1506</v>
      </c>
      <c r="I927" s="16" t="s">
        <v>66</v>
      </c>
      <c r="J927" s="4">
        <v>43204</v>
      </c>
      <c r="K927" s="16" t="s">
        <v>8</v>
      </c>
      <c r="L927" s="16" t="s">
        <v>12</v>
      </c>
      <c r="M927" s="2" t="s">
        <v>1437</v>
      </c>
      <c r="W927" s="16" t="s">
        <v>62</v>
      </c>
      <c r="X927" s="2" t="s">
        <v>66</v>
      </c>
      <c r="Y927" s="7">
        <v>43230</v>
      </c>
      <c r="Z927" s="16" t="s">
        <v>66</v>
      </c>
      <c r="AA927" s="7">
        <v>43255</v>
      </c>
    </row>
    <row r="928" spans="1:28" ht="15" customHeight="1">
      <c r="A928" s="290"/>
      <c r="C928" s="16">
        <v>65</v>
      </c>
      <c r="D928" s="2">
        <v>20501</v>
      </c>
      <c r="E928" s="2" t="s">
        <v>1492</v>
      </c>
      <c r="F928" s="3">
        <v>28503130100055</v>
      </c>
      <c r="G928" s="2" t="s">
        <v>34</v>
      </c>
      <c r="H928" s="2" t="s">
        <v>1507</v>
      </c>
      <c r="I928" s="16" t="s">
        <v>66</v>
      </c>
      <c r="J928" s="4">
        <v>43204</v>
      </c>
      <c r="K928" s="16" t="s">
        <v>8</v>
      </c>
      <c r="L928" s="16" t="s">
        <v>12</v>
      </c>
      <c r="M928" s="2" t="s">
        <v>57</v>
      </c>
      <c r="W928" s="16" t="s">
        <v>62</v>
      </c>
      <c r="Y928" s="7">
        <v>43230</v>
      </c>
      <c r="Z928" s="16" t="s">
        <v>66</v>
      </c>
      <c r="AA928" s="7">
        <v>43226</v>
      </c>
    </row>
    <row r="929" spans="1:28" ht="15" customHeight="1">
      <c r="A929" s="290"/>
      <c r="C929" s="16">
        <v>65</v>
      </c>
      <c r="D929" s="16">
        <v>20503</v>
      </c>
      <c r="E929" s="16" t="s">
        <v>1493</v>
      </c>
      <c r="F929" s="3">
        <v>29703190102254</v>
      </c>
      <c r="G929" s="16" t="s">
        <v>184</v>
      </c>
      <c r="H929" s="16" t="s">
        <v>1508</v>
      </c>
      <c r="I929" s="16" t="s">
        <v>66</v>
      </c>
      <c r="J929" s="45">
        <v>43204</v>
      </c>
      <c r="K929" s="16" t="s">
        <v>8</v>
      </c>
      <c r="L929" s="16" t="s">
        <v>12</v>
      </c>
      <c r="M929" s="16" t="s">
        <v>1514</v>
      </c>
      <c r="N929" s="16"/>
      <c r="W929" s="16" t="s">
        <v>62</v>
      </c>
      <c r="X929" s="16" t="s">
        <v>66</v>
      </c>
      <c r="Y929" s="45">
        <v>43230</v>
      </c>
      <c r="Z929" s="16" t="s">
        <v>67</v>
      </c>
      <c r="AA929" s="45" t="s">
        <v>3111</v>
      </c>
      <c r="AB929" s="16"/>
    </row>
    <row r="930" spans="1:28" ht="15" customHeight="1">
      <c r="A930" s="290"/>
      <c r="C930" s="16">
        <v>65</v>
      </c>
      <c r="D930" s="2">
        <v>20504</v>
      </c>
      <c r="E930" s="2" t="s">
        <v>1494</v>
      </c>
      <c r="F930" s="3">
        <v>27207110101908</v>
      </c>
      <c r="G930" s="2" t="s">
        <v>34</v>
      </c>
      <c r="H930" s="2" t="s">
        <v>1509</v>
      </c>
      <c r="I930" s="16" t="s">
        <v>66</v>
      </c>
      <c r="J930" s="4">
        <v>43204</v>
      </c>
      <c r="K930" s="16" t="s">
        <v>8</v>
      </c>
      <c r="L930" s="16" t="s">
        <v>12</v>
      </c>
      <c r="M930" s="2" t="s">
        <v>1457</v>
      </c>
      <c r="W930" s="16" t="s">
        <v>110</v>
      </c>
      <c r="Y930" s="7">
        <v>43230</v>
      </c>
      <c r="Z930" s="16" t="s">
        <v>66</v>
      </c>
      <c r="AA930" s="7">
        <v>43241</v>
      </c>
    </row>
    <row r="931" spans="1:28" ht="15" customHeight="1">
      <c r="A931" s="290"/>
      <c r="C931" s="16">
        <v>65</v>
      </c>
      <c r="D931" s="2" t="s">
        <v>1495</v>
      </c>
      <c r="E931" s="2" t="s">
        <v>1496</v>
      </c>
      <c r="F931" s="3" t="s">
        <v>1497</v>
      </c>
      <c r="G931" s="2" t="s">
        <v>34</v>
      </c>
      <c r="H931" s="2" t="s">
        <v>1510</v>
      </c>
      <c r="I931" s="16" t="s">
        <v>66</v>
      </c>
      <c r="J931" s="4">
        <v>43204</v>
      </c>
      <c r="K931" s="16" t="s">
        <v>8</v>
      </c>
      <c r="L931" s="16" t="s">
        <v>12</v>
      </c>
      <c r="M931" s="2" t="s">
        <v>1457</v>
      </c>
      <c r="W931" s="16" t="s">
        <v>64</v>
      </c>
      <c r="Y931" s="7">
        <v>43230</v>
      </c>
      <c r="Z931" s="16" t="s">
        <v>67</v>
      </c>
      <c r="AA931" s="7" t="s">
        <v>3111</v>
      </c>
    </row>
    <row r="932" spans="1:28" ht="15" customHeight="1">
      <c r="A932" s="290"/>
      <c r="C932" s="16">
        <v>65</v>
      </c>
      <c r="D932" s="16">
        <v>20506</v>
      </c>
      <c r="E932" s="16" t="s">
        <v>1498</v>
      </c>
      <c r="F932" s="3" t="s">
        <v>1499</v>
      </c>
      <c r="G932" s="16" t="s">
        <v>34</v>
      </c>
      <c r="H932" s="16" t="s">
        <v>1511</v>
      </c>
      <c r="I932" s="16" t="s">
        <v>66</v>
      </c>
      <c r="J932" s="45">
        <v>43204</v>
      </c>
      <c r="K932" s="16" t="s">
        <v>8</v>
      </c>
      <c r="L932" s="16" t="s">
        <v>12</v>
      </c>
      <c r="M932" s="16" t="s">
        <v>1456</v>
      </c>
      <c r="N932" s="16"/>
      <c r="W932" s="16" t="s">
        <v>61</v>
      </c>
      <c r="X932" s="16"/>
      <c r="Y932" s="45">
        <v>43230</v>
      </c>
      <c r="Z932" s="16" t="s">
        <v>66</v>
      </c>
      <c r="AA932" s="45">
        <v>43227</v>
      </c>
      <c r="AB932" s="16"/>
    </row>
    <row r="933" spans="1:28" ht="15.75" customHeight="1" thickBot="1">
      <c r="A933" s="291"/>
      <c r="C933" s="28">
        <v>65</v>
      </c>
      <c r="D933" s="28">
        <v>20510</v>
      </c>
      <c r="E933" s="28" t="s">
        <v>1500</v>
      </c>
      <c r="F933" s="29">
        <v>28906041200671</v>
      </c>
      <c r="G933" s="28" t="s">
        <v>34</v>
      </c>
      <c r="H933" s="28" t="s">
        <v>1512</v>
      </c>
      <c r="I933" s="28" t="s">
        <v>66</v>
      </c>
      <c r="J933" s="30">
        <v>43204</v>
      </c>
      <c r="K933" s="28" t="s">
        <v>8</v>
      </c>
      <c r="L933" s="28" t="s">
        <v>12</v>
      </c>
      <c r="M933" s="28" t="s">
        <v>1515</v>
      </c>
      <c r="N933" s="28"/>
      <c r="O933" s="226"/>
      <c r="P933" s="28"/>
      <c r="Q933" s="226"/>
      <c r="R933" s="28"/>
      <c r="S933" s="28"/>
      <c r="T933" s="28"/>
      <c r="U933" s="28"/>
      <c r="V933" s="28"/>
      <c r="W933" s="28" t="s">
        <v>61</v>
      </c>
      <c r="X933" s="28"/>
      <c r="Y933" s="30">
        <v>43230</v>
      </c>
      <c r="Z933" s="28" t="s">
        <v>66</v>
      </c>
      <c r="AA933" s="30">
        <v>43240</v>
      </c>
      <c r="AB933" s="28"/>
    </row>
    <row r="934" spans="1:28" ht="15.75" customHeight="1" thickTop="1">
      <c r="A934" s="289" t="s">
        <v>3129</v>
      </c>
      <c r="C934" s="16">
        <v>66</v>
      </c>
      <c r="D934" s="2">
        <v>20511</v>
      </c>
      <c r="E934" s="2" t="s">
        <v>1459</v>
      </c>
      <c r="F934" s="3">
        <v>29508018800643</v>
      </c>
      <c r="G934" s="2" t="s">
        <v>34</v>
      </c>
      <c r="H934" s="2" t="s">
        <v>1471</v>
      </c>
      <c r="I934" s="16" t="s">
        <v>66</v>
      </c>
      <c r="J934" s="4">
        <v>43211</v>
      </c>
      <c r="K934" s="16" t="s">
        <v>8</v>
      </c>
      <c r="L934" s="16" t="s">
        <v>12</v>
      </c>
      <c r="M934" s="2" t="s">
        <v>1456</v>
      </c>
      <c r="W934" s="16" t="s">
        <v>59</v>
      </c>
      <c r="X934" s="16" t="s">
        <v>66</v>
      </c>
      <c r="Y934" s="7">
        <v>43236</v>
      </c>
      <c r="Z934" s="16" t="s">
        <v>67</v>
      </c>
      <c r="AA934" s="7" t="s">
        <v>3111</v>
      </c>
    </row>
    <row r="935" spans="1:28" ht="15" customHeight="1">
      <c r="A935" s="290"/>
      <c r="C935" s="16">
        <v>66</v>
      </c>
      <c r="D935" s="2">
        <v>20512</v>
      </c>
      <c r="E935" s="2" t="s">
        <v>1460</v>
      </c>
      <c r="F935" s="3">
        <v>29406058800614</v>
      </c>
      <c r="G935" s="2" t="s">
        <v>34</v>
      </c>
      <c r="H935" s="2" t="s">
        <v>1472</v>
      </c>
      <c r="I935" s="16" t="s">
        <v>66</v>
      </c>
      <c r="J935" s="4">
        <v>43211</v>
      </c>
      <c r="K935" s="16" t="s">
        <v>8</v>
      </c>
      <c r="L935" s="16" t="s">
        <v>12</v>
      </c>
      <c r="M935" s="2" t="s">
        <v>1483</v>
      </c>
      <c r="W935" s="16" t="s">
        <v>61</v>
      </c>
      <c r="X935" s="16" t="s">
        <v>66</v>
      </c>
      <c r="Y935" s="7">
        <v>43236</v>
      </c>
      <c r="Z935" s="16" t="s">
        <v>66</v>
      </c>
      <c r="AA935" s="7">
        <v>43227</v>
      </c>
    </row>
    <row r="936" spans="1:28" ht="15" customHeight="1">
      <c r="A936" s="290"/>
      <c r="C936" s="16">
        <v>66</v>
      </c>
      <c r="D936" s="2">
        <v>20513</v>
      </c>
      <c r="E936" s="2" t="s">
        <v>1461</v>
      </c>
      <c r="F936" s="3">
        <v>29408270101974</v>
      </c>
      <c r="G936" s="16" t="s">
        <v>3663</v>
      </c>
      <c r="H936" s="2" t="s">
        <v>1473</v>
      </c>
      <c r="I936" s="16" t="s">
        <v>66</v>
      </c>
      <c r="J936" s="4">
        <v>43211</v>
      </c>
      <c r="K936" s="16" t="s">
        <v>8</v>
      </c>
      <c r="L936" s="16" t="s">
        <v>12</v>
      </c>
      <c r="M936" s="2" t="s">
        <v>257</v>
      </c>
      <c r="W936" s="16" t="s">
        <v>61</v>
      </c>
      <c r="Y936" s="7">
        <v>43236</v>
      </c>
      <c r="Z936" s="16" t="s">
        <v>66</v>
      </c>
      <c r="AA936" s="7">
        <v>43240</v>
      </c>
    </row>
    <row r="937" spans="1:28" ht="15" customHeight="1">
      <c r="A937" s="290"/>
      <c r="C937" s="16">
        <v>66</v>
      </c>
      <c r="D937" s="2">
        <v>20514</v>
      </c>
      <c r="E937" s="2" t="s">
        <v>1462</v>
      </c>
      <c r="F937" s="3">
        <v>29107192100419</v>
      </c>
      <c r="G937" s="2" t="s">
        <v>34</v>
      </c>
      <c r="H937" s="2" t="s">
        <v>1474</v>
      </c>
      <c r="I937" s="16" t="s">
        <v>66</v>
      </c>
      <c r="J937" s="4">
        <v>43211</v>
      </c>
      <c r="K937" s="16" t="s">
        <v>8</v>
      </c>
      <c r="L937" s="16" t="s">
        <v>12</v>
      </c>
      <c r="M937" s="2" t="s">
        <v>257</v>
      </c>
      <c r="W937" s="16" t="s">
        <v>60</v>
      </c>
      <c r="Y937" s="7">
        <v>43236</v>
      </c>
      <c r="Z937" s="16" t="s">
        <v>66</v>
      </c>
      <c r="AA937" s="7">
        <v>43241</v>
      </c>
    </row>
    <row r="938" spans="1:28" ht="15" customHeight="1">
      <c r="A938" s="290"/>
      <c r="C938" s="16">
        <v>66</v>
      </c>
      <c r="D938" s="2">
        <v>20515</v>
      </c>
      <c r="E938" s="2" t="s">
        <v>1463</v>
      </c>
      <c r="F938" s="3">
        <v>29306261100615</v>
      </c>
      <c r="G938" s="2" t="s">
        <v>34</v>
      </c>
      <c r="H938" s="2" t="s">
        <v>1475</v>
      </c>
      <c r="I938" s="16" t="s">
        <v>66</v>
      </c>
      <c r="J938" s="4">
        <v>43211</v>
      </c>
      <c r="K938" s="16" t="s">
        <v>8</v>
      </c>
      <c r="L938" s="16" t="s">
        <v>12</v>
      </c>
      <c r="M938" s="2" t="s">
        <v>197</v>
      </c>
      <c r="W938" s="16" t="s">
        <v>61</v>
      </c>
      <c r="X938" s="16" t="s">
        <v>66</v>
      </c>
      <c r="Y938" s="7">
        <v>43236</v>
      </c>
      <c r="Z938" s="16" t="s">
        <v>66</v>
      </c>
      <c r="AA938" s="7">
        <v>43262</v>
      </c>
    </row>
    <row r="939" spans="1:28" ht="15" customHeight="1">
      <c r="A939" s="290"/>
      <c r="C939" s="2">
        <v>66</v>
      </c>
      <c r="D939" s="2">
        <v>20516</v>
      </c>
      <c r="E939" s="2" t="s">
        <v>1464</v>
      </c>
      <c r="F939" s="3">
        <v>29212020102817</v>
      </c>
      <c r="G939" s="2" t="s">
        <v>34</v>
      </c>
      <c r="H939" s="2" t="s">
        <v>1476</v>
      </c>
      <c r="I939" s="16" t="s">
        <v>66</v>
      </c>
      <c r="J939" s="4">
        <v>43211</v>
      </c>
      <c r="K939" s="16" t="s">
        <v>8</v>
      </c>
      <c r="L939" s="16" t="s">
        <v>12</v>
      </c>
      <c r="M939" s="2" t="s">
        <v>1457</v>
      </c>
      <c r="W939" s="16" t="s">
        <v>61</v>
      </c>
      <c r="X939" s="16" t="s">
        <v>66</v>
      </c>
      <c r="Y939" s="7">
        <v>43236</v>
      </c>
      <c r="Z939" s="16" t="s">
        <v>66</v>
      </c>
      <c r="AA939" s="7">
        <v>43269</v>
      </c>
    </row>
    <row r="940" spans="1:28" ht="15" customHeight="1">
      <c r="A940" s="290"/>
      <c r="C940" s="16">
        <v>66</v>
      </c>
      <c r="D940" s="2">
        <v>20517</v>
      </c>
      <c r="E940" s="2" t="s">
        <v>1465</v>
      </c>
      <c r="F940" s="3">
        <v>28709020104052</v>
      </c>
      <c r="G940" s="16" t="s">
        <v>34</v>
      </c>
      <c r="H940" s="2" t="s">
        <v>1477</v>
      </c>
      <c r="I940" s="16" t="s">
        <v>66</v>
      </c>
      <c r="J940" s="4">
        <v>43211</v>
      </c>
      <c r="K940" s="16" t="s">
        <v>8</v>
      </c>
      <c r="L940" s="16" t="s">
        <v>12</v>
      </c>
      <c r="M940" s="2" t="s">
        <v>109</v>
      </c>
      <c r="W940" s="16" t="s">
        <v>61</v>
      </c>
      <c r="Y940" s="7">
        <v>43236</v>
      </c>
      <c r="Z940" s="16" t="s">
        <v>66</v>
      </c>
      <c r="AA940" s="7">
        <v>43240</v>
      </c>
    </row>
    <row r="941" spans="1:28" ht="15" customHeight="1">
      <c r="A941" s="290"/>
      <c r="C941" s="16">
        <v>66</v>
      </c>
      <c r="D941" s="2">
        <v>20518</v>
      </c>
      <c r="E941" s="2" t="s">
        <v>1466</v>
      </c>
      <c r="F941" s="3">
        <v>29307280102731</v>
      </c>
      <c r="G941" s="2" t="s">
        <v>34</v>
      </c>
      <c r="H941" s="2" t="s">
        <v>1478</v>
      </c>
      <c r="I941" s="16" t="s">
        <v>66</v>
      </c>
      <c r="J941" s="4">
        <v>43211</v>
      </c>
      <c r="K941" s="16" t="s">
        <v>8</v>
      </c>
      <c r="L941" s="16" t="s">
        <v>12</v>
      </c>
      <c r="M941" s="2" t="s">
        <v>1458</v>
      </c>
      <c r="W941" s="16" t="s">
        <v>62</v>
      </c>
      <c r="Y941" s="7">
        <v>43236</v>
      </c>
      <c r="Z941" s="16" t="s">
        <v>67</v>
      </c>
      <c r="AA941" s="7" t="s">
        <v>3111</v>
      </c>
      <c r="AB941" s="2" t="s">
        <v>3664</v>
      </c>
    </row>
    <row r="942" spans="1:28" ht="15" customHeight="1">
      <c r="A942" s="290"/>
      <c r="C942" s="16">
        <v>66</v>
      </c>
      <c r="D942" s="2">
        <v>20519</v>
      </c>
      <c r="E942" s="2" t="s">
        <v>1467</v>
      </c>
      <c r="F942" s="3">
        <v>29510201203845</v>
      </c>
      <c r="G942" s="2" t="s">
        <v>34</v>
      </c>
      <c r="H942" s="2" t="s">
        <v>1479</v>
      </c>
      <c r="I942" s="16" t="s">
        <v>66</v>
      </c>
      <c r="J942" s="4">
        <v>43211</v>
      </c>
      <c r="K942" s="16" t="s">
        <v>8</v>
      </c>
      <c r="L942" s="16" t="s">
        <v>12</v>
      </c>
      <c r="M942" s="2" t="s">
        <v>1000</v>
      </c>
      <c r="W942" s="16" t="s">
        <v>60</v>
      </c>
      <c r="Y942" s="7">
        <v>43236</v>
      </c>
      <c r="Z942" s="16" t="s">
        <v>66</v>
      </c>
      <c r="AA942" s="7">
        <v>43241</v>
      </c>
    </row>
    <row r="943" spans="1:28" ht="15" customHeight="1">
      <c r="A943" s="290"/>
      <c r="C943" s="16">
        <v>66</v>
      </c>
      <c r="D943" s="16">
        <v>20520</v>
      </c>
      <c r="E943" s="16" t="s">
        <v>1468</v>
      </c>
      <c r="F943" s="3">
        <v>29208081203775</v>
      </c>
      <c r="G943" s="16" t="s">
        <v>3663</v>
      </c>
      <c r="H943" s="16" t="s">
        <v>1480</v>
      </c>
      <c r="I943" s="16" t="s">
        <v>66</v>
      </c>
      <c r="J943" s="45">
        <v>43211</v>
      </c>
      <c r="K943" s="16" t="s">
        <v>8</v>
      </c>
      <c r="L943" s="16" t="s">
        <v>12</v>
      </c>
      <c r="M943" s="16" t="s">
        <v>1458</v>
      </c>
      <c r="N943" s="16"/>
      <c r="W943" s="16" t="s">
        <v>60</v>
      </c>
      <c r="X943" s="16"/>
      <c r="Y943" s="45">
        <v>43236</v>
      </c>
      <c r="Z943" s="16" t="s">
        <v>66</v>
      </c>
      <c r="AA943" s="45">
        <v>43241</v>
      </c>
      <c r="AB943" s="16"/>
    </row>
    <row r="944" spans="1:28" ht="15" customHeight="1">
      <c r="A944" s="290"/>
      <c r="C944" s="16">
        <v>66</v>
      </c>
      <c r="D944" s="16">
        <v>20521</v>
      </c>
      <c r="E944" s="16" t="s">
        <v>1469</v>
      </c>
      <c r="F944" s="3">
        <v>28004240101875</v>
      </c>
      <c r="G944" s="16" t="s">
        <v>34</v>
      </c>
      <c r="H944" s="16" t="s">
        <v>1481</v>
      </c>
      <c r="I944" s="16" t="s">
        <v>66</v>
      </c>
      <c r="J944" s="45">
        <v>43211</v>
      </c>
      <c r="K944" s="16" t="s">
        <v>8</v>
      </c>
      <c r="L944" s="16" t="s">
        <v>12</v>
      </c>
      <c r="M944" s="16" t="s">
        <v>197</v>
      </c>
      <c r="N944" s="16"/>
      <c r="W944" s="16" t="s">
        <v>61</v>
      </c>
      <c r="X944" s="16"/>
      <c r="Y944" s="45">
        <v>43236</v>
      </c>
      <c r="Z944" s="16" t="s">
        <v>66</v>
      </c>
      <c r="AA944" s="45">
        <v>43240</v>
      </c>
      <c r="AB944" s="16"/>
    </row>
    <row r="945" spans="1:28" ht="15.75" customHeight="1" thickBot="1">
      <c r="A945" s="291"/>
      <c r="C945" s="28">
        <v>66</v>
      </c>
      <c r="D945" s="28">
        <v>20522</v>
      </c>
      <c r="E945" s="28" t="s">
        <v>1470</v>
      </c>
      <c r="F945" s="29">
        <v>29406218801035</v>
      </c>
      <c r="G945" s="28" t="s">
        <v>34</v>
      </c>
      <c r="H945" s="28" t="s">
        <v>1482</v>
      </c>
      <c r="I945" s="28" t="s">
        <v>66</v>
      </c>
      <c r="J945" s="30">
        <v>43211</v>
      </c>
      <c r="K945" s="28" t="s">
        <v>8</v>
      </c>
      <c r="L945" s="28" t="s">
        <v>12</v>
      </c>
      <c r="M945" s="28" t="s">
        <v>1484</v>
      </c>
      <c r="N945" s="28"/>
      <c r="O945" s="226"/>
      <c r="P945" s="28"/>
      <c r="Q945" s="226"/>
      <c r="R945" s="28"/>
      <c r="S945" s="28"/>
      <c r="T945" s="28"/>
      <c r="U945" s="28"/>
      <c r="V945" s="28"/>
      <c r="W945" s="28" t="s">
        <v>62</v>
      </c>
      <c r="X945" s="28" t="s">
        <v>66</v>
      </c>
      <c r="Y945" s="30">
        <v>43236</v>
      </c>
      <c r="Z945" s="28" t="s">
        <v>66</v>
      </c>
      <c r="AA945" s="30">
        <v>43255</v>
      </c>
      <c r="AB945" s="28"/>
    </row>
    <row r="946" spans="1:28" ht="15.75" customHeight="1" thickTop="1">
      <c r="A946" s="289" t="s">
        <v>3119</v>
      </c>
      <c r="C946" s="16">
        <v>67</v>
      </c>
      <c r="D946" s="2">
        <v>20523</v>
      </c>
      <c r="E946" s="2" t="s">
        <v>1438</v>
      </c>
      <c r="F946" s="3">
        <v>29309110100451</v>
      </c>
      <c r="G946" s="2" t="s">
        <v>34</v>
      </c>
      <c r="H946" s="2" t="s">
        <v>1447</v>
      </c>
      <c r="I946" s="16" t="s">
        <v>66</v>
      </c>
      <c r="J946" s="4">
        <v>43211</v>
      </c>
      <c r="K946" s="16" t="s">
        <v>8</v>
      </c>
      <c r="L946" s="16" t="s">
        <v>12</v>
      </c>
      <c r="M946" s="2" t="s">
        <v>1456</v>
      </c>
      <c r="W946" s="16" t="s">
        <v>62</v>
      </c>
      <c r="Y946" s="7">
        <v>43237</v>
      </c>
      <c r="Z946" s="16" t="s">
        <v>66</v>
      </c>
      <c r="AA946" s="7">
        <v>43226</v>
      </c>
    </row>
    <row r="947" spans="1:28" ht="15" customHeight="1">
      <c r="A947" s="290"/>
      <c r="C947" s="16">
        <v>67</v>
      </c>
      <c r="D947" s="2">
        <v>20524</v>
      </c>
      <c r="E947" s="2" t="s">
        <v>1439</v>
      </c>
      <c r="F947" s="3">
        <v>29405110100336</v>
      </c>
      <c r="G947" s="2" t="s">
        <v>34</v>
      </c>
      <c r="H947" s="2" t="s">
        <v>1448</v>
      </c>
      <c r="I947" s="16" t="s">
        <v>66</v>
      </c>
      <c r="J947" s="4">
        <v>43211</v>
      </c>
      <c r="K947" s="16" t="s">
        <v>8</v>
      </c>
      <c r="L947" s="16" t="s">
        <v>12</v>
      </c>
      <c r="M947" s="2" t="s">
        <v>978</v>
      </c>
      <c r="W947" s="16" t="s">
        <v>61</v>
      </c>
      <c r="X947" s="2" t="s">
        <v>66</v>
      </c>
      <c r="Y947" s="7">
        <v>43237</v>
      </c>
      <c r="Z947" s="16" t="s">
        <v>66</v>
      </c>
      <c r="AA947" s="7">
        <v>43262</v>
      </c>
    </row>
    <row r="948" spans="1:28" ht="15" customHeight="1">
      <c r="A948" s="290"/>
      <c r="C948" s="16">
        <v>67</v>
      </c>
      <c r="D948" s="2">
        <v>20525</v>
      </c>
      <c r="E948" s="2" t="s">
        <v>1440</v>
      </c>
      <c r="F948" s="3">
        <v>29410091600202</v>
      </c>
      <c r="G948" s="16" t="s">
        <v>3663</v>
      </c>
      <c r="H948" s="2" t="s">
        <v>1449</v>
      </c>
      <c r="I948" s="16" t="s">
        <v>66</v>
      </c>
      <c r="J948" s="4">
        <v>43211</v>
      </c>
      <c r="K948" s="16" t="s">
        <v>8</v>
      </c>
      <c r="L948" s="16" t="s">
        <v>12</v>
      </c>
      <c r="M948" s="2" t="s">
        <v>1456</v>
      </c>
      <c r="W948" s="16" t="s">
        <v>110</v>
      </c>
      <c r="Y948" s="7">
        <v>43237</v>
      </c>
      <c r="Z948" s="16" t="s">
        <v>66</v>
      </c>
      <c r="AA948" s="7">
        <v>43241</v>
      </c>
    </row>
    <row r="949" spans="1:28" ht="15" customHeight="1">
      <c r="A949" s="290"/>
      <c r="C949" s="16">
        <v>67</v>
      </c>
      <c r="D949" s="2">
        <v>20526</v>
      </c>
      <c r="E949" s="2" t="s">
        <v>1441</v>
      </c>
      <c r="F949" s="3">
        <v>29601010111351</v>
      </c>
      <c r="G949" s="2" t="s">
        <v>34</v>
      </c>
      <c r="H949" s="2" t="s">
        <v>1450</v>
      </c>
      <c r="I949" s="2" t="s">
        <v>66</v>
      </c>
      <c r="J949" s="4">
        <v>43211</v>
      </c>
      <c r="K949" s="16" t="s">
        <v>8</v>
      </c>
      <c r="L949" s="16" t="s">
        <v>12</v>
      </c>
      <c r="M949" s="2" t="s">
        <v>108</v>
      </c>
      <c r="W949" s="16" t="s">
        <v>61</v>
      </c>
      <c r="Y949" s="7">
        <v>43237</v>
      </c>
      <c r="Z949" s="16" t="s">
        <v>66</v>
      </c>
      <c r="AA949" s="7">
        <v>43240</v>
      </c>
    </row>
    <row r="950" spans="1:28" ht="15" customHeight="1">
      <c r="A950" s="290"/>
      <c r="C950" s="2">
        <v>67</v>
      </c>
      <c r="D950" s="2">
        <v>20527</v>
      </c>
      <c r="E950" s="2" t="s">
        <v>1442</v>
      </c>
      <c r="F950" s="3">
        <v>29506060101892</v>
      </c>
      <c r="G950" s="2" t="s">
        <v>34</v>
      </c>
      <c r="H950" s="2" t="s">
        <v>1451</v>
      </c>
      <c r="I950" s="16" t="s">
        <v>66</v>
      </c>
      <c r="J950" s="4">
        <v>43211</v>
      </c>
      <c r="K950" s="16" t="s">
        <v>8</v>
      </c>
      <c r="L950" s="16" t="s">
        <v>12</v>
      </c>
      <c r="M950" s="2" t="s">
        <v>1457</v>
      </c>
      <c r="W950" s="16" t="s">
        <v>110</v>
      </c>
      <c r="Y950" s="7">
        <v>43237</v>
      </c>
      <c r="Z950" s="16" t="s">
        <v>66</v>
      </c>
      <c r="AA950" s="7">
        <v>43241</v>
      </c>
    </row>
    <row r="951" spans="1:28" ht="15" customHeight="1">
      <c r="A951" s="290"/>
      <c r="C951" s="16">
        <v>67</v>
      </c>
      <c r="D951" s="2">
        <v>20528</v>
      </c>
      <c r="E951" s="2" t="s">
        <v>1443</v>
      </c>
      <c r="F951" s="3">
        <v>29508010400221</v>
      </c>
      <c r="G951" s="2" t="s">
        <v>34</v>
      </c>
      <c r="H951" s="2" t="s">
        <v>1452</v>
      </c>
      <c r="I951" s="16" t="s">
        <v>66</v>
      </c>
      <c r="J951" s="4">
        <v>43211</v>
      </c>
      <c r="K951" s="16" t="s">
        <v>8</v>
      </c>
      <c r="L951" s="16" t="s">
        <v>12</v>
      </c>
      <c r="M951" s="2" t="s">
        <v>1458</v>
      </c>
      <c r="W951" s="16" t="s">
        <v>110</v>
      </c>
      <c r="Y951" s="7">
        <v>43237</v>
      </c>
      <c r="Z951" s="16" t="s">
        <v>66</v>
      </c>
      <c r="AA951" s="7">
        <v>43241</v>
      </c>
    </row>
    <row r="952" spans="1:28" ht="15" customHeight="1">
      <c r="A952" s="290"/>
      <c r="C952" s="16">
        <v>67</v>
      </c>
      <c r="D952" s="2">
        <v>20529</v>
      </c>
      <c r="E952" s="2" t="s">
        <v>1444</v>
      </c>
      <c r="F952" s="3">
        <v>29105270100517</v>
      </c>
      <c r="G952" s="2" t="s">
        <v>34</v>
      </c>
      <c r="H952" s="2" t="s">
        <v>1453</v>
      </c>
      <c r="I952" s="16" t="s">
        <v>66</v>
      </c>
      <c r="J952" s="4">
        <v>43211</v>
      </c>
      <c r="K952" s="16" t="s">
        <v>8</v>
      </c>
      <c r="L952" s="16" t="s">
        <v>12</v>
      </c>
      <c r="M952" s="2" t="s">
        <v>257</v>
      </c>
      <c r="W952" s="16" t="s">
        <v>64</v>
      </c>
      <c r="Y952" s="7">
        <v>43237</v>
      </c>
      <c r="Z952" s="16" t="s">
        <v>67</v>
      </c>
      <c r="AA952" s="7" t="s">
        <v>3111</v>
      </c>
    </row>
    <row r="953" spans="1:28" ht="15" customHeight="1">
      <c r="A953" s="290"/>
      <c r="C953" s="16">
        <v>67</v>
      </c>
      <c r="D953" s="2">
        <v>20530</v>
      </c>
      <c r="E953" s="2" t="s">
        <v>1445</v>
      </c>
      <c r="F953" s="3">
        <v>28711191700065</v>
      </c>
      <c r="G953" s="2" t="s">
        <v>34</v>
      </c>
      <c r="H953" s="2" t="s">
        <v>1454</v>
      </c>
      <c r="I953" s="16" t="s">
        <v>66</v>
      </c>
      <c r="J953" s="4">
        <v>43211</v>
      </c>
      <c r="K953" s="16" t="s">
        <v>8</v>
      </c>
      <c r="L953" s="16" t="s">
        <v>12</v>
      </c>
      <c r="M953" s="2" t="s">
        <v>103</v>
      </c>
      <c r="W953" s="16" t="s">
        <v>110</v>
      </c>
      <c r="Y953" s="7">
        <v>43237</v>
      </c>
      <c r="Z953" s="16" t="s">
        <v>67</v>
      </c>
      <c r="AA953" s="7" t="s">
        <v>3111</v>
      </c>
    </row>
    <row r="954" spans="1:28" ht="15.75" customHeight="1" thickBot="1">
      <c r="A954" s="291"/>
      <c r="C954" s="28">
        <v>67</v>
      </c>
      <c r="D954" s="28">
        <v>20531</v>
      </c>
      <c r="E954" s="28" t="s">
        <v>1446</v>
      </c>
      <c r="F954" s="29">
        <v>29007250102015</v>
      </c>
      <c r="G954" s="28" t="s">
        <v>34</v>
      </c>
      <c r="H954" s="28" t="s">
        <v>1455</v>
      </c>
      <c r="I954" s="28" t="s">
        <v>66</v>
      </c>
      <c r="J954" s="30">
        <v>43211</v>
      </c>
      <c r="K954" s="28" t="s">
        <v>8</v>
      </c>
      <c r="L954" s="28" t="s">
        <v>12</v>
      </c>
      <c r="M954" s="28" t="s">
        <v>978</v>
      </c>
      <c r="N954" s="28"/>
      <c r="O954" s="226"/>
      <c r="P954" s="28"/>
      <c r="Q954" s="226"/>
      <c r="R954" s="28"/>
      <c r="S954" s="28"/>
      <c r="T954" s="28"/>
      <c r="U954" s="28"/>
      <c r="V954" s="28"/>
      <c r="W954" s="28" t="s">
        <v>62</v>
      </c>
      <c r="X954" s="28" t="s">
        <v>66</v>
      </c>
      <c r="Y954" s="30">
        <v>43237</v>
      </c>
      <c r="Z954" s="28" t="s">
        <v>67</v>
      </c>
      <c r="AA954" s="30" t="s">
        <v>3111</v>
      </c>
      <c r="AB954" s="28"/>
    </row>
    <row r="955" spans="1:28" ht="15.75" customHeight="1" thickTop="1">
      <c r="A955" s="289" t="s">
        <v>3118</v>
      </c>
      <c r="C955" s="16">
        <v>68</v>
      </c>
      <c r="D955" s="2">
        <v>20532</v>
      </c>
      <c r="E955" s="2" t="s">
        <v>1412</v>
      </c>
      <c r="F955" s="3">
        <v>29303222102105</v>
      </c>
      <c r="G955" s="2" t="s">
        <v>34</v>
      </c>
      <c r="H955" s="2" t="s">
        <v>1424</v>
      </c>
      <c r="I955" s="16" t="s">
        <v>66</v>
      </c>
      <c r="J955" s="4">
        <v>43218</v>
      </c>
      <c r="K955" s="16" t="s">
        <v>8</v>
      </c>
      <c r="L955" s="16" t="s">
        <v>12</v>
      </c>
      <c r="M955" s="2" t="s">
        <v>472</v>
      </c>
      <c r="W955" s="16" t="s">
        <v>60</v>
      </c>
      <c r="X955" s="2" t="s">
        <v>66</v>
      </c>
      <c r="Y955" s="7">
        <v>43244</v>
      </c>
      <c r="Z955" s="16" t="s">
        <v>66</v>
      </c>
      <c r="AA955" s="7">
        <v>43290</v>
      </c>
    </row>
    <row r="956" spans="1:28" ht="15" customHeight="1">
      <c r="A956" s="290"/>
      <c r="C956" s="16">
        <v>68</v>
      </c>
      <c r="D956" s="16">
        <v>20533</v>
      </c>
      <c r="E956" s="16" t="s">
        <v>1413</v>
      </c>
      <c r="F956" s="3">
        <v>29408010300248</v>
      </c>
      <c r="G956" s="16" t="s">
        <v>34</v>
      </c>
      <c r="H956" s="16" t="s">
        <v>1425</v>
      </c>
      <c r="I956" s="16" t="s">
        <v>66</v>
      </c>
      <c r="J956" s="45">
        <v>43218</v>
      </c>
      <c r="K956" s="16" t="s">
        <v>8</v>
      </c>
      <c r="L956" s="16" t="s">
        <v>12</v>
      </c>
      <c r="M956" s="16" t="s">
        <v>57</v>
      </c>
      <c r="N956" s="16"/>
      <c r="W956" s="16" t="s">
        <v>64</v>
      </c>
      <c r="X956" s="16" t="s">
        <v>66</v>
      </c>
      <c r="Y956" s="45">
        <v>43244</v>
      </c>
      <c r="Z956" s="16" t="s">
        <v>67</v>
      </c>
      <c r="AA956" s="45" t="s">
        <v>3111</v>
      </c>
      <c r="AB956" s="16"/>
    </row>
    <row r="957" spans="1:28" ht="15" customHeight="1">
      <c r="A957" s="290"/>
      <c r="C957" s="16">
        <v>68</v>
      </c>
      <c r="D957" s="2">
        <v>20534</v>
      </c>
      <c r="E957" s="2" t="s">
        <v>1414</v>
      </c>
      <c r="F957" s="3">
        <v>28510010122094</v>
      </c>
      <c r="G957" s="16" t="s">
        <v>34</v>
      </c>
      <c r="H957" s="2" t="s">
        <v>1426</v>
      </c>
      <c r="I957" s="16" t="s">
        <v>66</v>
      </c>
      <c r="J957" s="4">
        <v>43218</v>
      </c>
      <c r="K957" s="16" t="s">
        <v>8</v>
      </c>
      <c r="L957" s="16" t="s">
        <v>12</v>
      </c>
      <c r="M957" s="2" t="s">
        <v>1437</v>
      </c>
      <c r="W957" s="16" t="s">
        <v>111</v>
      </c>
      <c r="Y957" s="7">
        <v>43244</v>
      </c>
      <c r="Z957" s="16" t="s">
        <v>66</v>
      </c>
      <c r="AA957" s="7">
        <v>43248</v>
      </c>
    </row>
    <row r="958" spans="1:28" ht="15" customHeight="1">
      <c r="A958" s="290"/>
      <c r="C958" s="16">
        <v>68</v>
      </c>
      <c r="D958" s="2">
        <v>20535</v>
      </c>
      <c r="E958" s="2" t="s">
        <v>1415</v>
      </c>
      <c r="F958" s="3">
        <v>29401011255471</v>
      </c>
      <c r="G958" s="2" t="s">
        <v>34</v>
      </c>
      <c r="H958" s="2" t="s">
        <v>1427</v>
      </c>
      <c r="I958" s="16" t="s">
        <v>66</v>
      </c>
      <c r="J958" s="4">
        <v>43218</v>
      </c>
      <c r="K958" s="16" t="s">
        <v>8</v>
      </c>
      <c r="L958" s="16" t="s">
        <v>12</v>
      </c>
      <c r="M958" s="2" t="s">
        <v>978</v>
      </c>
      <c r="W958" s="16" t="s">
        <v>111</v>
      </c>
      <c r="X958" s="2" t="s">
        <v>66</v>
      </c>
      <c r="Y958" s="7">
        <v>43244</v>
      </c>
      <c r="Z958" s="16" t="s">
        <v>66</v>
      </c>
      <c r="AA958" s="7">
        <v>43248</v>
      </c>
    </row>
    <row r="959" spans="1:28" ht="15" customHeight="1">
      <c r="A959" s="290"/>
      <c r="C959" s="16">
        <v>68</v>
      </c>
      <c r="D959" s="16">
        <v>20536</v>
      </c>
      <c r="E959" s="16" t="s">
        <v>1416</v>
      </c>
      <c r="F959" s="3">
        <v>29108170102171</v>
      </c>
      <c r="G959" s="16" t="s">
        <v>34</v>
      </c>
      <c r="H959" s="16" t="s">
        <v>1428</v>
      </c>
      <c r="I959" s="16" t="s">
        <v>66</v>
      </c>
      <c r="J959" s="45">
        <v>43218</v>
      </c>
      <c r="K959" s="16" t="s">
        <v>8</v>
      </c>
      <c r="L959" s="16" t="s">
        <v>12</v>
      </c>
      <c r="M959" s="16" t="s">
        <v>57</v>
      </c>
      <c r="N959" s="16"/>
      <c r="W959" s="16" t="s">
        <v>60</v>
      </c>
      <c r="X959" s="16" t="s">
        <v>66</v>
      </c>
      <c r="Y959" s="45">
        <v>43244</v>
      </c>
      <c r="Z959" s="16" t="s">
        <v>66</v>
      </c>
      <c r="AA959" s="45">
        <v>43290</v>
      </c>
      <c r="AB959" s="16"/>
    </row>
    <row r="960" spans="1:28" ht="15" customHeight="1">
      <c r="A960" s="290"/>
      <c r="C960" s="16">
        <v>68</v>
      </c>
      <c r="D960" s="2">
        <v>20537</v>
      </c>
      <c r="E960" s="2" t="s">
        <v>1417</v>
      </c>
      <c r="F960" s="3">
        <v>28308060102732</v>
      </c>
      <c r="G960" s="2" t="s">
        <v>34</v>
      </c>
      <c r="H960" s="2" t="s">
        <v>1429</v>
      </c>
      <c r="I960" s="16" t="s">
        <v>66</v>
      </c>
      <c r="J960" s="4">
        <v>43218</v>
      </c>
      <c r="K960" s="16" t="s">
        <v>8</v>
      </c>
      <c r="L960" s="16" t="s">
        <v>12</v>
      </c>
      <c r="M960" s="2" t="s">
        <v>472</v>
      </c>
      <c r="W960" s="16" t="s">
        <v>63</v>
      </c>
      <c r="Y960" s="7">
        <v>43244</v>
      </c>
      <c r="Z960" s="16" t="s">
        <v>67</v>
      </c>
      <c r="AA960" s="7" t="s">
        <v>3111</v>
      </c>
    </row>
    <row r="961" spans="1:28" ht="15" customHeight="1">
      <c r="A961" s="290"/>
      <c r="C961" s="16">
        <v>68</v>
      </c>
      <c r="D961" s="2">
        <v>20538</v>
      </c>
      <c r="E961" s="2" t="s">
        <v>1418</v>
      </c>
      <c r="F961" s="3">
        <v>29504010110766</v>
      </c>
      <c r="G961" s="16" t="s">
        <v>4</v>
      </c>
      <c r="H961" s="2" t="s">
        <v>1430</v>
      </c>
      <c r="I961" s="16" t="s">
        <v>66</v>
      </c>
      <c r="J961" s="4">
        <v>43218</v>
      </c>
      <c r="K961" s="16" t="s">
        <v>8</v>
      </c>
      <c r="L961" s="16" t="s">
        <v>12</v>
      </c>
      <c r="M961" s="2" t="s">
        <v>1436</v>
      </c>
      <c r="W961" s="16" t="s">
        <v>62</v>
      </c>
      <c r="X961" s="2" t="s">
        <v>66</v>
      </c>
      <c r="Y961" s="7">
        <v>43244</v>
      </c>
      <c r="Z961" s="16" t="s">
        <v>66</v>
      </c>
      <c r="AA961" s="7">
        <v>43284</v>
      </c>
    </row>
    <row r="962" spans="1:28" ht="15" customHeight="1">
      <c r="A962" s="290"/>
      <c r="C962" s="16">
        <v>68</v>
      </c>
      <c r="D962" s="2">
        <v>20539</v>
      </c>
      <c r="E962" s="2" t="s">
        <v>1419</v>
      </c>
      <c r="F962" s="3">
        <v>28010260100638</v>
      </c>
      <c r="G962" s="2" t="s">
        <v>34</v>
      </c>
      <c r="H962" s="2" t="s">
        <v>1431</v>
      </c>
      <c r="I962" s="16" t="s">
        <v>66</v>
      </c>
      <c r="J962" s="4">
        <v>43218</v>
      </c>
      <c r="K962" s="16" t="s">
        <v>8</v>
      </c>
      <c r="L962" s="16" t="s">
        <v>12</v>
      </c>
      <c r="M962" s="2" t="s">
        <v>1436</v>
      </c>
      <c r="W962" s="16" t="s">
        <v>60</v>
      </c>
      <c r="X962" s="2" t="s">
        <v>66</v>
      </c>
      <c r="Y962" s="7">
        <v>43244</v>
      </c>
      <c r="Z962" s="16" t="s">
        <v>66</v>
      </c>
      <c r="AA962" s="7">
        <v>43367</v>
      </c>
      <c r="AB962" s="2" t="s">
        <v>3178</v>
      </c>
    </row>
    <row r="963" spans="1:28" ht="15" customHeight="1">
      <c r="A963" s="290"/>
      <c r="C963" s="16">
        <v>68</v>
      </c>
      <c r="D963" s="2">
        <v>20540</v>
      </c>
      <c r="E963" s="2" t="s">
        <v>1420</v>
      </c>
      <c r="F963" s="3">
        <v>27406032100056</v>
      </c>
      <c r="G963" s="2" t="s">
        <v>34</v>
      </c>
      <c r="H963" s="2" t="s">
        <v>1432</v>
      </c>
      <c r="I963" s="16" t="s">
        <v>66</v>
      </c>
      <c r="J963" s="4">
        <v>43218</v>
      </c>
      <c r="K963" s="16" t="s">
        <v>8</v>
      </c>
      <c r="L963" s="16" t="s">
        <v>12</v>
      </c>
      <c r="M963" s="2" t="s">
        <v>1000</v>
      </c>
      <c r="W963" s="16" t="s">
        <v>60</v>
      </c>
      <c r="Y963" s="7">
        <v>43244</v>
      </c>
      <c r="Z963" s="16" t="s">
        <v>66</v>
      </c>
      <c r="AA963" s="7">
        <v>43255</v>
      </c>
    </row>
    <row r="964" spans="1:28" ht="15" customHeight="1">
      <c r="A964" s="290"/>
      <c r="C964" s="16">
        <v>68</v>
      </c>
      <c r="D964" s="2">
        <v>20541</v>
      </c>
      <c r="E964" s="2" t="s">
        <v>1421</v>
      </c>
      <c r="F964" s="3">
        <v>29208192102099</v>
      </c>
      <c r="G964" s="16" t="s">
        <v>4</v>
      </c>
      <c r="H964" s="2" t="s">
        <v>1433</v>
      </c>
      <c r="I964" s="16" t="s">
        <v>66</v>
      </c>
      <c r="J964" s="4">
        <v>43218</v>
      </c>
      <c r="K964" s="16" t="s">
        <v>8</v>
      </c>
      <c r="L964" s="16" t="s">
        <v>12</v>
      </c>
      <c r="M964" s="2" t="s">
        <v>257</v>
      </c>
      <c r="W964" s="16" t="s">
        <v>61</v>
      </c>
      <c r="Y964" s="7">
        <v>43244</v>
      </c>
      <c r="Z964" s="16" t="s">
        <v>66</v>
      </c>
      <c r="AA964" s="7">
        <v>43262</v>
      </c>
    </row>
    <row r="965" spans="1:28" ht="15" customHeight="1">
      <c r="A965" s="290"/>
      <c r="C965" s="16">
        <v>68</v>
      </c>
      <c r="D965" s="16">
        <v>20542</v>
      </c>
      <c r="E965" s="16" t="s">
        <v>1422</v>
      </c>
      <c r="F965" s="3">
        <v>29210250103411</v>
      </c>
      <c r="G965" s="16" t="s">
        <v>129</v>
      </c>
      <c r="H965" s="16" t="s">
        <v>1434</v>
      </c>
      <c r="I965" s="16" t="s">
        <v>66</v>
      </c>
      <c r="J965" s="45">
        <v>43218</v>
      </c>
      <c r="K965" s="16" t="s">
        <v>8</v>
      </c>
      <c r="L965" s="16" t="s">
        <v>12</v>
      </c>
      <c r="M965" s="16" t="s">
        <v>103</v>
      </c>
      <c r="N965" s="16"/>
      <c r="W965" s="16" t="s">
        <v>62</v>
      </c>
      <c r="X965" s="16" t="s">
        <v>66</v>
      </c>
      <c r="Y965" s="45">
        <v>43244</v>
      </c>
      <c r="Z965" s="16" t="s">
        <v>66</v>
      </c>
      <c r="AA965" s="45">
        <v>43284</v>
      </c>
      <c r="AB965" s="16"/>
    </row>
    <row r="966" spans="1:28" ht="15.75" customHeight="1" thickBot="1">
      <c r="A966" s="291"/>
      <c r="C966" s="28">
        <v>68</v>
      </c>
      <c r="D966" s="28">
        <v>20543</v>
      </c>
      <c r="E966" s="28" t="s">
        <v>1423</v>
      </c>
      <c r="F966" s="29">
        <v>29310220100551</v>
      </c>
      <c r="G966" s="28" t="s">
        <v>34</v>
      </c>
      <c r="H966" s="28" t="s">
        <v>1435</v>
      </c>
      <c r="I966" s="28" t="s">
        <v>66</v>
      </c>
      <c r="J966" s="30">
        <v>43218</v>
      </c>
      <c r="K966" s="28" t="s">
        <v>8</v>
      </c>
      <c r="L966" s="28" t="s">
        <v>12</v>
      </c>
      <c r="M966" s="28" t="s">
        <v>257</v>
      </c>
      <c r="N966" s="28"/>
      <c r="O966" s="226"/>
      <c r="P966" s="28"/>
      <c r="Q966" s="226"/>
      <c r="R966" s="28"/>
      <c r="S966" s="28"/>
      <c r="T966" s="28"/>
      <c r="U966" s="28"/>
      <c r="V966" s="28"/>
      <c r="W966" s="28" t="s">
        <v>61</v>
      </c>
      <c r="X966" s="28" t="s">
        <v>66</v>
      </c>
      <c r="Y966" s="30">
        <v>43244</v>
      </c>
      <c r="Z966" s="28" t="s">
        <v>66</v>
      </c>
      <c r="AA966" s="30">
        <v>43297</v>
      </c>
      <c r="AB966" s="28"/>
    </row>
    <row r="967" spans="1:28" ht="15.75" customHeight="1" thickTop="1">
      <c r="A967" s="289" t="s">
        <v>3124</v>
      </c>
      <c r="C967" s="16">
        <v>69</v>
      </c>
      <c r="D967" s="2">
        <v>20544</v>
      </c>
      <c r="E967" s="2" t="s">
        <v>1390</v>
      </c>
      <c r="F967" s="3">
        <v>29310012114051</v>
      </c>
      <c r="G967" s="2" t="s">
        <v>34</v>
      </c>
      <c r="H967" s="2" t="s">
        <v>1401</v>
      </c>
      <c r="I967" s="16" t="s">
        <v>66</v>
      </c>
      <c r="J967" s="4">
        <v>43225</v>
      </c>
      <c r="K967" s="16" t="s">
        <v>8</v>
      </c>
      <c r="L967" s="16" t="s">
        <v>12</v>
      </c>
      <c r="W967" s="16" t="s">
        <v>60</v>
      </c>
      <c r="X967" s="2" t="s">
        <v>66</v>
      </c>
      <c r="Y967" s="7">
        <v>43250</v>
      </c>
      <c r="Z967" s="16" t="s">
        <v>66</v>
      </c>
      <c r="AA967" s="7">
        <v>43290</v>
      </c>
    </row>
    <row r="968" spans="1:28" ht="15" customHeight="1">
      <c r="A968" s="290"/>
      <c r="C968" s="16">
        <v>69</v>
      </c>
      <c r="D968" s="2">
        <v>20545</v>
      </c>
      <c r="E968" s="2" t="s">
        <v>1391</v>
      </c>
      <c r="F968" s="3">
        <v>29009010103637</v>
      </c>
      <c r="G968" s="16" t="s">
        <v>3663</v>
      </c>
      <c r="H968" s="2" t="s">
        <v>1402</v>
      </c>
      <c r="I968" s="16" t="s">
        <v>66</v>
      </c>
      <c r="J968" s="4">
        <v>43225</v>
      </c>
      <c r="K968" s="16" t="s">
        <v>8</v>
      </c>
      <c r="L968" s="16" t="s">
        <v>12</v>
      </c>
      <c r="W968" s="16" t="s">
        <v>62</v>
      </c>
      <c r="Y968" s="7">
        <v>43250</v>
      </c>
      <c r="Z968" s="16" t="s">
        <v>67</v>
      </c>
      <c r="AA968" s="7" t="s">
        <v>3111</v>
      </c>
    </row>
    <row r="969" spans="1:28" ht="15" customHeight="1">
      <c r="A969" s="290"/>
      <c r="C969" s="16">
        <v>69</v>
      </c>
      <c r="D969" s="2">
        <v>20546</v>
      </c>
      <c r="E969" s="2" t="s">
        <v>1392</v>
      </c>
      <c r="F969" s="3">
        <v>29407232104637</v>
      </c>
      <c r="G969" s="2" t="s">
        <v>34</v>
      </c>
      <c r="H969" s="2" t="s">
        <v>1403</v>
      </c>
      <c r="I969" s="16" t="s">
        <v>66</v>
      </c>
      <c r="J969" s="4">
        <v>43225</v>
      </c>
      <c r="K969" s="16" t="s">
        <v>8</v>
      </c>
      <c r="L969" s="16" t="s">
        <v>12</v>
      </c>
      <c r="W969" s="16" t="s">
        <v>61</v>
      </c>
      <c r="Y969" s="7">
        <v>43250</v>
      </c>
      <c r="Z969" s="16" t="s">
        <v>66</v>
      </c>
      <c r="AA969" s="7">
        <v>43324</v>
      </c>
    </row>
    <row r="970" spans="1:28" ht="15" customHeight="1">
      <c r="A970" s="290"/>
      <c r="C970" s="16">
        <v>69</v>
      </c>
      <c r="D970" s="2">
        <v>20547</v>
      </c>
      <c r="E970" s="2" t="s">
        <v>1393</v>
      </c>
      <c r="F970" s="3">
        <v>28705102104772</v>
      </c>
      <c r="G970" s="2" t="s">
        <v>34</v>
      </c>
      <c r="H970" s="2" t="s">
        <v>1404</v>
      </c>
      <c r="I970" s="16" t="s">
        <v>66</v>
      </c>
      <c r="J970" s="4">
        <v>43225</v>
      </c>
      <c r="K970" s="16" t="s">
        <v>8</v>
      </c>
      <c r="L970" s="16" t="s">
        <v>12</v>
      </c>
      <c r="W970" s="16" t="s">
        <v>64</v>
      </c>
      <c r="Y970" s="7">
        <v>43250</v>
      </c>
      <c r="Z970" s="16" t="s">
        <v>67</v>
      </c>
      <c r="AA970" s="7" t="s">
        <v>3111</v>
      </c>
    </row>
    <row r="971" spans="1:28" ht="15" customHeight="1">
      <c r="A971" s="290"/>
      <c r="C971" s="16">
        <v>69</v>
      </c>
      <c r="D971" s="2">
        <v>20548</v>
      </c>
      <c r="E971" s="2" t="s">
        <v>1394</v>
      </c>
      <c r="F971" s="3">
        <v>29203030200958</v>
      </c>
      <c r="G971" s="2" t="s">
        <v>34</v>
      </c>
      <c r="H971" s="2" t="s">
        <v>1405</v>
      </c>
      <c r="I971" s="16" t="s">
        <v>66</v>
      </c>
      <c r="J971" s="4">
        <v>43225</v>
      </c>
      <c r="K971" s="16" t="s">
        <v>8</v>
      </c>
      <c r="L971" s="16" t="s">
        <v>12</v>
      </c>
      <c r="W971" s="16" t="s">
        <v>110</v>
      </c>
      <c r="Y971" s="7">
        <v>43250</v>
      </c>
      <c r="Z971" s="16" t="s">
        <v>67</v>
      </c>
      <c r="AA971" s="7" t="s">
        <v>3111</v>
      </c>
      <c r="AB971" s="2" t="s">
        <v>3668</v>
      </c>
    </row>
    <row r="972" spans="1:28" ht="15" customHeight="1">
      <c r="A972" s="290"/>
      <c r="C972" s="16">
        <v>69</v>
      </c>
      <c r="D972" s="2">
        <v>20549</v>
      </c>
      <c r="E972" s="2" t="s">
        <v>1395</v>
      </c>
      <c r="F972" s="3">
        <v>29502270103981</v>
      </c>
      <c r="G972" s="2" t="s">
        <v>34</v>
      </c>
      <c r="H972" s="2" t="s">
        <v>1406</v>
      </c>
      <c r="I972" s="16" t="s">
        <v>66</v>
      </c>
      <c r="J972" s="4">
        <v>43225</v>
      </c>
      <c r="K972" s="16" t="s">
        <v>8</v>
      </c>
      <c r="L972" s="16" t="s">
        <v>12</v>
      </c>
      <c r="W972" s="16" t="s">
        <v>62</v>
      </c>
      <c r="X972" s="2" t="s">
        <v>66</v>
      </c>
      <c r="Y972" s="7">
        <v>43250</v>
      </c>
      <c r="Z972" s="16" t="s">
        <v>67</v>
      </c>
      <c r="AA972" s="7" t="s">
        <v>3111</v>
      </c>
    </row>
    <row r="973" spans="1:28" ht="15" customHeight="1">
      <c r="A973" s="290"/>
      <c r="C973" s="16">
        <v>69</v>
      </c>
      <c r="D973" s="2">
        <v>20550</v>
      </c>
      <c r="E973" s="2" t="s">
        <v>1396</v>
      </c>
      <c r="F973" s="3">
        <v>29308072102855</v>
      </c>
      <c r="G973" s="2" t="s">
        <v>34</v>
      </c>
      <c r="H973" s="2" t="s">
        <v>1407</v>
      </c>
      <c r="I973" s="16" t="s">
        <v>66</v>
      </c>
      <c r="J973" s="4">
        <v>43225</v>
      </c>
      <c r="K973" s="16" t="s">
        <v>8</v>
      </c>
      <c r="L973" s="16" t="s">
        <v>12</v>
      </c>
      <c r="W973" s="16" t="s">
        <v>60</v>
      </c>
      <c r="Y973" s="7">
        <v>43250</v>
      </c>
      <c r="Z973" s="16" t="s">
        <v>66</v>
      </c>
      <c r="AA973" s="7">
        <v>43255</v>
      </c>
    </row>
    <row r="974" spans="1:28" ht="15" customHeight="1">
      <c r="A974" s="290"/>
      <c r="C974" s="16">
        <v>69</v>
      </c>
      <c r="D974" s="2">
        <v>20551</v>
      </c>
      <c r="E974" s="2" t="s">
        <v>1397</v>
      </c>
      <c r="F974" s="3">
        <v>29112261200203</v>
      </c>
      <c r="G974" s="2" t="s">
        <v>34</v>
      </c>
      <c r="H974" s="2" t="s">
        <v>1408</v>
      </c>
      <c r="I974" s="16" t="s">
        <v>66</v>
      </c>
      <c r="J974" s="4">
        <v>43225</v>
      </c>
      <c r="K974" s="16" t="s">
        <v>8</v>
      </c>
      <c r="L974" s="16" t="s">
        <v>12</v>
      </c>
      <c r="W974" s="16" t="s">
        <v>61</v>
      </c>
      <c r="Y974" s="7">
        <v>43250</v>
      </c>
      <c r="Z974" s="16" t="s">
        <v>66</v>
      </c>
      <c r="AA974" s="7">
        <v>43324</v>
      </c>
    </row>
    <row r="975" spans="1:28" ht="15" customHeight="1">
      <c r="A975" s="290"/>
      <c r="C975" s="16">
        <v>69</v>
      </c>
      <c r="D975" s="2">
        <v>20552</v>
      </c>
      <c r="E975" s="2" t="s">
        <v>1398</v>
      </c>
      <c r="F975" s="3">
        <v>29511140101366</v>
      </c>
      <c r="G975" s="2" t="s">
        <v>129</v>
      </c>
      <c r="H975" s="2" t="s">
        <v>1409</v>
      </c>
      <c r="I975" s="16" t="s">
        <v>66</v>
      </c>
      <c r="J975" s="4">
        <v>43225</v>
      </c>
      <c r="K975" s="16" t="s">
        <v>8</v>
      </c>
      <c r="L975" s="16" t="s">
        <v>12</v>
      </c>
      <c r="W975" s="16" t="s">
        <v>59</v>
      </c>
      <c r="X975" s="2" t="s">
        <v>66</v>
      </c>
      <c r="Y975" s="7">
        <v>43250</v>
      </c>
      <c r="Z975" s="16" t="s">
        <v>67</v>
      </c>
      <c r="AA975" s="7" t="s">
        <v>3111</v>
      </c>
    </row>
    <row r="976" spans="1:28" ht="15" customHeight="1">
      <c r="A976" s="290"/>
      <c r="C976" s="2">
        <v>69</v>
      </c>
      <c r="D976" s="2">
        <v>20553</v>
      </c>
      <c r="E976" s="2" t="s">
        <v>1399</v>
      </c>
      <c r="F976" s="3">
        <v>29804011605037</v>
      </c>
      <c r="G976" s="2" t="s">
        <v>83</v>
      </c>
      <c r="H976" s="2" t="s">
        <v>1410</v>
      </c>
      <c r="I976" s="16" t="s">
        <v>66</v>
      </c>
      <c r="J976" s="4">
        <v>43225</v>
      </c>
      <c r="K976" s="16" t="s">
        <v>8</v>
      </c>
      <c r="L976" s="16" t="s">
        <v>12</v>
      </c>
      <c r="W976" s="16" t="s">
        <v>62</v>
      </c>
      <c r="Y976" s="7">
        <v>43250</v>
      </c>
      <c r="Z976" s="16" t="s">
        <v>66</v>
      </c>
      <c r="AA976" s="7">
        <v>43255</v>
      </c>
    </row>
    <row r="977" spans="1:28" ht="15.75" customHeight="1" thickBot="1">
      <c r="A977" s="291"/>
      <c r="C977" s="28">
        <v>69</v>
      </c>
      <c r="D977" s="28">
        <v>20502</v>
      </c>
      <c r="E977" s="28" t="s">
        <v>1400</v>
      </c>
      <c r="F977" s="29">
        <v>29311160101746</v>
      </c>
      <c r="G977" s="28" t="s">
        <v>129</v>
      </c>
      <c r="H977" s="28" t="s">
        <v>1411</v>
      </c>
      <c r="I977" s="28" t="s">
        <v>66</v>
      </c>
      <c r="J977" s="30">
        <v>43225</v>
      </c>
      <c r="K977" s="28" t="s">
        <v>8</v>
      </c>
      <c r="L977" s="28" t="s">
        <v>12</v>
      </c>
      <c r="M977" s="28"/>
      <c r="N977" s="28"/>
      <c r="O977" s="226"/>
      <c r="P977" s="28"/>
      <c r="Q977" s="226"/>
      <c r="R977" s="28"/>
      <c r="S977" s="28"/>
      <c r="T977" s="28"/>
      <c r="U977" s="28"/>
      <c r="V977" s="28"/>
      <c r="W977" s="28" t="s">
        <v>62</v>
      </c>
      <c r="X977" s="28" t="s">
        <v>66</v>
      </c>
      <c r="Y977" s="30">
        <v>43230</v>
      </c>
      <c r="Z977" s="28" t="s">
        <v>66</v>
      </c>
      <c r="AA977" s="30">
        <v>43255</v>
      </c>
      <c r="AB977" s="28"/>
    </row>
    <row r="978" spans="1:28" ht="15.75" customHeight="1" thickTop="1">
      <c r="A978" s="289" t="s">
        <v>3122</v>
      </c>
      <c r="C978" s="16">
        <v>70</v>
      </c>
      <c r="D978" s="2">
        <v>20723</v>
      </c>
      <c r="E978" s="2" t="s">
        <v>1374</v>
      </c>
      <c r="F978" s="3">
        <v>28610070101716</v>
      </c>
      <c r="G978" s="2" t="s">
        <v>34</v>
      </c>
      <c r="H978" s="2" t="s">
        <v>1382</v>
      </c>
      <c r="I978" s="16" t="s">
        <v>66</v>
      </c>
      <c r="J978" s="4">
        <v>43232</v>
      </c>
      <c r="K978" s="16" t="s">
        <v>8</v>
      </c>
      <c r="L978" s="16" t="s">
        <v>12</v>
      </c>
      <c r="M978" s="2" t="s">
        <v>978</v>
      </c>
      <c r="W978" s="16" t="s">
        <v>62</v>
      </c>
      <c r="Y978" s="7">
        <v>43258</v>
      </c>
      <c r="Z978" s="16" t="s">
        <v>66</v>
      </c>
      <c r="AA978" s="7">
        <v>43272</v>
      </c>
    </row>
    <row r="979" spans="1:28" ht="15" customHeight="1">
      <c r="A979" s="290"/>
      <c r="C979" s="16">
        <v>70</v>
      </c>
      <c r="D979" s="2">
        <v>20724</v>
      </c>
      <c r="E979" s="2" t="s">
        <v>1375</v>
      </c>
      <c r="F979" s="3">
        <v>29410188800796</v>
      </c>
      <c r="G979" s="2" t="s">
        <v>34</v>
      </c>
      <c r="H979" s="2" t="s">
        <v>1383</v>
      </c>
      <c r="I979" s="16" t="s">
        <v>66</v>
      </c>
      <c r="J979" s="4">
        <v>43232</v>
      </c>
      <c r="K979" s="16" t="s">
        <v>8</v>
      </c>
      <c r="L979" s="16" t="s">
        <v>12</v>
      </c>
      <c r="M979" s="2" t="s">
        <v>472</v>
      </c>
      <c r="W979" s="16" t="s">
        <v>62</v>
      </c>
      <c r="Y979" s="7">
        <v>43258</v>
      </c>
      <c r="Z979" s="16" t="s">
        <v>66</v>
      </c>
      <c r="AA979" s="7">
        <v>43270</v>
      </c>
    </row>
    <row r="980" spans="1:28" ht="15" customHeight="1">
      <c r="A980" s="290"/>
      <c r="C980" s="16">
        <v>70</v>
      </c>
      <c r="D980" s="2">
        <v>20725</v>
      </c>
      <c r="E980" s="2" t="s">
        <v>1376</v>
      </c>
      <c r="F980" s="3">
        <v>29309220103731</v>
      </c>
      <c r="G980" s="2" t="s">
        <v>129</v>
      </c>
      <c r="H980" s="2" t="s">
        <v>1384</v>
      </c>
      <c r="I980" s="16" t="s">
        <v>66</v>
      </c>
      <c r="J980" s="4">
        <v>43232</v>
      </c>
      <c r="K980" s="16" t="s">
        <v>8</v>
      </c>
      <c r="L980" s="16" t="s">
        <v>12</v>
      </c>
      <c r="M980" s="2" t="s">
        <v>52</v>
      </c>
      <c r="W980" s="16" t="s">
        <v>63</v>
      </c>
      <c r="Y980" s="7">
        <v>43258</v>
      </c>
      <c r="Z980" s="16" t="s">
        <v>67</v>
      </c>
      <c r="AA980" s="7" t="s">
        <v>3111</v>
      </c>
    </row>
    <row r="981" spans="1:28" ht="15" customHeight="1">
      <c r="A981" s="290"/>
      <c r="C981" s="16">
        <v>70</v>
      </c>
      <c r="D981" s="2">
        <v>20726</v>
      </c>
      <c r="E981" s="2" t="s">
        <v>1377</v>
      </c>
      <c r="F981" s="3">
        <v>29307011902755</v>
      </c>
      <c r="G981" s="2" t="s">
        <v>34</v>
      </c>
      <c r="H981" s="2" t="s">
        <v>1385</v>
      </c>
      <c r="I981" s="16" t="s">
        <v>66</v>
      </c>
      <c r="J981" s="4">
        <v>43232</v>
      </c>
      <c r="K981" s="16" t="s">
        <v>8</v>
      </c>
      <c r="L981" s="16" t="s">
        <v>12</v>
      </c>
      <c r="M981" s="2" t="s">
        <v>103</v>
      </c>
      <c r="W981" s="16" t="s">
        <v>59</v>
      </c>
      <c r="X981" s="2" t="s">
        <v>66</v>
      </c>
      <c r="Y981" s="7">
        <v>43258</v>
      </c>
      <c r="Z981" s="16" t="s">
        <v>67</v>
      </c>
      <c r="AA981" s="7" t="s">
        <v>3111</v>
      </c>
    </row>
    <row r="982" spans="1:28" ht="15" customHeight="1">
      <c r="A982" s="290"/>
      <c r="C982" s="16">
        <v>70</v>
      </c>
      <c r="D982" s="2">
        <v>20727</v>
      </c>
      <c r="E982" s="2" t="s">
        <v>1378</v>
      </c>
      <c r="F982" s="3">
        <v>29705040103191</v>
      </c>
      <c r="G982" s="2" t="s">
        <v>83</v>
      </c>
      <c r="H982" s="2" t="s">
        <v>1386</v>
      </c>
      <c r="I982" s="16" t="s">
        <v>66</v>
      </c>
      <c r="J982" s="4">
        <v>43232</v>
      </c>
      <c r="K982" s="16" t="s">
        <v>8</v>
      </c>
      <c r="L982" s="16" t="s">
        <v>12</v>
      </c>
      <c r="M982" s="2" t="s">
        <v>107</v>
      </c>
      <c r="W982" s="16" t="s">
        <v>60</v>
      </c>
      <c r="Y982" s="7">
        <v>43258</v>
      </c>
      <c r="Z982" s="16" t="s">
        <v>66</v>
      </c>
      <c r="AA982" s="7">
        <v>43290</v>
      </c>
    </row>
    <row r="983" spans="1:28" ht="15" customHeight="1">
      <c r="A983" s="290"/>
      <c r="C983" s="16">
        <v>70</v>
      </c>
      <c r="D983" s="2">
        <v>20728</v>
      </c>
      <c r="E983" s="2" t="s">
        <v>1379</v>
      </c>
      <c r="F983" s="3">
        <v>29408252101649</v>
      </c>
      <c r="G983" s="2" t="s">
        <v>83</v>
      </c>
      <c r="H983" s="2" t="s">
        <v>1387</v>
      </c>
      <c r="I983" s="16" t="s">
        <v>66</v>
      </c>
      <c r="J983" s="4">
        <v>43232</v>
      </c>
      <c r="K983" s="16" t="s">
        <v>8</v>
      </c>
      <c r="L983" s="16" t="s">
        <v>12</v>
      </c>
      <c r="M983" s="2" t="s">
        <v>52</v>
      </c>
      <c r="W983" s="16" t="s">
        <v>60</v>
      </c>
      <c r="X983" s="2" t="s">
        <v>66</v>
      </c>
      <c r="Y983" s="7">
        <v>43258</v>
      </c>
      <c r="Z983" s="16" t="s">
        <v>66</v>
      </c>
      <c r="AA983" s="7">
        <v>43290</v>
      </c>
    </row>
    <row r="984" spans="1:28" ht="15" customHeight="1">
      <c r="A984" s="290"/>
      <c r="C984" s="16">
        <v>70</v>
      </c>
      <c r="D984" s="2">
        <v>20729</v>
      </c>
      <c r="E984" s="2" t="s">
        <v>1380</v>
      </c>
      <c r="F984" s="3">
        <v>29511081401431</v>
      </c>
      <c r="G984" s="2" t="s">
        <v>83</v>
      </c>
      <c r="H984" s="2" t="s">
        <v>1388</v>
      </c>
      <c r="I984" s="16" t="s">
        <v>66</v>
      </c>
      <c r="J984" s="4">
        <v>43232</v>
      </c>
      <c r="K984" s="16" t="s">
        <v>8</v>
      </c>
      <c r="L984" s="16" t="s">
        <v>12</v>
      </c>
      <c r="M984" s="2" t="s">
        <v>197</v>
      </c>
      <c r="W984" s="16" t="s">
        <v>61</v>
      </c>
      <c r="X984" s="2" t="s">
        <v>66</v>
      </c>
      <c r="Y984" s="7">
        <v>43258</v>
      </c>
      <c r="Z984" s="16" t="s">
        <v>66</v>
      </c>
      <c r="AA984" s="7">
        <v>43297</v>
      </c>
    </row>
    <row r="985" spans="1:28" ht="15.75" customHeight="1" thickBot="1">
      <c r="A985" s="291"/>
      <c r="C985" s="28">
        <v>70</v>
      </c>
      <c r="D985" s="28">
        <v>20748</v>
      </c>
      <c r="E985" s="28" t="s">
        <v>1381</v>
      </c>
      <c r="F985" s="29">
        <v>29409138800886</v>
      </c>
      <c r="G985" s="28" t="s">
        <v>34</v>
      </c>
      <c r="H985" s="28" t="s">
        <v>1389</v>
      </c>
      <c r="I985" s="28" t="s">
        <v>66</v>
      </c>
      <c r="J985" s="30">
        <v>43232</v>
      </c>
      <c r="K985" s="28" t="s">
        <v>8</v>
      </c>
      <c r="L985" s="28" t="s">
        <v>12</v>
      </c>
      <c r="M985" s="28" t="s">
        <v>257</v>
      </c>
      <c r="N985" s="28"/>
      <c r="O985" s="226"/>
      <c r="P985" s="28"/>
      <c r="Q985" s="226"/>
      <c r="R985" s="28"/>
      <c r="S985" s="28"/>
      <c r="T985" s="28"/>
      <c r="U985" s="28"/>
      <c r="V985" s="28"/>
      <c r="W985" s="28" t="s">
        <v>60</v>
      </c>
      <c r="X985" s="28"/>
      <c r="Y985" s="30">
        <v>43258</v>
      </c>
      <c r="Z985" s="28" t="s">
        <v>66</v>
      </c>
      <c r="AA985" s="30">
        <v>43240</v>
      </c>
      <c r="AB985" s="28"/>
    </row>
    <row r="986" spans="1:28" ht="15.75" customHeight="1" thickTop="1">
      <c r="A986" s="289" t="s">
        <v>3119</v>
      </c>
      <c r="C986" s="2">
        <v>71</v>
      </c>
      <c r="D986" s="16">
        <v>20742</v>
      </c>
      <c r="E986" s="16" t="s">
        <v>1359</v>
      </c>
      <c r="F986" s="3">
        <v>27410160101313</v>
      </c>
      <c r="G986" s="16" t="s">
        <v>34</v>
      </c>
      <c r="H986" s="16" t="s">
        <v>1367</v>
      </c>
      <c r="I986" s="16" t="s">
        <v>66</v>
      </c>
      <c r="J986" s="7">
        <v>43240</v>
      </c>
      <c r="K986" s="16" t="s">
        <v>8</v>
      </c>
      <c r="L986" s="16" t="s">
        <v>12</v>
      </c>
      <c r="M986" s="2" t="s">
        <v>52</v>
      </c>
      <c r="W986" s="16" t="s">
        <v>64</v>
      </c>
      <c r="Y986" s="7">
        <v>43265</v>
      </c>
      <c r="Z986" s="16" t="s">
        <v>67</v>
      </c>
      <c r="AA986" s="7" t="s">
        <v>3111</v>
      </c>
    </row>
    <row r="987" spans="1:28" ht="15" customHeight="1">
      <c r="A987" s="290"/>
      <c r="C987" s="16">
        <v>71</v>
      </c>
      <c r="D987" s="16">
        <v>20743</v>
      </c>
      <c r="E987" s="16" t="s">
        <v>1360</v>
      </c>
      <c r="F987" s="3">
        <v>29605202100137</v>
      </c>
      <c r="G987" s="16" t="s">
        <v>83</v>
      </c>
      <c r="H987" s="16" t="s">
        <v>1368</v>
      </c>
      <c r="I987" s="16" t="s">
        <v>66</v>
      </c>
      <c r="J987" s="7">
        <v>43240</v>
      </c>
      <c r="K987" s="16" t="s">
        <v>8</v>
      </c>
      <c r="L987" s="16" t="s">
        <v>12</v>
      </c>
      <c r="M987" s="2" t="s">
        <v>197</v>
      </c>
      <c r="W987" s="16" t="s">
        <v>110</v>
      </c>
      <c r="Y987" s="7">
        <v>43265</v>
      </c>
      <c r="Z987" s="16" t="s">
        <v>66</v>
      </c>
      <c r="AA987" s="7">
        <v>43311</v>
      </c>
    </row>
    <row r="988" spans="1:28" ht="15" customHeight="1">
      <c r="A988" s="290"/>
      <c r="C988" s="16">
        <v>71</v>
      </c>
      <c r="D988" s="16">
        <v>20744</v>
      </c>
      <c r="E988" s="16" t="s">
        <v>1361</v>
      </c>
      <c r="F988" s="3">
        <v>29311271900516</v>
      </c>
      <c r="G988" s="16" t="s">
        <v>34</v>
      </c>
      <c r="H988" s="16" t="s">
        <v>1369</v>
      </c>
      <c r="I988" s="16" t="s">
        <v>66</v>
      </c>
      <c r="J988" s="7">
        <v>43240</v>
      </c>
      <c r="K988" s="16" t="s">
        <v>8</v>
      </c>
      <c r="L988" s="16" t="s">
        <v>12</v>
      </c>
      <c r="M988" s="2" t="s">
        <v>52</v>
      </c>
      <c r="W988" s="16" t="s">
        <v>61</v>
      </c>
      <c r="X988" s="2" t="s">
        <v>66</v>
      </c>
      <c r="Y988" s="7">
        <v>43265</v>
      </c>
      <c r="Z988" s="16" t="s">
        <v>66</v>
      </c>
      <c r="AA988" s="7">
        <v>43297</v>
      </c>
    </row>
    <row r="989" spans="1:28" ht="15" customHeight="1">
      <c r="A989" s="290"/>
      <c r="C989" s="16">
        <v>71</v>
      </c>
      <c r="D989" s="16">
        <v>20745</v>
      </c>
      <c r="E989" s="16" t="s">
        <v>1362</v>
      </c>
      <c r="F989" s="3">
        <v>29303220200592</v>
      </c>
      <c r="G989" s="16" t="s">
        <v>34</v>
      </c>
      <c r="H989" s="16" t="s">
        <v>1370</v>
      </c>
      <c r="I989" s="16" t="s">
        <v>66</v>
      </c>
      <c r="J989" s="7">
        <v>43240</v>
      </c>
      <c r="K989" s="16" t="s">
        <v>8</v>
      </c>
      <c r="L989" s="16" t="s">
        <v>12</v>
      </c>
      <c r="M989" s="2" t="s">
        <v>16</v>
      </c>
      <c r="W989" s="16" t="s">
        <v>62</v>
      </c>
      <c r="X989" s="2" t="s">
        <v>66</v>
      </c>
      <c r="Y989" s="7">
        <v>43265</v>
      </c>
      <c r="Z989" s="16" t="s">
        <v>66</v>
      </c>
      <c r="AA989" s="7">
        <v>43284</v>
      </c>
    </row>
    <row r="990" spans="1:28" ht="15" customHeight="1">
      <c r="A990" s="290"/>
      <c r="C990" s="16">
        <v>71</v>
      </c>
      <c r="D990" s="16">
        <v>20746</v>
      </c>
      <c r="E990" s="16" t="s">
        <v>1363</v>
      </c>
      <c r="F990" s="3">
        <v>29309292100892</v>
      </c>
      <c r="G990" s="16" t="s">
        <v>34</v>
      </c>
      <c r="H990" s="16" t="s">
        <v>1371</v>
      </c>
      <c r="I990" s="16" t="s">
        <v>66</v>
      </c>
      <c r="J990" s="7">
        <v>43240</v>
      </c>
      <c r="K990" s="16" t="s">
        <v>8</v>
      </c>
      <c r="L990" s="16" t="s">
        <v>12</v>
      </c>
      <c r="M990" s="2" t="s">
        <v>376</v>
      </c>
      <c r="W990" s="16" t="s">
        <v>64</v>
      </c>
      <c r="Y990" s="7">
        <v>43265</v>
      </c>
      <c r="Z990" s="16" t="s">
        <v>67</v>
      </c>
      <c r="AA990" s="7" t="s">
        <v>3111</v>
      </c>
    </row>
    <row r="991" spans="1:28" ht="15" customHeight="1">
      <c r="A991" s="290"/>
      <c r="C991" s="16">
        <v>71</v>
      </c>
      <c r="D991" s="16">
        <v>20747</v>
      </c>
      <c r="E991" s="16" t="s">
        <v>1364</v>
      </c>
      <c r="F991" s="3">
        <v>29408140102359</v>
      </c>
      <c r="G991" s="16" t="s">
        <v>83</v>
      </c>
      <c r="H991" s="16" t="s">
        <v>1372</v>
      </c>
      <c r="I991" s="16" t="s">
        <v>66</v>
      </c>
      <c r="J991" s="7">
        <v>43240</v>
      </c>
      <c r="K991" s="16" t="s">
        <v>8</v>
      </c>
      <c r="L991" s="16" t="s">
        <v>12</v>
      </c>
      <c r="M991" s="2" t="s">
        <v>16</v>
      </c>
      <c r="W991" s="16" t="s">
        <v>61</v>
      </c>
      <c r="Y991" s="7">
        <v>43265</v>
      </c>
      <c r="Z991" s="16" t="s">
        <v>66</v>
      </c>
      <c r="AA991" s="7">
        <v>43297</v>
      </c>
    </row>
    <row r="992" spans="1:28" ht="15.75" customHeight="1" thickBot="1">
      <c r="A992" s="291"/>
      <c r="C992" s="28">
        <v>71</v>
      </c>
      <c r="D992" s="28">
        <v>20749</v>
      </c>
      <c r="E992" s="28" t="s">
        <v>1365</v>
      </c>
      <c r="F992" s="29" t="s">
        <v>1366</v>
      </c>
      <c r="G992" s="28" t="s">
        <v>34</v>
      </c>
      <c r="H992" s="28" t="s">
        <v>1373</v>
      </c>
      <c r="I992" s="28" t="s">
        <v>66</v>
      </c>
      <c r="J992" s="30">
        <v>43240</v>
      </c>
      <c r="K992" s="28" t="s">
        <v>8</v>
      </c>
      <c r="L992" s="28" t="s">
        <v>12</v>
      </c>
      <c r="M992" s="28" t="s">
        <v>257</v>
      </c>
      <c r="N992" s="28"/>
      <c r="O992" s="226"/>
      <c r="P992" s="28"/>
      <c r="Q992" s="226"/>
      <c r="R992" s="28"/>
      <c r="S992" s="28"/>
      <c r="T992" s="28"/>
      <c r="U992" s="28"/>
      <c r="V992" s="28"/>
      <c r="W992" s="28" t="s">
        <v>62</v>
      </c>
      <c r="X992" s="28" t="s">
        <v>66</v>
      </c>
      <c r="Y992" s="30">
        <v>43265</v>
      </c>
      <c r="Z992" s="28" t="s">
        <v>67</v>
      </c>
      <c r="AA992" s="30" t="s">
        <v>3111</v>
      </c>
      <c r="AB992" s="28"/>
    </row>
    <row r="993" spans="1:28" ht="15.75" customHeight="1" thickTop="1">
      <c r="A993" s="289" t="s">
        <v>3127</v>
      </c>
      <c r="C993" s="16">
        <v>72</v>
      </c>
      <c r="D993" s="16">
        <v>20750</v>
      </c>
      <c r="E993" s="16" t="s">
        <v>1312</v>
      </c>
      <c r="F993" s="3" t="s">
        <v>1313</v>
      </c>
      <c r="G993" s="16" t="s">
        <v>34</v>
      </c>
      <c r="H993" s="16" t="s">
        <v>1343</v>
      </c>
      <c r="I993" s="16" t="s">
        <v>66</v>
      </c>
      <c r="J993" s="45">
        <v>43246</v>
      </c>
      <c r="K993" s="16" t="s">
        <v>8</v>
      </c>
      <c r="L993" s="16" t="s">
        <v>12</v>
      </c>
      <c r="M993" s="16"/>
      <c r="N993" s="16"/>
      <c r="W993" s="16" t="s">
        <v>62</v>
      </c>
      <c r="X993" s="16"/>
      <c r="Y993" s="45">
        <v>43272</v>
      </c>
      <c r="Z993" s="16" t="s">
        <v>67</v>
      </c>
      <c r="AA993" s="45" t="s">
        <v>3111</v>
      </c>
      <c r="AB993" s="16"/>
    </row>
    <row r="994" spans="1:28" ht="15" customHeight="1">
      <c r="A994" s="290"/>
      <c r="C994" s="16">
        <v>72</v>
      </c>
      <c r="D994" s="16">
        <v>20751</v>
      </c>
      <c r="E994" s="16" t="s">
        <v>1314</v>
      </c>
      <c r="F994" s="3" t="s">
        <v>1315</v>
      </c>
      <c r="G994" s="16" t="s">
        <v>34</v>
      </c>
      <c r="H994" s="16" t="s">
        <v>1344</v>
      </c>
      <c r="I994" s="16" t="s">
        <v>66</v>
      </c>
      <c r="J994" s="7">
        <v>43246</v>
      </c>
      <c r="K994" s="16" t="s">
        <v>8</v>
      </c>
      <c r="L994" s="16" t="s">
        <v>12</v>
      </c>
      <c r="W994" s="16" t="s">
        <v>110</v>
      </c>
      <c r="Y994" s="7">
        <v>43272</v>
      </c>
      <c r="Z994" s="16" t="s">
        <v>66</v>
      </c>
      <c r="AA994" s="7" t="s">
        <v>3111</v>
      </c>
    </row>
    <row r="995" spans="1:28" ht="15" customHeight="1">
      <c r="A995" s="290"/>
      <c r="C995" s="16">
        <v>72</v>
      </c>
      <c r="D995" s="16">
        <v>20752</v>
      </c>
      <c r="E995" s="16" t="s">
        <v>1316</v>
      </c>
      <c r="F995" s="3" t="s">
        <v>1317</v>
      </c>
      <c r="G995" s="16" t="s">
        <v>34</v>
      </c>
      <c r="H995" s="16" t="s">
        <v>1345</v>
      </c>
      <c r="I995" s="16" t="s">
        <v>66</v>
      </c>
      <c r="J995" s="45">
        <v>43246</v>
      </c>
      <c r="K995" s="16" t="s">
        <v>8</v>
      </c>
      <c r="L995" s="16" t="s">
        <v>12</v>
      </c>
      <c r="M995" s="16"/>
      <c r="N995" s="16"/>
      <c r="W995" s="16" t="s">
        <v>61</v>
      </c>
      <c r="X995" s="16"/>
      <c r="Y995" s="45">
        <v>43272</v>
      </c>
      <c r="Z995" s="16" t="s">
        <v>66</v>
      </c>
      <c r="AA995" s="45">
        <v>43297</v>
      </c>
      <c r="AB995" s="16"/>
    </row>
    <row r="996" spans="1:28" ht="15" customHeight="1">
      <c r="A996" s="290"/>
      <c r="C996" s="16">
        <v>72</v>
      </c>
      <c r="D996" s="16">
        <v>20753</v>
      </c>
      <c r="E996" s="16" t="s">
        <v>1318</v>
      </c>
      <c r="F996" s="3" t="s">
        <v>1319</v>
      </c>
      <c r="G996" s="16" t="s">
        <v>34</v>
      </c>
      <c r="H996" s="16" t="s">
        <v>1346</v>
      </c>
      <c r="I996" s="16" t="s">
        <v>66</v>
      </c>
      <c r="J996" s="7">
        <v>43246</v>
      </c>
      <c r="K996" s="16" t="s">
        <v>8</v>
      </c>
      <c r="L996" s="16" t="s">
        <v>12</v>
      </c>
      <c r="W996" s="16" t="s">
        <v>62</v>
      </c>
      <c r="Y996" s="7">
        <v>43272</v>
      </c>
      <c r="Z996" s="16" t="s">
        <v>67</v>
      </c>
      <c r="AA996" s="7" t="s">
        <v>3111</v>
      </c>
    </row>
    <row r="997" spans="1:28" ht="15" customHeight="1">
      <c r="A997" s="290"/>
      <c r="C997" s="2">
        <v>72</v>
      </c>
      <c r="D997" s="2">
        <v>20754</v>
      </c>
      <c r="E997" s="2" t="s">
        <v>1320</v>
      </c>
      <c r="F997" s="3" t="s">
        <v>1321</v>
      </c>
      <c r="G997" s="16" t="s">
        <v>83</v>
      </c>
      <c r="H997" s="2" t="s">
        <v>1347</v>
      </c>
      <c r="I997" s="16" t="s">
        <v>66</v>
      </c>
      <c r="J997" s="4">
        <v>43246</v>
      </c>
      <c r="K997" s="16" t="s">
        <v>8</v>
      </c>
      <c r="L997" s="16" t="s">
        <v>12</v>
      </c>
      <c r="W997" s="16" t="s">
        <v>64</v>
      </c>
      <c r="Y997" s="7">
        <v>43272</v>
      </c>
      <c r="Z997" s="16" t="s">
        <v>67</v>
      </c>
      <c r="AA997" s="7" t="s">
        <v>3111</v>
      </c>
    </row>
    <row r="998" spans="1:28" ht="15" customHeight="1">
      <c r="A998" s="290"/>
      <c r="C998" s="16">
        <v>72</v>
      </c>
      <c r="D998" s="2">
        <v>20755</v>
      </c>
      <c r="E998" s="2" t="s">
        <v>1322</v>
      </c>
      <c r="F998" s="3" t="s">
        <v>1323</v>
      </c>
      <c r="G998" s="2" t="s">
        <v>34</v>
      </c>
      <c r="H998" s="2" t="s">
        <v>1348</v>
      </c>
      <c r="I998" s="16" t="s">
        <v>66</v>
      </c>
      <c r="J998" s="4">
        <v>43246</v>
      </c>
      <c r="K998" s="16" t="s">
        <v>8</v>
      </c>
      <c r="L998" s="16" t="s">
        <v>12</v>
      </c>
      <c r="W998" s="16" t="s">
        <v>62</v>
      </c>
      <c r="X998" s="2" t="s">
        <v>66</v>
      </c>
      <c r="Y998" s="7">
        <v>43272</v>
      </c>
      <c r="Z998" s="16" t="s">
        <v>67</v>
      </c>
      <c r="AA998" s="7" t="s">
        <v>3111</v>
      </c>
    </row>
    <row r="999" spans="1:28" ht="15" customHeight="1">
      <c r="A999" s="290"/>
      <c r="C999" s="16">
        <v>72</v>
      </c>
      <c r="D999" s="2">
        <v>20756</v>
      </c>
      <c r="E999" s="2" t="s">
        <v>1324</v>
      </c>
      <c r="F999" s="3" t="s">
        <v>1325</v>
      </c>
      <c r="G999" s="16" t="s">
        <v>34</v>
      </c>
      <c r="H999" s="2" t="s">
        <v>1349</v>
      </c>
      <c r="I999" s="16" t="s">
        <v>66</v>
      </c>
      <c r="J999" s="4">
        <v>43246</v>
      </c>
      <c r="K999" s="16" t="s">
        <v>8</v>
      </c>
      <c r="L999" s="16" t="s">
        <v>12</v>
      </c>
      <c r="W999" s="16" t="s">
        <v>62</v>
      </c>
      <c r="Y999" s="7">
        <v>43272</v>
      </c>
      <c r="Z999" s="16" t="s">
        <v>67</v>
      </c>
      <c r="AA999" s="7" t="s">
        <v>3111</v>
      </c>
    </row>
    <row r="1000" spans="1:28" ht="15" customHeight="1">
      <c r="A1000" s="290"/>
      <c r="C1000" s="16">
        <v>72</v>
      </c>
      <c r="D1000" s="2">
        <v>20757</v>
      </c>
      <c r="E1000" s="2" t="s">
        <v>1326</v>
      </c>
      <c r="F1000" s="3" t="s">
        <v>1327</v>
      </c>
      <c r="G1000" s="2" t="s">
        <v>34</v>
      </c>
      <c r="H1000" s="2" t="s">
        <v>1350</v>
      </c>
      <c r="I1000" s="16" t="s">
        <v>66</v>
      </c>
      <c r="J1000" s="4">
        <v>43246</v>
      </c>
      <c r="K1000" s="16" t="s">
        <v>8</v>
      </c>
      <c r="L1000" s="16" t="s">
        <v>12</v>
      </c>
      <c r="W1000" s="16" t="s">
        <v>61</v>
      </c>
      <c r="Y1000" s="7">
        <v>43272</v>
      </c>
      <c r="Z1000" s="16" t="s">
        <v>66</v>
      </c>
      <c r="AA1000" s="7">
        <v>43297</v>
      </c>
    </row>
    <row r="1001" spans="1:28" ht="15" customHeight="1">
      <c r="A1001" s="290"/>
      <c r="C1001" s="16">
        <v>72</v>
      </c>
      <c r="D1001" s="2">
        <v>20758</v>
      </c>
      <c r="E1001" s="2" t="s">
        <v>1328</v>
      </c>
      <c r="F1001" s="3" t="s">
        <v>1329</v>
      </c>
      <c r="G1001" s="2" t="s">
        <v>34</v>
      </c>
      <c r="H1001" s="2" t="s">
        <v>1351</v>
      </c>
      <c r="I1001" s="16" t="s">
        <v>66</v>
      </c>
      <c r="J1001" s="4">
        <v>43246</v>
      </c>
      <c r="K1001" s="16" t="s">
        <v>8</v>
      </c>
      <c r="L1001" s="16" t="s">
        <v>12</v>
      </c>
      <c r="W1001" s="16" t="s">
        <v>61</v>
      </c>
      <c r="Y1001" s="7">
        <v>43272</v>
      </c>
      <c r="Z1001" s="16" t="s">
        <v>66</v>
      </c>
      <c r="AA1001" s="7">
        <v>43297</v>
      </c>
    </row>
    <row r="1002" spans="1:28" ht="15" customHeight="1">
      <c r="A1002" s="290"/>
      <c r="C1002" s="16">
        <v>72</v>
      </c>
      <c r="D1002" s="2">
        <v>20759</v>
      </c>
      <c r="E1002" s="2" t="s">
        <v>1330</v>
      </c>
      <c r="F1002" s="3" t="s">
        <v>1331</v>
      </c>
      <c r="G1002" s="16" t="s">
        <v>83</v>
      </c>
      <c r="H1002" s="16" t="s">
        <v>1352</v>
      </c>
      <c r="I1002" s="16" t="s">
        <v>66</v>
      </c>
      <c r="J1002" s="4">
        <v>43246</v>
      </c>
      <c r="K1002" s="16" t="s">
        <v>8</v>
      </c>
      <c r="L1002" s="16" t="s">
        <v>12</v>
      </c>
      <c r="N1002" s="16"/>
      <c r="W1002" s="16" t="s">
        <v>110</v>
      </c>
      <c r="Y1002" s="7">
        <v>43272</v>
      </c>
      <c r="Z1002" s="16" t="s">
        <v>67</v>
      </c>
      <c r="AA1002" s="7" t="s">
        <v>3111</v>
      </c>
      <c r="AB1002" s="2" t="s">
        <v>3665</v>
      </c>
    </row>
    <row r="1003" spans="1:28" ht="15" customHeight="1">
      <c r="A1003" s="290"/>
      <c r="C1003" s="16">
        <v>72</v>
      </c>
      <c r="D1003" s="2">
        <v>20760</v>
      </c>
      <c r="E1003" s="2" t="s">
        <v>1332</v>
      </c>
      <c r="F1003" s="3" t="s">
        <v>1333</v>
      </c>
      <c r="G1003" s="2" t="s">
        <v>34</v>
      </c>
      <c r="H1003" s="16" t="s">
        <v>1353</v>
      </c>
      <c r="I1003" s="16" t="s">
        <v>66</v>
      </c>
      <c r="J1003" s="4">
        <v>43246</v>
      </c>
      <c r="K1003" s="16" t="s">
        <v>8</v>
      </c>
      <c r="L1003" s="16" t="s">
        <v>12</v>
      </c>
      <c r="N1003" s="16"/>
      <c r="W1003" s="16" t="s">
        <v>64</v>
      </c>
      <c r="Y1003" s="7">
        <v>43272</v>
      </c>
      <c r="Z1003" s="16" t="s">
        <v>67</v>
      </c>
      <c r="AA1003" s="7" t="s">
        <v>3111</v>
      </c>
      <c r="AB1003" s="2" t="s">
        <v>698</v>
      </c>
    </row>
    <row r="1004" spans="1:28" ht="15" customHeight="1">
      <c r="A1004" s="290"/>
      <c r="C1004" s="16">
        <v>72</v>
      </c>
      <c r="D1004" s="16">
        <v>20761</v>
      </c>
      <c r="E1004" s="16" t="s">
        <v>1334</v>
      </c>
      <c r="F1004" s="3" t="s">
        <v>1335</v>
      </c>
      <c r="G1004" s="16" t="s">
        <v>83</v>
      </c>
      <c r="H1004" s="16" t="s">
        <v>1354</v>
      </c>
      <c r="I1004" s="16" t="s">
        <v>66</v>
      </c>
      <c r="J1004" s="45">
        <v>43246</v>
      </c>
      <c r="K1004" s="16" t="s">
        <v>8</v>
      </c>
      <c r="L1004" s="16" t="s">
        <v>12</v>
      </c>
      <c r="M1004" s="16"/>
      <c r="N1004" s="16"/>
      <c r="W1004" s="16" t="s">
        <v>60</v>
      </c>
      <c r="X1004" s="16" t="s">
        <v>66</v>
      </c>
      <c r="Y1004" s="45">
        <v>43272</v>
      </c>
      <c r="Z1004" s="16" t="s">
        <v>66</v>
      </c>
      <c r="AA1004" s="45">
        <v>43325</v>
      </c>
      <c r="AB1004" s="16" t="s">
        <v>3178</v>
      </c>
    </row>
    <row r="1005" spans="1:28" ht="15" customHeight="1">
      <c r="A1005" s="290"/>
      <c r="C1005" s="16">
        <v>72</v>
      </c>
      <c r="D1005" s="2">
        <v>20762</v>
      </c>
      <c r="E1005" s="2" t="s">
        <v>1336</v>
      </c>
      <c r="F1005" s="3" t="s">
        <v>1337</v>
      </c>
      <c r="G1005" s="2" t="s">
        <v>129</v>
      </c>
      <c r="H1005" s="2" t="s">
        <v>1355</v>
      </c>
      <c r="I1005" s="16" t="s">
        <v>66</v>
      </c>
      <c r="J1005" s="4">
        <v>43246</v>
      </c>
      <c r="K1005" s="16" t="s">
        <v>8</v>
      </c>
      <c r="L1005" s="16" t="s">
        <v>12</v>
      </c>
      <c r="W1005" s="16" t="s">
        <v>62</v>
      </c>
      <c r="Y1005" s="7">
        <v>43272</v>
      </c>
      <c r="Z1005" s="16" t="s">
        <v>67</v>
      </c>
      <c r="AA1005" s="7" t="s">
        <v>3111</v>
      </c>
    </row>
    <row r="1006" spans="1:28" ht="15" customHeight="1">
      <c r="A1006" s="290"/>
      <c r="C1006" s="16">
        <v>72</v>
      </c>
      <c r="D1006" s="2">
        <v>20763</v>
      </c>
      <c r="E1006" s="2" t="s">
        <v>1338</v>
      </c>
      <c r="F1006" s="3" t="s">
        <v>1339</v>
      </c>
      <c r="G1006" s="2" t="s">
        <v>34</v>
      </c>
      <c r="H1006" s="2" t="s">
        <v>1356</v>
      </c>
      <c r="I1006" s="16" t="s">
        <v>66</v>
      </c>
      <c r="J1006" s="4">
        <v>43246</v>
      </c>
      <c r="K1006" s="16" t="s">
        <v>8</v>
      </c>
      <c r="L1006" s="16" t="s">
        <v>12</v>
      </c>
      <c r="W1006" s="16" t="s">
        <v>62</v>
      </c>
      <c r="X1006" s="2" t="s">
        <v>66</v>
      </c>
      <c r="Y1006" s="7">
        <v>43272</v>
      </c>
      <c r="Z1006" s="16" t="s">
        <v>66</v>
      </c>
      <c r="AA1006" s="7">
        <v>43325</v>
      </c>
    </row>
    <row r="1007" spans="1:28" ht="15" customHeight="1">
      <c r="A1007" s="290"/>
      <c r="C1007" s="16">
        <v>72</v>
      </c>
      <c r="D1007" s="2">
        <v>20764</v>
      </c>
      <c r="E1007" s="2" t="s">
        <v>1340</v>
      </c>
      <c r="F1007" s="3" t="s">
        <v>1341</v>
      </c>
      <c r="G1007" s="2" t="s">
        <v>34</v>
      </c>
      <c r="H1007" s="2" t="s">
        <v>1357</v>
      </c>
      <c r="I1007" s="16" t="s">
        <v>66</v>
      </c>
      <c r="J1007" s="4">
        <v>43246</v>
      </c>
      <c r="K1007" s="16" t="s">
        <v>8</v>
      </c>
      <c r="L1007" s="16" t="s">
        <v>12</v>
      </c>
      <c r="W1007" s="16" t="s">
        <v>62</v>
      </c>
      <c r="X1007" s="2" t="s">
        <v>66</v>
      </c>
      <c r="Y1007" s="7">
        <v>43272</v>
      </c>
      <c r="Z1007" s="16" t="s">
        <v>67</v>
      </c>
      <c r="AA1007" s="7" t="s">
        <v>3111</v>
      </c>
    </row>
    <row r="1008" spans="1:28" ht="15.75" customHeight="1" thickBot="1">
      <c r="A1008" s="291"/>
      <c r="C1008" s="28">
        <v>72</v>
      </c>
      <c r="D1008" s="28">
        <v>20765</v>
      </c>
      <c r="E1008" s="28" t="s">
        <v>1342</v>
      </c>
      <c r="F1008" s="29">
        <v>29907081402269</v>
      </c>
      <c r="G1008" s="28" t="s">
        <v>129</v>
      </c>
      <c r="H1008" s="28" t="s">
        <v>1358</v>
      </c>
      <c r="I1008" s="28" t="s">
        <v>66</v>
      </c>
      <c r="J1008" s="30">
        <v>43246</v>
      </c>
      <c r="K1008" s="28" t="s">
        <v>8</v>
      </c>
      <c r="L1008" s="28" t="s">
        <v>12</v>
      </c>
      <c r="M1008" s="28"/>
      <c r="N1008" s="28"/>
      <c r="O1008" s="226"/>
      <c r="P1008" s="28"/>
      <c r="Q1008" s="226"/>
      <c r="R1008" s="28"/>
      <c r="S1008" s="28"/>
      <c r="T1008" s="28"/>
      <c r="U1008" s="28"/>
      <c r="V1008" s="28"/>
      <c r="W1008" s="28" t="s">
        <v>60</v>
      </c>
      <c r="X1008" s="28" t="s">
        <v>66</v>
      </c>
      <c r="Y1008" s="30">
        <v>43272</v>
      </c>
      <c r="Z1008" s="28" t="s">
        <v>66</v>
      </c>
      <c r="AA1008" s="30">
        <v>43312</v>
      </c>
      <c r="AB1008" s="28"/>
    </row>
    <row r="1009" spans="1:28" ht="15.75" customHeight="1" thickTop="1">
      <c r="A1009" s="289" t="s">
        <v>3118</v>
      </c>
      <c r="C1009" s="16">
        <v>73</v>
      </c>
      <c r="D1009" s="2">
        <v>20766</v>
      </c>
      <c r="E1009" s="2" t="s">
        <v>1274</v>
      </c>
      <c r="F1009" s="3" t="s">
        <v>1275</v>
      </c>
      <c r="G1009" s="2" t="s">
        <v>34</v>
      </c>
      <c r="H1009" s="2" t="s">
        <v>1296</v>
      </c>
      <c r="I1009" s="16" t="s">
        <v>66</v>
      </c>
      <c r="J1009" s="4">
        <v>43253</v>
      </c>
      <c r="K1009" s="16" t="s">
        <v>8</v>
      </c>
      <c r="L1009" s="16" t="s">
        <v>12</v>
      </c>
      <c r="M1009" s="2" t="s">
        <v>55</v>
      </c>
      <c r="N1009" s="16"/>
      <c r="W1009" s="16" t="s">
        <v>64</v>
      </c>
      <c r="Y1009" s="7">
        <v>43286</v>
      </c>
      <c r="Z1009" s="25" t="s">
        <v>67</v>
      </c>
      <c r="AA1009" s="7" t="s">
        <v>3111</v>
      </c>
    </row>
    <row r="1010" spans="1:28" ht="15" customHeight="1">
      <c r="A1010" s="290"/>
      <c r="C1010" s="16">
        <v>73</v>
      </c>
      <c r="D1010" s="16">
        <v>20767</v>
      </c>
      <c r="E1010" s="16" t="s">
        <v>1276</v>
      </c>
      <c r="F1010" s="3" t="s">
        <v>1277</v>
      </c>
      <c r="G1010" s="16" t="s">
        <v>83</v>
      </c>
      <c r="H1010" s="16" t="s">
        <v>1297</v>
      </c>
      <c r="I1010" s="16" t="s">
        <v>66</v>
      </c>
      <c r="J1010" s="45">
        <v>43253</v>
      </c>
      <c r="K1010" s="16" t="s">
        <v>8</v>
      </c>
      <c r="L1010" s="16" t="s">
        <v>12</v>
      </c>
      <c r="M1010" s="16" t="s">
        <v>197</v>
      </c>
      <c r="N1010" s="16"/>
      <c r="W1010" s="16" t="s">
        <v>59</v>
      </c>
      <c r="X1010" s="16" t="s">
        <v>66</v>
      </c>
      <c r="Y1010" s="45">
        <v>43286</v>
      </c>
      <c r="Z1010" s="16" t="s">
        <v>67</v>
      </c>
      <c r="AA1010" s="45" t="s">
        <v>3111</v>
      </c>
      <c r="AB1010" s="16"/>
    </row>
    <row r="1011" spans="1:28" ht="15" customHeight="1">
      <c r="A1011" s="290"/>
      <c r="C1011" s="16">
        <v>73</v>
      </c>
      <c r="D1011" s="2">
        <v>20768</v>
      </c>
      <c r="E1011" s="2" t="s">
        <v>1278</v>
      </c>
      <c r="F1011" s="3" t="s">
        <v>1279</v>
      </c>
      <c r="G1011" s="2" t="s">
        <v>34</v>
      </c>
      <c r="H1011" s="2" t="s">
        <v>1298</v>
      </c>
      <c r="I1011" s="16" t="s">
        <v>66</v>
      </c>
      <c r="J1011" s="4">
        <v>43253</v>
      </c>
      <c r="K1011" s="16" t="s">
        <v>8</v>
      </c>
      <c r="L1011" s="16" t="s">
        <v>12</v>
      </c>
      <c r="M1011" s="2" t="s">
        <v>197</v>
      </c>
      <c r="W1011" s="16" t="s">
        <v>60</v>
      </c>
      <c r="Y1011" s="7">
        <v>43286</v>
      </c>
      <c r="Z1011" s="16" t="s">
        <v>66</v>
      </c>
      <c r="AA1011" s="7">
        <v>43312</v>
      </c>
    </row>
    <row r="1012" spans="1:28" ht="15" customHeight="1">
      <c r="A1012" s="290"/>
      <c r="C1012" s="2">
        <v>73</v>
      </c>
      <c r="D1012" s="2">
        <v>20770</v>
      </c>
      <c r="E1012" s="2" t="s">
        <v>1280</v>
      </c>
      <c r="F1012" s="3" t="s">
        <v>1281</v>
      </c>
      <c r="G1012" s="2" t="s">
        <v>83</v>
      </c>
      <c r="H1012" s="2" t="s">
        <v>1299</v>
      </c>
      <c r="I1012" s="2" t="s">
        <v>66</v>
      </c>
      <c r="J1012" s="4">
        <v>43253</v>
      </c>
      <c r="K1012" s="16" t="s">
        <v>8</v>
      </c>
      <c r="L1012" s="16" t="s">
        <v>12</v>
      </c>
      <c r="M1012" s="2" t="s">
        <v>103</v>
      </c>
      <c r="W1012" s="16" t="s">
        <v>62</v>
      </c>
      <c r="Y1012" s="7">
        <v>43286</v>
      </c>
      <c r="Z1012" s="16" t="s">
        <v>67</v>
      </c>
      <c r="AA1012" s="7" t="s">
        <v>3111</v>
      </c>
    </row>
    <row r="1013" spans="1:28" ht="15" customHeight="1">
      <c r="A1013" s="290"/>
      <c r="C1013" s="16">
        <v>73</v>
      </c>
      <c r="D1013" s="16">
        <v>20771</v>
      </c>
      <c r="E1013" s="16" t="s">
        <v>1282</v>
      </c>
      <c r="F1013" s="3" t="s">
        <v>1283</v>
      </c>
      <c r="G1013" s="16" t="s">
        <v>34</v>
      </c>
      <c r="H1013" s="16" t="s">
        <v>1300</v>
      </c>
      <c r="I1013" s="16" t="s">
        <v>66</v>
      </c>
      <c r="J1013" s="45">
        <v>43253</v>
      </c>
      <c r="K1013" s="16" t="s">
        <v>8</v>
      </c>
      <c r="L1013" s="16" t="s">
        <v>12</v>
      </c>
      <c r="M1013" s="16" t="s">
        <v>57</v>
      </c>
      <c r="N1013" s="16"/>
      <c r="W1013" s="16" t="s">
        <v>62</v>
      </c>
      <c r="X1013" s="16"/>
      <c r="Y1013" s="45">
        <v>43286</v>
      </c>
      <c r="Z1013" s="16" t="s">
        <v>67</v>
      </c>
      <c r="AA1013" s="45" t="s">
        <v>3111</v>
      </c>
      <c r="AB1013" s="16"/>
    </row>
    <row r="1014" spans="1:28" ht="15" customHeight="1">
      <c r="A1014" s="290"/>
      <c r="C1014" s="16">
        <v>73</v>
      </c>
      <c r="D1014" s="2">
        <v>20772</v>
      </c>
      <c r="E1014" s="2" t="s">
        <v>1284</v>
      </c>
      <c r="F1014" s="3" t="s">
        <v>1285</v>
      </c>
      <c r="G1014" s="16" t="s">
        <v>4</v>
      </c>
      <c r="H1014" s="2" t="s">
        <v>1301</v>
      </c>
      <c r="I1014" s="2" t="s">
        <v>66</v>
      </c>
      <c r="J1014" s="4">
        <v>43253</v>
      </c>
      <c r="K1014" s="16" t="s">
        <v>8</v>
      </c>
      <c r="L1014" s="16" t="s">
        <v>12</v>
      </c>
      <c r="M1014" s="2" t="s">
        <v>1249</v>
      </c>
      <c r="W1014" s="16" t="s">
        <v>110</v>
      </c>
      <c r="Y1014" s="7">
        <v>43286</v>
      </c>
      <c r="Z1014" s="16" t="s">
        <v>67</v>
      </c>
      <c r="AA1014" s="7" t="s">
        <v>3111</v>
      </c>
    </row>
    <row r="1015" spans="1:28" ht="15" customHeight="1">
      <c r="A1015" s="290"/>
      <c r="C1015" s="16">
        <v>73</v>
      </c>
      <c r="D1015" s="2">
        <v>20968</v>
      </c>
      <c r="E1015" s="2" t="s">
        <v>1286</v>
      </c>
      <c r="F1015" s="3">
        <v>28412168800535</v>
      </c>
      <c r="G1015" s="2" t="s">
        <v>34</v>
      </c>
      <c r="H1015" s="2" t="s">
        <v>1302</v>
      </c>
      <c r="I1015" s="2" t="s">
        <v>66</v>
      </c>
      <c r="J1015" s="4">
        <v>43260</v>
      </c>
      <c r="K1015" s="16" t="s">
        <v>8</v>
      </c>
      <c r="L1015" s="16" t="s">
        <v>12</v>
      </c>
      <c r="M1015" s="2" t="s">
        <v>293</v>
      </c>
      <c r="W1015" s="16" t="s">
        <v>62</v>
      </c>
      <c r="Y1015" s="7">
        <v>43286</v>
      </c>
      <c r="Z1015" s="16" t="s">
        <v>66</v>
      </c>
      <c r="AA1015" s="7">
        <v>43291</v>
      </c>
    </row>
    <row r="1016" spans="1:28" ht="15" customHeight="1">
      <c r="A1016" s="290"/>
      <c r="C1016" s="16">
        <v>73</v>
      </c>
      <c r="D1016" s="2">
        <v>20969</v>
      </c>
      <c r="E1016" s="2" t="s">
        <v>1287</v>
      </c>
      <c r="F1016" s="3">
        <v>29708250104636</v>
      </c>
      <c r="G1016" s="16" t="s">
        <v>4</v>
      </c>
      <c r="H1016" s="2" t="s">
        <v>1303</v>
      </c>
      <c r="I1016" s="2" t="s">
        <v>66</v>
      </c>
      <c r="J1016" s="4">
        <v>43260</v>
      </c>
      <c r="K1016" s="16" t="s">
        <v>8</v>
      </c>
      <c r="L1016" s="16" t="s">
        <v>12</v>
      </c>
      <c r="M1016" s="2" t="s">
        <v>109</v>
      </c>
      <c r="W1016" s="16" t="s">
        <v>61</v>
      </c>
      <c r="Y1016" s="7">
        <v>43286</v>
      </c>
      <c r="Z1016" s="16" t="s">
        <v>66</v>
      </c>
      <c r="AA1016" s="7">
        <v>43297</v>
      </c>
    </row>
    <row r="1017" spans="1:28" ht="15" customHeight="1">
      <c r="A1017" s="290"/>
      <c r="C1017" s="16">
        <v>73</v>
      </c>
      <c r="D1017" s="2">
        <v>20970</v>
      </c>
      <c r="E1017" s="2" t="s">
        <v>1288</v>
      </c>
      <c r="F1017" s="3">
        <v>29509282401079</v>
      </c>
      <c r="G1017" s="2" t="s">
        <v>34</v>
      </c>
      <c r="H1017" s="2" t="s">
        <v>1304</v>
      </c>
      <c r="I1017" s="2" t="s">
        <v>66</v>
      </c>
      <c r="J1017" s="4">
        <v>43260</v>
      </c>
      <c r="K1017" s="16" t="s">
        <v>8</v>
      </c>
      <c r="L1017" s="16" t="s">
        <v>12</v>
      </c>
      <c r="M1017" s="2" t="s">
        <v>1249</v>
      </c>
      <c r="W1017" s="16" t="s">
        <v>60</v>
      </c>
      <c r="X1017" s="2" t="s">
        <v>66</v>
      </c>
      <c r="Y1017" s="7">
        <v>43286</v>
      </c>
      <c r="Z1017" s="16" t="s">
        <v>66</v>
      </c>
      <c r="AA1017" s="7">
        <v>43312</v>
      </c>
    </row>
    <row r="1018" spans="1:28" ht="15" customHeight="1">
      <c r="A1018" s="290"/>
      <c r="C1018" s="16">
        <v>73</v>
      </c>
      <c r="D1018" s="2">
        <v>20971</v>
      </c>
      <c r="E1018" s="2" t="s">
        <v>1289</v>
      </c>
      <c r="F1018" s="3">
        <v>29209202104695</v>
      </c>
      <c r="G1018" s="16" t="s">
        <v>34</v>
      </c>
      <c r="H1018" s="2" t="s">
        <v>1305</v>
      </c>
      <c r="I1018" s="2" t="s">
        <v>66</v>
      </c>
      <c r="J1018" s="4">
        <v>43260</v>
      </c>
      <c r="K1018" s="16" t="s">
        <v>8</v>
      </c>
      <c r="L1018" s="16" t="s">
        <v>12</v>
      </c>
      <c r="M1018" s="2" t="s">
        <v>52</v>
      </c>
      <c r="W1018" s="16" t="s">
        <v>61</v>
      </c>
      <c r="X1018" s="2" t="s">
        <v>66</v>
      </c>
      <c r="Y1018" s="7">
        <v>43286</v>
      </c>
      <c r="Z1018" s="16" t="s">
        <v>66</v>
      </c>
      <c r="AA1018" s="7">
        <v>43324</v>
      </c>
    </row>
    <row r="1019" spans="1:28" ht="15" customHeight="1">
      <c r="A1019" s="290"/>
      <c r="C1019" s="16">
        <v>73</v>
      </c>
      <c r="D1019" s="2">
        <v>20972</v>
      </c>
      <c r="E1019" s="2" t="s">
        <v>1290</v>
      </c>
      <c r="F1019" s="3">
        <v>29606260104025</v>
      </c>
      <c r="G1019" s="2" t="s">
        <v>83</v>
      </c>
      <c r="H1019" s="2" t="s">
        <v>1306</v>
      </c>
      <c r="I1019" s="2" t="s">
        <v>66</v>
      </c>
      <c r="J1019" s="4">
        <v>43260</v>
      </c>
      <c r="K1019" s="16" t="s">
        <v>8</v>
      </c>
      <c r="L1019" s="16" t="s">
        <v>12</v>
      </c>
      <c r="M1019" s="2" t="s">
        <v>109</v>
      </c>
      <c r="W1019" s="16" t="s">
        <v>64</v>
      </c>
      <c r="Y1019" s="7">
        <v>43286</v>
      </c>
      <c r="Z1019" s="16" t="s">
        <v>67</v>
      </c>
      <c r="AA1019" s="7" t="s">
        <v>3111</v>
      </c>
    </row>
    <row r="1020" spans="1:28" ht="15" customHeight="1">
      <c r="A1020" s="290"/>
      <c r="C1020" s="16">
        <v>73</v>
      </c>
      <c r="D1020" s="2">
        <v>20973</v>
      </c>
      <c r="E1020" s="2" t="s">
        <v>1291</v>
      </c>
      <c r="F1020" s="3">
        <v>29507242101584</v>
      </c>
      <c r="G1020" s="2" t="s">
        <v>34</v>
      </c>
      <c r="H1020" s="2" t="s">
        <v>1307</v>
      </c>
      <c r="I1020" s="2" t="s">
        <v>66</v>
      </c>
      <c r="J1020" s="4">
        <v>43260</v>
      </c>
      <c r="K1020" s="16" t="s">
        <v>8</v>
      </c>
      <c r="L1020" s="16" t="s">
        <v>12</v>
      </c>
      <c r="M1020" s="2" t="s">
        <v>293</v>
      </c>
      <c r="W1020" s="16" t="s">
        <v>64</v>
      </c>
      <c r="Y1020" s="7">
        <v>43286</v>
      </c>
      <c r="Z1020" s="16" t="s">
        <v>67</v>
      </c>
      <c r="AA1020" s="7" t="s">
        <v>3111</v>
      </c>
    </row>
    <row r="1021" spans="1:28" ht="15" customHeight="1">
      <c r="A1021" s="290"/>
      <c r="C1021" s="16">
        <v>73</v>
      </c>
      <c r="D1021" s="16">
        <v>20974</v>
      </c>
      <c r="E1021" s="16" t="s">
        <v>1292</v>
      </c>
      <c r="F1021" s="3">
        <v>29412120104646</v>
      </c>
      <c r="G1021" s="16" t="s">
        <v>34</v>
      </c>
      <c r="H1021" s="16" t="s">
        <v>1308</v>
      </c>
      <c r="I1021" s="16" t="s">
        <v>66</v>
      </c>
      <c r="J1021" s="45">
        <v>43260</v>
      </c>
      <c r="K1021" s="16" t="s">
        <v>8</v>
      </c>
      <c r="L1021" s="16" t="s">
        <v>12</v>
      </c>
      <c r="M1021" s="16" t="s">
        <v>705</v>
      </c>
      <c r="N1021" s="16"/>
      <c r="W1021" s="16" t="s">
        <v>61</v>
      </c>
      <c r="X1021" s="16" t="s">
        <v>66</v>
      </c>
      <c r="Y1021" s="45">
        <v>43286</v>
      </c>
      <c r="Z1021" s="16" t="s">
        <v>66</v>
      </c>
      <c r="AA1021" s="45">
        <v>43352</v>
      </c>
      <c r="AB1021" s="16" t="s">
        <v>3383</v>
      </c>
    </row>
    <row r="1022" spans="1:28" ht="15" customHeight="1">
      <c r="A1022" s="290"/>
      <c r="C1022" s="16">
        <v>73</v>
      </c>
      <c r="D1022" s="2">
        <v>20975</v>
      </c>
      <c r="E1022" s="2" t="s">
        <v>1293</v>
      </c>
      <c r="F1022" s="3">
        <v>29605220101876</v>
      </c>
      <c r="G1022" s="2" t="s">
        <v>34</v>
      </c>
      <c r="H1022" s="2" t="s">
        <v>1309</v>
      </c>
      <c r="I1022" s="2" t="s">
        <v>66</v>
      </c>
      <c r="J1022" s="4">
        <v>43260</v>
      </c>
      <c r="K1022" s="16" t="s">
        <v>8</v>
      </c>
      <c r="L1022" s="16" t="s">
        <v>12</v>
      </c>
      <c r="M1022" s="2" t="s">
        <v>100</v>
      </c>
      <c r="W1022" s="16" t="s">
        <v>110</v>
      </c>
      <c r="Y1022" s="7">
        <v>43286</v>
      </c>
      <c r="Z1022" s="16" t="s">
        <v>66</v>
      </c>
      <c r="AA1022" s="7">
        <v>43290</v>
      </c>
    </row>
    <row r="1023" spans="1:28" ht="15" customHeight="1">
      <c r="A1023" s="290"/>
      <c r="C1023" s="16">
        <v>73</v>
      </c>
      <c r="D1023" s="2">
        <v>20976</v>
      </c>
      <c r="E1023" s="2" t="s">
        <v>1294</v>
      </c>
      <c r="F1023" s="3">
        <v>29609010113524</v>
      </c>
      <c r="G1023" s="2" t="s">
        <v>34</v>
      </c>
      <c r="H1023" s="2" t="s">
        <v>1310</v>
      </c>
      <c r="I1023" s="2" t="s">
        <v>66</v>
      </c>
      <c r="J1023" s="4">
        <v>43260</v>
      </c>
      <c r="K1023" s="16" t="s">
        <v>8</v>
      </c>
      <c r="L1023" s="16" t="s">
        <v>12</v>
      </c>
      <c r="M1023" s="2" t="s">
        <v>15</v>
      </c>
      <c r="W1023" s="16" t="s">
        <v>64</v>
      </c>
      <c r="Y1023" s="7">
        <v>43286</v>
      </c>
      <c r="Z1023" s="16" t="s">
        <v>67</v>
      </c>
      <c r="AA1023" s="7" t="s">
        <v>3111</v>
      </c>
    </row>
    <row r="1024" spans="1:28" ht="15.75" customHeight="1" thickBot="1">
      <c r="A1024" s="291"/>
      <c r="C1024" s="28">
        <v>73</v>
      </c>
      <c r="D1024" s="28">
        <v>20977</v>
      </c>
      <c r="E1024" s="28" t="s">
        <v>1295</v>
      </c>
      <c r="F1024" s="29">
        <v>29402193100082</v>
      </c>
      <c r="G1024" s="28" t="s">
        <v>34</v>
      </c>
      <c r="H1024" s="28" t="s">
        <v>1311</v>
      </c>
      <c r="I1024" s="28" t="s">
        <v>66</v>
      </c>
      <c r="J1024" s="30">
        <v>43260</v>
      </c>
      <c r="K1024" s="28" t="s">
        <v>8</v>
      </c>
      <c r="L1024" s="28" t="s">
        <v>12</v>
      </c>
      <c r="M1024" s="28" t="s">
        <v>52</v>
      </c>
      <c r="N1024" s="28"/>
      <c r="O1024" s="226"/>
      <c r="P1024" s="28"/>
      <c r="Q1024" s="226"/>
      <c r="R1024" s="28"/>
      <c r="S1024" s="28"/>
      <c r="T1024" s="28"/>
      <c r="U1024" s="28"/>
      <c r="V1024" s="28"/>
      <c r="W1024" s="28" t="s">
        <v>110</v>
      </c>
      <c r="X1024" s="28"/>
      <c r="Y1024" s="30">
        <v>43286</v>
      </c>
      <c r="Z1024" s="28" t="s">
        <v>66</v>
      </c>
      <c r="AA1024" s="30">
        <v>43311</v>
      </c>
      <c r="AB1024" s="28"/>
    </row>
    <row r="1025" spans="1:28" ht="15.75" customHeight="1" thickTop="1">
      <c r="A1025" s="289" t="s">
        <v>3124</v>
      </c>
      <c r="C1025" s="16">
        <v>74</v>
      </c>
      <c r="D1025" s="2">
        <v>20960</v>
      </c>
      <c r="E1025" s="2" t="s">
        <v>1250</v>
      </c>
      <c r="F1025" s="3" t="s">
        <v>1258</v>
      </c>
      <c r="G1025" s="2" t="s">
        <v>83</v>
      </c>
      <c r="H1025" s="2" t="s">
        <v>1265</v>
      </c>
      <c r="I1025" s="2" t="s">
        <v>66</v>
      </c>
      <c r="J1025" s="4">
        <v>43260</v>
      </c>
      <c r="K1025" s="16" t="s">
        <v>8</v>
      </c>
      <c r="L1025" s="16" t="s">
        <v>12</v>
      </c>
      <c r="M1025" s="2" t="s">
        <v>257</v>
      </c>
      <c r="W1025" s="16" t="s">
        <v>60</v>
      </c>
      <c r="X1025" s="2" t="s">
        <v>66</v>
      </c>
      <c r="Y1025" s="7">
        <v>43286</v>
      </c>
      <c r="Z1025" s="16" t="s">
        <v>66</v>
      </c>
      <c r="AA1025" s="7">
        <v>43312</v>
      </c>
    </row>
    <row r="1026" spans="1:28" ht="15" customHeight="1">
      <c r="A1026" s="290"/>
      <c r="C1026" s="16">
        <v>74</v>
      </c>
      <c r="D1026" s="2">
        <v>20961</v>
      </c>
      <c r="E1026" s="2" t="s">
        <v>1251</v>
      </c>
      <c r="F1026" s="3" t="s">
        <v>1259</v>
      </c>
      <c r="G1026" s="2" t="s">
        <v>34</v>
      </c>
      <c r="H1026" s="2" t="s">
        <v>1266</v>
      </c>
      <c r="I1026" s="16" t="s">
        <v>66</v>
      </c>
      <c r="J1026" s="4">
        <v>43260</v>
      </c>
      <c r="K1026" s="16" t="s">
        <v>8</v>
      </c>
      <c r="L1026" s="16" t="s">
        <v>12</v>
      </c>
      <c r="M1026" s="2" t="s">
        <v>1273</v>
      </c>
      <c r="W1026" s="16" t="s">
        <v>63</v>
      </c>
      <c r="Y1026" s="7">
        <v>43286</v>
      </c>
      <c r="Z1026" s="16" t="s">
        <v>67</v>
      </c>
      <c r="AA1026" s="7" t="s">
        <v>3111</v>
      </c>
    </row>
    <row r="1027" spans="1:28" ht="15" customHeight="1">
      <c r="A1027" s="290"/>
      <c r="C1027" s="16">
        <v>74</v>
      </c>
      <c r="D1027" s="16">
        <v>20962</v>
      </c>
      <c r="E1027" s="16" t="s">
        <v>1252</v>
      </c>
      <c r="F1027" s="3" t="s">
        <v>1260</v>
      </c>
      <c r="G1027" s="16" t="s">
        <v>4</v>
      </c>
      <c r="H1027" s="16" t="s">
        <v>1267</v>
      </c>
      <c r="I1027" s="16" t="s">
        <v>66</v>
      </c>
      <c r="J1027" s="45">
        <v>43260</v>
      </c>
      <c r="K1027" s="16" t="s">
        <v>8</v>
      </c>
      <c r="L1027" s="16" t="s">
        <v>12</v>
      </c>
      <c r="M1027" s="16" t="s">
        <v>109</v>
      </c>
      <c r="N1027" s="16"/>
      <c r="W1027" s="16" t="s">
        <v>110</v>
      </c>
      <c r="X1027" s="16"/>
      <c r="Y1027" s="45">
        <v>43286</v>
      </c>
      <c r="Z1027" s="16" t="s">
        <v>67</v>
      </c>
      <c r="AA1027" s="45" t="s">
        <v>3111</v>
      </c>
      <c r="AB1027" s="16"/>
    </row>
    <row r="1028" spans="1:28" ht="15" customHeight="1">
      <c r="A1028" s="290"/>
      <c r="C1028" s="2">
        <v>74</v>
      </c>
      <c r="D1028" s="2">
        <v>20963</v>
      </c>
      <c r="E1028" s="2" t="s">
        <v>1253</v>
      </c>
      <c r="F1028" s="3" t="s">
        <v>1261</v>
      </c>
      <c r="G1028" s="16" t="s">
        <v>3663</v>
      </c>
      <c r="H1028" s="2" t="s">
        <v>1268</v>
      </c>
      <c r="I1028" s="2" t="s">
        <v>66</v>
      </c>
      <c r="J1028" s="4">
        <v>43260</v>
      </c>
      <c r="K1028" s="16" t="s">
        <v>8</v>
      </c>
      <c r="L1028" s="16" t="s">
        <v>12</v>
      </c>
      <c r="W1028" s="16" t="s">
        <v>63</v>
      </c>
      <c r="Y1028" s="7">
        <v>43286</v>
      </c>
      <c r="Z1028" s="16" t="s">
        <v>67</v>
      </c>
      <c r="AA1028" s="7" t="s">
        <v>3111</v>
      </c>
    </row>
    <row r="1029" spans="1:28" ht="15" customHeight="1">
      <c r="A1029" s="290"/>
      <c r="C1029" s="16">
        <v>74</v>
      </c>
      <c r="D1029" s="2">
        <v>20964</v>
      </c>
      <c r="E1029" s="2" t="s">
        <v>1254</v>
      </c>
      <c r="F1029" s="3" t="s">
        <v>1262</v>
      </c>
      <c r="G1029" s="2" t="s">
        <v>4</v>
      </c>
      <c r="H1029" s="2" t="s">
        <v>1269</v>
      </c>
      <c r="I1029" s="2" t="s">
        <v>66</v>
      </c>
      <c r="J1029" s="4">
        <v>43260</v>
      </c>
      <c r="K1029" s="16" t="s">
        <v>8</v>
      </c>
      <c r="L1029" s="16" t="s">
        <v>12</v>
      </c>
      <c r="W1029" s="16" t="s">
        <v>62</v>
      </c>
      <c r="Y1029" s="7">
        <v>43286</v>
      </c>
      <c r="Z1029" s="16" t="s">
        <v>67</v>
      </c>
      <c r="AA1029" s="7" t="s">
        <v>3111</v>
      </c>
    </row>
    <row r="1030" spans="1:28" ht="15" customHeight="1">
      <c r="A1030" s="290"/>
      <c r="C1030" s="16">
        <v>74</v>
      </c>
      <c r="D1030" s="2">
        <v>20965</v>
      </c>
      <c r="E1030" s="2" t="s">
        <v>1255</v>
      </c>
      <c r="F1030" s="3" t="s">
        <v>1263</v>
      </c>
      <c r="G1030" s="16" t="s">
        <v>3663</v>
      </c>
      <c r="H1030" s="2" t="s">
        <v>1270</v>
      </c>
      <c r="I1030" s="2" t="s">
        <v>66</v>
      </c>
      <c r="J1030" s="4">
        <v>43260</v>
      </c>
      <c r="K1030" s="16" t="s">
        <v>8</v>
      </c>
      <c r="L1030" s="16" t="s">
        <v>12</v>
      </c>
      <c r="M1030" s="2" t="s">
        <v>55</v>
      </c>
      <c r="W1030" s="16" t="s">
        <v>62</v>
      </c>
      <c r="Y1030" s="7">
        <v>43286</v>
      </c>
      <c r="Z1030" s="16" t="s">
        <v>67</v>
      </c>
      <c r="AA1030" s="7" t="s">
        <v>3111</v>
      </c>
    </row>
    <row r="1031" spans="1:28" ht="15" customHeight="1">
      <c r="A1031" s="290"/>
      <c r="C1031" s="16">
        <v>74</v>
      </c>
      <c r="D1031" s="2">
        <v>20966</v>
      </c>
      <c r="E1031" s="2" t="s">
        <v>1256</v>
      </c>
      <c r="F1031" s="3" t="s">
        <v>1264</v>
      </c>
      <c r="G1031" s="16" t="s">
        <v>4</v>
      </c>
      <c r="H1031" s="2" t="s">
        <v>1271</v>
      </c>
      <c r="I1031" s="2" t="s">
        <v>66</v>
      </c>
      <c r="J1031" s="4">
        <v>43260</v>
      </c>
      <c r="K1031" s="16" t="s">
        <v>8</v>
      </c>
      <c r="L1031" s="16" t="s">
        <v>12</v>
      </c>
      <c r="M1031" s="2" t="s">
        <v>16</v>
      </c>
      <c r="W1031" s="16" t="s">
        <v>61</v>
      </c>
      <c r="Y1031" s="7">
        <v>43286</v>
      </c>
      <c r="Z1031" s="16" t="s">
        <v>66</v>
      </c>
      <c r="AA1031" s="7">
        <v>43297</v>
      </c>
    </row>
    <row r="1032" spans="1:28" ht="15.75" customHeight="1" thickBot="1">
      <c r="A1032" s="291"/>
      <c r="C1032" s="28">
        <v>74</v>
      </c>
      <c r="D1032" s="28">
        <v>20967</v>
      </c>
      <c r="E1032" s="28" t="s">
        <v>1257</v>
      </c>
      <c r="F1032" s="29">
        <v>29104078800096</v>
      </c>
      <c r="G1032" s="28" t="s">
        <v>34</v>
      </c>
      <c r="H1032" s="28" t="s">
        <v>1272</v>
      </c>
      <c r="I1032" s="28" t="s">
        <v>66</v>
      </c>
      <c r="J1032" s="30">
        <v>43260</v>
      </c>
      <c r="K1032" s="28" t="s">
        <v>8</v>
      </c>
      <c r="L1032" s="28" t="s">
        <v>12</v>
      </c>
      <c r="M1032" s="28" t="s">
        <v>109</v>
      </c>
      <c r="N1032" s="28"/>
      <c r="O1032" s="226"/>
      <c r="P1032" s="28"/>
      <c r="Q1032" s="226"/>
      <c r="R1032" s="28"/>
      <c r="S1032" s="28"/>
      <c r="T1032" s="28"/>
      <c r="U1032" s="28"/>
      <c r="V1032" s="28"/>
      <c r="W1032" s="28" t="s">
        <v>61</v>
      </c>
      <c r="X1032" s="28"/>
      <c r="Y1032" s="30">
        <v>43286</v>
      </c>
      <c r="Z1032" s="28" t="s">
        <v>66</v>
      </c>
      <c r="AA1032" s="30">
        <v>43297</v>
      </c>
      <c r="AB1032" s="28"/>
    </row>
    <row r="1033" spans="1:28" ht="15.75" customHeight="1" thickTop="1">
      <c r="A1033" s="289" t="s">
        <v>3122</v>
      </c>
      <c r="C1033" s="16">
        <v>75</v>
      </c>
      <c r="D1033" s="2">
        <v>20980</v>
      </c>
      <c r="E1033" s="2" t="s">
        <v>1213</v>
      </c>
      <c r="F1033" s="3" t="s">
        <v>1214</v>
      </c>
      <c r="G1033" s="2" t="s">
        <v>83</v>
      </c>
      <c r="H1033" s="2" t="s">
        <v>1237</v>
      </c>
      <c r="I1033" s="2" t="s">
        <v>66</v>
      </c>
      <c r="J1033" s="4">
        <v>43269</v>
      </c>
      <c r="K1033" s="16" t="s">
        <v>8</v>
      </c>
      <c r="L1033" s="16" t="s">
        <v>12</v>
      </c>
      <c r="M1033" s="2" t="s">
        <v>100</v>
      </c>
      <c r="W1033" s="16" t="s">
        <v>63</v>
      </c>
      <c r="Y1033" s="7">
        <v>43298</v>
      </c>
      <c r="Z1033" s="16" t="s">
        <v>67</v>
      </c>
      <c r="AA1033" s="7" t="s">
        <v>3111</v>
      </c>
    </row>
    <row r="1034" spans="1:28" ht="15" customHeight="1">
      <c r="A1034" s="290"/>
      <c r="C1034" s="16">
        <v>75</v>
      </c>
      <c r="D1034" s="16">
        <v>20982</v>
      </c>
      <c r="E1034" s="16" t="s">
        <v>1215</v>
      </c>
      <c r="F1034" s="3" t="s">
        <v>1216</v>
      </c>
      <c r="G1034" s="16" t="s">
        <v>34</v>
      </c>
      <c r="H1034" s="16" t="s">
        <v>1238</v>
      </c>
      <c r="I1034" s="16" t="s">
        <v>66</v>
      </c>
      <c r="J1034" s="45">
        <v>43269</v>
      </c>
      <c r="K1034" s="16" t="s">
        <v>8</v>
      </c>
      <c r="L1034" s="16" t="s">
        <v>12</v>
      </c>
      <c r="M1034" s="16" t="s">
        <v>104</v>
      </c>
      <c r="N1034" s="16"/>
      <c r="W1034" s="16" t="s">
        <v>62</v>
      </c>
      <c r="X1034" s="16"/>
      <c r="Y1034" s="45">
        <v>43298</v>
      </c>
      <c r="Z1034" s="16" t="s">
        <v>67</v>
      </c>
      <c r="AA1034" s="45" t="s">
        <v>3111</v>
      </c>
      <c r="AB1034" s="16"/>
    </row>
    <row r="1035" spans="1:28" ht="15" customHeight="1">
      <c r="A1035" s="290"/>
      <c r="C1035" s="16">
        <v>75</v>
      </c>
      <c r="D1035" s="2">
        <v>20983</v>
      </c>
      <c r="E1035" s="2" t="s">
        <v>1217</v>
      </c>
      <c r="F1035" s="3" t="s">
        <v>1218</v>
      </c>
      <c r="G1035" s="16" t="s">
        <v>34</v>
      </c>
      <c r="H1035" s="2" t="s">
        <v>1239</v>
      </c>
      <c r="I1035" s="2" t="s">
        <v>66</v>
      </c>
      <c r="J1035" s="4">
        <v>43269</v>
      </c>
      <c r="K1035" s="16" t="s">
        <v>8</v>
      </c>
      <c r="L1035" s="16" t="s">
        <v>12</v>
      </c>
      <c r="M1035" s="2" t="s">
        <v>109</v>
      </c>
      <c r="W1035" s="16" t="s">
        <v>59</v>
      </c>
      <c r="X1035" s="2" t="s">
        <v>66</v>
      </c>
      <c r="Y1035" s="7">
        <v>43298</v>
      </c>
      <c r="Z1035" s="16" t="s">
        <v>67</v>
      </c>
      <c r="AA1035" s="7" t="s">
        <v>3111</v>
      </c>
    </row>
    <row r="1036" spans="1:28" ht="15" customHeight="1">
      <c r="A1036" s="290"/>
      <c r="C1036" s="16">
        <v>75</v>
      </c>
      <c r="D1036" s="2">
        <v>20984</v>
      </c>
      <c r="E1036" s="2" t="s">
        <v>1219</v>
      </c>
      <c r="F1036" s="3" t="s">
        <v>1220</v>
      </c>
      <c r="G1036" s="2" t="s">
        <v>34</v>
      </c>
      <c r="H1036" s="2" t="s">
        <v>1240</v>
      </c>
      <c r="I1036" s="2" t="s">
        <v>66</v>
      </c>
      <c r="J1036" s="4">
        <v>43269</v>
      </c>
      <c r="K1036" s="16" t="s">
        <v>8</v>
      </c>
      <c r="L1036" s="16" t="s">
        <v>12</v>
      </c>
      <c r="M1036" s="2" t="s">
        <v>109</v>
      </c>
      <c r="W1036" s="16" t="s">
        <v>59</v>
      </c>
      <c r="X1036" s="2" t="s">
        <v>66</v>
      </c>
      <c r="Y1036" s="7">
        <v>43298</v>
      </c>
      <c r="Z1036" s="16" t="s">
        <v>67</v>
      </c>
      <c r="AA1036" s="7" t="s">
        <v>3111</v>
      </c>
    </row>
    <row r="1037" spans="1:28" ht="15" customHeight="1">
      <c r="A1037" s="290"/>
      <c r="C1037" s="16">
        <v>75</v>
      </c>
      <c r="D1037" s="2">
        <v>20985</v>
      </c>
      <c r="E1037" s="2" t="s">
        <v>1221</v>
      </c>
      <c r="F1037" s="3" t="s">
        <v>1222</v>
      </c>
      <c r="G1037" s="2" t="s">
        <v>83</v>
      </c>
      <c r="H1037" s="2" t="s">
        <v>1241</v>
      </c>
      <c r="I1037" s="2" t="s">
        <v>66</v>
      </c>
      <c r="J1037" s="4">
        <v>43269</v>
      </c>
      <c r="K1037" s="16" t="s">
        <v>8</v>
      </c>
      <c r="L1037" s="16" t="s">
        <v>12</v>
      </c>
      <c r="M1037" s="2" t="s">
        <v>978</v>
      </c>
      <c r="W1037" s="16" t="s">
        <v>60</v>
      </c>
      <c r="Y1037" s="7">
        <v>43298</v>
      </c>
      <c r="Z1037" s="16" t="s">
        <v>66</v>
      </c>
      <c r="AA1037" s="7">
        <v>43304</v>
      </c>
    </row>
    <row r="1038" spans="1:28" ht="15" customHeight="1">
      <c r="A1038" s="290"/>
      <c r="C1038" s="16">
        <v>75</v>
      </c>
      <c r="D1038" s="2">
        <v>20986</v>
      </c>
      <c r="E1038" s="2" t="s">
        <v>1223</v>
      </c>
      <c r="F1038" s="3" t="s">
        <v>1224</v>
      </c>
      <c r="G1038" s="16" t="s">
        <v>83</v>
      </c>
      <c r="H1038" s="2" t="s">
        <v>1242</v>
      </c>
      <c r="I1038" s="2" t="s">
        <v>66</v>
      </c>
      <c r="J1038" s="4">
        <v>43269</v>
      </c>
      <c r="K1038" s="16" t="s">
        <v>8</v>
      </c>
      <c r="L1038" s="16" t="s">
        <v>12</v>
      </c>
      <c r="M1038" s="2" t="s">
        <v>57</v>
      </c>
      <c r="W1038" s="16" t="s">
        <v>64</v>
      </c>
      <c r="Y1038" s="7">
        <v>43298</v>
      </c>
      <c r="Z1038" s="16" t="s">
        <v>67</v>
      </c>
      <c r="AA1038" s="7" t="s">
        <v>3111</v>
      </c>
    </row>
    <row r="1039" spans="1:28" ht="15" customHeight="1">
      <c r="A1039" s="290"/>
      <c r="C1039" s="16">
        <v>75</v>
      </c>
      <c r="D1039" s="2">
        <v>20987</v>
      </c>
      <c r="E1039" s="2" t="s">
        <v>1225</v>
      </c>
      <c r="F1039" s="3" t="s">
        <v>1226</v>
      </c>
      <c r="G1039" s="2" t="s">
        <v>83</v>
      </c>
      <c r="H1039" s="2" t="s">
        <v>1243</v>
      </c>
      <c r="I1039" s="2" t="s">
        <v>66</v>
      </c>
      <c r="J1039" s="4">
        <v>43269</v>
      </c>
      <c r="K1039" s="16" t="s">
        <v>8</v>
      </c>
      <c r="L1039" s="16" t="s">
        <v>12</v>
      </c>
      <c r="M1039" s="2" t="s">
        <v>978</v>
      </c>
      <c r="W1039" s="16" t="s">
        <v>61</v>
      </c>
      <c r="Y1039" s="7">
        <v>43298</v>
      </c>
      <c r="Z1039" s="16" t="s">
        <v>66</v>
      </c>
      <c r="AA1039" s="7">
        <v>43297</v>
      </c>
    </row>
    <row r="1040" spans="1:28" ht="15" customHeight="1">
      <c r="A1040" s="290"/>
      <c r="C1040" s="16">
        <v>75</v>
      </c>
      <c r="D1040" s="2">
        <v>20988</v>
      </c>
      <c r="E1040" s="2" t="s">
        <v>1227</v>
      </c>
      <c r="F1040" s="3" t="s">
        <v>1228</v>
      </c>
      <c r="G1040" s="2" t="s">
        <v>83</v>
      </c>
      <c r="H1040" s="2" t="s">
        <v>1244</v>
      </c>
      <c r="I1040" s="2" t="s">
        <v>66</v>
      </c>
      <c r="J1040" s="4">
        <v>43269</v>
      </c>
      <c r="K1040" s="16" t="s">
        <v>8</v>
      </c>
      <c r="L1040" s="16" t="s">
        <v>12</v>
      </c>
      <c r="M1040" s="2" t="s">
        <v>1249</v>
      </c>
      <c r="W1040" s="16" t="s">
        <v>61</v>
      </c>
      <c r="Y1040" s="7">
        <v>43298</v>
      </c>
      <c r="Z1040" s="16" t="s">
        <v>66</v>
      </c>
      <c r="AA1040" s="7">
        <v>43297</v>
      </c>
    </row>
    <row r="1041" spans="1:28" ht="15" customHeight="1">
      <c r="A1041" s="290"/>
      <c r="C1041" s="16">
        <v>75</v>
      </c>
      <c r="D1041" s="2">
        <v>20990</v>
      </c>
      <c r="E1041" s="2" t="s">
        <v>1229</v>
      </c>
      <c r="F1041" s="3" t="s">
        <v>1230</v>
      </c>
      <c r="G1041" s="2" t="s">
        <v>34</v>
      </c>
      <c r="H1041" s="2" t="s">
        <v>1245</v>
      </c>
      <c r="I1041" s="2" t="s">
        <v>66</v>
      </c>
      <c r="J1041" s="4">
        <v>43269</v>
      </c>
      <c r="K1041" s="16" t="s">
        <v>8</v>
      </c>
      <c r="L1041" s="16" t="s">
        <v>12</v>
      </c>
      <c r="M1041" s="2" t="s">
        <v>15</v>
      </c>
      <c r="W1041" s="16" t="s">
        <v>61</v>
      </c>
      <c r="X1041" s="2" t="s">
        <v>66</v>
      </c>
      <c r="Y1041" s="7">
        <v>43298</v>
      </c>
      <c r="Z1041" s="16" t="s">
        <v>66</v>
      </c>
      <c r="AA1041" s="7">
        <v>43352</v>
      </c>
    </row>
    <row r="1042" spans="1:28" ht="15" customHeight="1">
      <c r="A1042" s="290"/>
      <c r="C1042" s="16">
        <v>75</v>
      </c>
      <c r="D1042" s="2">
        <v>20991</v>
      </c>
      <c r="E1042" s="2" t="s">
        <v>1231</v>
      </c>
      <c r="F1042" s="3" t="s">
        <v>1232</v>
      </c>
      <c r="G1042" s="2" t="s">
        <v>83</v>
      </c>
      <c r="H1042" s="2" t="s">
        <v>1246</v>
      </c>
      <c r="I1042" s="2" t="s">
        <v>66</v>
      </c>
      <c r="J1042" s="4">
        <v>43269</v>
      </c>
      <c r="K1042" s="16" t="s">
        <v>8</v>
      </c>
      <c r="L1042" s="16" t="s">
        <v>12</v>
      </c>
      <c r="M1042" s="2" t="s">
        <v>109</v>
      </c>
      <c r="W1042" s="16" t="s">
        <v>60</v>
      </c>
      <c r="Y1042" s="7">
        <v>43298</v>
      </c>
      <c r="Z1042" s="16" t="s">
        <v>66</v>
      </c>
      <c r="AA1042" s="7">
        <v>43304</v>
      </c>
    </row>
    <row r="1043" spans="1:28" ht="15" customHeight="1">
      <c r="A1043" s="290"/>
      <c r="C1043" s="16">
        <v>75</v>
      </c>
      <c r="D1043" s="16">
        <v>20992</v>
      </c>
      <c r="E1043" s="16" t="s">
        <v>1233</v>
      </c>
      <c r="F1043" s="3" t="s">
        <v>1234</v>
      </c>
      <c r="G1043" s="16" t="s">
        <v>83</v>
      </c>
      <c r="H1043" s="16" t="s">
        <v>1247</v>
      </c>
      <c r="I1043" s="16" t="s">
        <v>66</v>
      </c>
      <c r="J1043" s="45">
        <v>43269</v>
      </c>
      <c r="K1043" s="16" t="s">
        <v>8</v>
      </c>
      <c r="L1043" s="16" t="s">
        <v>12</v>
      </c>
      <c r="M1043" s="16" t="s">
        <v>16</v>
      </c>
      <c r="N1043" s="16"/>
      <c r="W1043" s="16" t="s">
        <v>60</v>
      </c>
      <c r="X1043" s="16"/>
      <c r="Y1043" s="45">
        <v>43298</v>
      </c>
      <c r="Z1043" s="16" t="s">
        <v>66</v>
      </c>
      <c r="AA1043" s="45">
        <v>43304</v>
      </c>
      <c r="AB1043" s="16"/>
    </row>
    <row r="1044" spans="1:28" ht="15.75" customHeight="1" thickBot="1">
      <c r="A1044" s="291"/>
      <c r="C1044" s="28">
        <v>75</v>
      </c>
      <c r="D1044" s="28">
        <v>20993</v>
      </c>
      <c r="E1044" s="28" t="s">
        <v>1235</v>
      </c>
      <c r="F1044" s="29" t="s">
        <v>1236</v>
      </c>
      <c r="G1044" s="28" t="s">
        <v>34</v>
      </c>
      <c r="H1044" s="28" t="s">
        <v>1248</v>
      </c>
      <c r="I1044" s="28" t="s">
        <v>66</v>
      </c>
      <c r="J1044" s="30">
        <v>43269</v>
      </c>
      <c r="K1044" s="28" t="s">
        <v>8</v>
      </c>
      <c r="L1044" s="28" t="s">
        <v>12</v>
      </c>
      <c r="M1044" s="28" t="s">
        <v>57</v>
      </c>
      <c r="N1044" s="28"/>
      <c r="O1044" s="226"/>
      <c r="P1044" s="28"/>
      <c r="Q1044" s="226"/>
      <c r="R1044" s="28"/>
      <c r="S1044" s="28"/>
      <c r="T1044" s="28"/>
      <c r="U1044" s="28"/>
      <c r="V1044" s="28"/>
      <c r="W1044" s="28" t="s">
        <v>60</v>
      </c>
      <c r="X1044" s="28"/>
      <c r="Y1044" s="30">
        <v>43298</v>
      </c>
      <c r="Z1044" s="28" t="s">
        <v>66</v>
      </c>
      <c r="AA1044" s="30">
        <v>43304</v>
      </c>
      <c r="AB1044" s="28" t="s">
        <v>3177</v>
      </c>
    </row>
    <row r="1045" spans="1:28" ht="15.75" customHeight="1" thickTop="1">
      <c r="A1045" s="289" t="s">
        <v>3120</v>
      </c>
      <c r="C1045" s="16">
        <v>76</v>
      </c>
      <c r="D1045" s="16">
        <v>20994</v>
      </c>
      <c r="E1045" s="16" t="s">
        <v>1168</v>
      </c>
      <c r="F1045" s="3" t="s">
        <v>1169</v>
      </c>
      <c r="G1045" s="16" t="s">
        <v>34</v>
      </c>
      <c r="H1045" s="16" t="s">
        <v>1198</v>
      </c>
      <c r="I1045" s="16" t="s">
        <v>66</v>
      </c>
      <c r="J1045" s="45">
        <v>43269</v>
      </c>
      <c r="K1045" s="16" t="s">
        <v>8</v>
      </c>
      <c r="L1045" s="16" t="s">
        <v>12</v>
      </c>
      <c r="M1045" s="16"/>
      <c r="N1045" s="16"/>
      <c r="W1045" s="16" t="s">
        <v>59</v>
      </c>
      <c r="X1045" s="16" t="s">
        <v>66</v>
      </c>
      <c r="Y1045" s="45">
        <v>43298</v>
      </c>
      <c r="Z1045" s="16" t="s">
        <v>67</v>
      </c>
      <c r="AA1045" s="45" t="s">
        <v>3111</v>
      </c>
      <c r="AB1045" s="16"/>
    </row>
    <row r="1046" spans="1:28" ht="15" customHeight="1">
      <c r="A1046" s="290"/>
      <c r="C1046" s="16">
        <v>76</v>
      </c>
      <c r="D1046" s="2">
        <v>20995</v>
      </c>
      <c r="E1046" s="2" t="s">
        <v>1170</v>
      </c>
      <c r="F1046" s="3" t="s">
        <v>1171</v>
      </c>
      <c r="G1046" s="16" t="s">
        <v>34</v>
      </c>
      <c r="H1046" s="2" t="s">
        <v>1199</v>
      </c>
      <c r="I1046" s="2" t="s">
        <v>66</v>
      </c>
      <c r="J1046" s="4">
        <v>43269</v>
      </c>
      <c r="K1046" s="16" t="s">
        <v>8</v>
      </c>
      <c r="L1046" s="16" t="s">
        <v>12</v>
      </c>
      <c r="W1046" s="16" t="s">
        <v>111</v>
      </c>
      <c r="Y1046" s="7">
        <v>43298</v>
      </c>
      <c r="Z1046" s="16" t="s">
        <v>67</v>
      </c>
      <c r="AA1046" s="7" t="s">
        <v>3111</v>
      </c>
    </row>
    <row r="1047" spans="1:28" ht="15" customHeight="1">
      <c r="A1047" s="290"/>
      <c r="C1047" s="16">
        <v>76</v>
      </c>
      <c r="D1047" s="2">
        <v>20996</v>
      </c>
      <c r="E1047" s="2" t="s">
        <v>1172</v>
      </c>
      <c r="F1047" s="3" t="s">
        <v>1173</v>
      </c>
      <c r="G1047" s="16" t="s">
        <v>184</v>
      </c>
      <c r="H1047" s="2" t="s">
        <v>1200</v>
      </c>
      <c r="I1047" s="2" t="s">
        <v>66</v>
      </c>
      <c r="J1047" s="4">
        <v>43269</v>
      </c>
      <c r="K1047" s="16" t="s">
        <v>8</v>
      </c>
      <c r="L1047" s="16" t="s">
        <v>12</v>
      </c>
      <c r="W1047" s="16" t="s">
        <v>59</v>
      </c>
      <c r="X1047" s="2" t="s">
        <v>66</v>
      </c>
      <c r="Y1047" s="7">
        <v>43298</v>
      </c>
      <c r="Z1047" s="16" t="s">
        <v>67</v>
      </c>
      <c r="AA1047" s="7" t="s">
        <v>3111</v>
      </c>
      <c r="AB1047" s="2" t="s">
        <v>5199</v>
      </c>
    </row>
    <row r="1048" spans="1:28" ht="15" customHeight="1">
      <c r="A1048" s="290"/>
      <c r="C1048" s="16">
        <v>76</v>
      </c>
      <c r="D1048" s="2">
        <v>20997</v>
      </c>
      <c r="E1048" s="2" t="s">
        <v>1174</v>
      </c>
      <c r="F1048" s="3" t="s">
        <v>1175</v>
      </c>
      <c r="G1048" s="16" t="s">
        <v>34</v>
      </c>
      <c r="H1048" s="2" t="s">
        <v>1201</v>
      </c>
      <c r="I1048" s="2" t="s">
        <v>66</v>
      </c>
      <c r="J1048" s="4">
        <v>43269</v>
      </c>
      <c r="K1048" s="16" t="s">
        <v>8</v>
      </c>
      <c r="L1048" s="16" t="s">
        <v>12</v>
      </c>
      <c r="W1048" s="16" t="s">
        <v>64</v>
      </c>
      <c r="Y1048" s="7">
        <v>43298</v>
      </c>
      <c r="Z1048" s="16" t="s">
        <v>67</v>
      </c>
      <c r="AA1048" s="7" t="s">
        <v>3111</v>
      </c>
    </row>
    <row r="1049" spans="1:28" ht="15" customHeight="1">
      <c r="A1049" s="290"/>
      <c r="C1049" s="16">
        <v>76</v>
      </c>
      <c r="D1049" s="2">
        <v>20998</v>
      </c>
      <c r="E1049" s="2" t="s">
        <v>1176</v>
      </c>
      <c r="F1049" s="3" t="s">
        <v>1177</v>
      </c>
      <c r="G1049" s="16" t="s">
        <v>34</v>
      </c>
      <c r="H1049" s="2" t="s">
        <v>1202</v>
      </c>
      <c r="I1049" s="2" t="s">
        <v>66</v>
      </c>
      <c r="J1049" s="4">
        <v>43269</v>
      </c>
      <c r="K1049" s="16" t="s">
        <v>8</v>
      </c>
      <c r="L1049" s="16" t="s">
        <v>12</v>
      </c>
      <c r="W1049" s="16" t="s">
        <v>111</v>
      </c>
      <c r="Y1049" s="7">
        <v>43298</v>
      </c>
      <c r="Z1049" s="16" t="s">
        <v>66</v>
      </c>
      <c r="AA1049" s="7">
        <v>43325</v>
      </c>
    </row>
    <row r="1050" spans="1:28" ht="15" customHeight="1">
      <c r="A1050" s="290"/>
      <c r="C1050" s="16">
        <v>76</v>
      </c>
      <c r="D1050" s="2">
        <v>20999</v>
      </c>
      <c r="E1050" s="2" t="s">
        <v>1178</v>
      </c>
      <c r="F1050" s="3" t="s">
        <v>1179</v>
      </c>
      <c r="G1050" s="16" t="s">
        <v>34</v>
      </c>
      <c r="H1050" s="2" t="s">
        <v>1203</v>
      </c>
      <c r="I1050" s="2" t="s">
        <v>66</v>
      </c>
      <c r="J1050" s="4">
        <v>43269</v>
      </c>
      <c r="K1050" s="16" t="s">
        <v>8</v>
      </c>
      <c r="L1050" s="16" t="s">
        <v>12</v>
      </c>
      <c r="W1050" s="16" t="s">
        <v>59</v>
      </c>
      <c r="X1050" s="2" t="s">
        <v>66</v>
      </c>
      <c r="Y1050" s="7">
        <v>43298</v>
      </c>
      <c r="Z1050" s="16" t="s">
        <v>67</v>
      </c>
      <c r="AA1050" s="7" t="s">
        <v>3111</v>
      </c>
    </row>
    <row r="1051" spans="1:28" ht="15" customHeight="1">
      <c r="A1051" s="290"/>
      <c r="C1051" s="16">
        <v>76</v>
      </c>
      <c r="D1051" s="2">
        <v>21000</v>
      </c>
      <c r="E1051" s="2" t="s">
        <v>1180</v>
      </c>
      <c r="F1051" s="3" t="s">
        <v>1181</v>
      </c>
      <c r="G1051" s="2" t="s">
        <v>34</v>
      </c>
      <c r="H1051" s="2" t="s">
        <v>1204</v>
      </c>
      <c r="I1051" s="2" t="s">
        <v>66</v>
      </c>
      <c r="J1051" s="4">
        <v>43269</v>
      </c>
      <c r="K1051" s="16" t="s">
        <v>8</v>
      </c>
      <c r="L1051" s="16" t="s">
        <v>12</v>
      </c>
      <c r="W1051" s="16" t="s">
        <v>59</v>
      </c>
      <c r="X1051" s="2" t="s">
        <v>66</v>
      </c>
      <c r="Y1051" s="7">
        <v>43298</v>
      </c>
      <c r="Z1051" s="16" t="s">
        <v>67</v>
      </c>
      <c r="AA1051" s="7" t="s">
        <v>3111</v>
      </c>
    </row>
    <row r="1052" spans="1:28" ht="15" customHeight="1">
      <c r="A1052" s="290"/>
      <c r="C1052" s="16">
        <v>76</v>
      </c>
      <c r="D1052" s="2">
        <v>21001</v>
      </c>
      <c r="E1052" s="2" t="s">
        <v>1182</v>
      </c>
      <c r="F1052" s="3" t="s">
        <v>1183</v>
      </c>
      <c r="G1052" s="16" t="s">
        <v>184</v>
      </c>
      <c r="H1052" s="2" t="s">
        <v>1205</v>
      </c>
      <c r="I1052" s="2" t="s">
        <v>66</v>
      </c>
      <c r="J1052" s="4">
        <v>43269</v>
      </c>
      <c r="K1052" s="16" t="s">
        <v>8</v>
      </c>
      <c r="L1052" s="16" t="s">
        <v>12</v>
      </c>
      <c r="W1052" s="16" t="s">
        <v>111</v>
      </c>
      <c r="Y1052" s="7">
        <v>43298</v>
      </c>
      <c r="Z1052" s="16" t="s">
        <v>66</v>
      </c>
      <c r="AA1052" s="7">
        <v>43325</v>
      </c>
    </row>
    <row r="1053" spans="1:28" ht="15" customHeight="1">
      <c r="A1053" s="290"/>
      <c r="C1053" s="16">
        <v>76</v>
      </c>
      <c r="D1053" s="2">
        <v>21002</v>
      </c>
      <c r="E1053" s="2" t="s">
        <v>1184</v>
      </c>
      <c r="F1053" s="3" t="s">
        <v>1185</v>
      </c>
      <c r="G1053" s="16" t="s">
        <v>184</v>
      </c>
      <c r="H1053" s="2" t="s">
        <v>1206</v>
      </c>
      <c r="I1053" s="2" t="s">
        <v>66</v>
      </c>
      <c r="J1053" s="4">
        <v>43269</v>
      </c>
      <c r="K1053" s="16" t="s">
        <v>8</v>
      </c>
      <c r="L1053" s="16" t="s">
        <v>12</v>
      </c>
      <c r="W1053" s="16" t="s">
        <v>110</v>
      </c>
      <c r="Y1053" s="7">
        <v>43298</v>
      </c>
      <c r="Z1053" s="16" t="s">
        <v>66</v>
      </c>
      <c r="AA1053" s="7">
        <v>43304</v>
      </c>
      <c r="AB1053" s="2" t="s">
        <v>5263</v>
      </c>
    </row>
    <row r="1054" spans="1:28" ht="15" customHeight="1">
      <c r="A1054" s="290"/>
      <c r="C1054" s="16">
        <v>76</v>
      </c>
      <c r="D1054" s="2">
        <v>21003</v>
      </c>
      <c r="E1054" s="2" t="s">
        <v>1186</v>
      </c>
      <c r="F1054" s="3" t="s">
        <v>1187</v>
      </c>
      <c r="G1054" s="16" t="s">
        <v>34</v>
      </c>
      <c r="H1054" s="2" t="s">
        <v>1207</v>
      </c>
      <c r="I1054" s="2" t="s">
        <v>66</v>
      </c>
      <c r="J1054" s="4">
        <v>43269</v>
      </c>
      <c r="K1054" s="16" t="s">
        <v>8</v>
      </c>
      <c r="L1054" s="16" t="s">
        <v>12</v>
      </c>
      <c r="W1054" s="16" t="s">
        <v>64</v>
      </c>
      <c r="Y1054" s="7">
        <v>43298</v>
      </c>
      <c r="Z1054" s="16" t="s">
        <v>67</v>
      </c>
      <c r="AA1054" s="7" t="s">
        <v>3111</v>
      </c>
      <c r="AB1054" s="2" t="s">
        <v>6290</v>
      </c>
    </row>
    <row r="1055" spans="1:28" ht="15" customHeight="1">
      <c r="A1055" s="290"/>
      <c r="C1055" s="16">
        <v>76</v>
      </c>
      <c r="D1055" s="2">
        <v>21004</v>
      </c>
      <c r="E1055" s="2" t="s">
        <v>1188</v>
      </c>
      <c r="F1055" s="3" t="s">
        <v>1189</v>
      </c>
      <c r="G1055" s="16" t="s">
        <v>34</v>
      </c>
      <c r="H1055" s="2" t="s">
        <v>1208</v>
      </c>
      <c r="I1055" s="2" t="s">
        <v>66</v>
      </c>
      <c r="J1055" s="4">
        <v>43269</v>
      </c>
      <c r="K1055" s="16" t="s">
        <v>8</v>
      </c>
      <c r="L1055" s="16" t="s">
        <v>12</v>
      </c>
      <c r="W1055" s="16" t="s">
        <v>64</v>
      </c>
      <c r="Y1055" s="7">
        <v>43298</v>
      </c>
      <c r="Z1055" s="16" t="s">
        <v>67</v>
      </c>
      <c r="AA1055" s="7" t="s">
        <v>3111</v>
      </c>
    </row>
    <row r="1056" spans="1:28" ht="15" customHeight="1">
      <c r="A1056" s="290"/>
      <c r="C1056" s="16">
        <v>76</v>
      </c>
      <c r="D1056" s="16">
        <v>21005</v>
      </c>
      <c r="E1056" s="16" t="s">
        <v>1190</v>
      </c>
      <c r="F1056" s="3" t="s">
        <v>1191</v>
      </c>
      <c r="G1056" s="16" t="s">
        <v>34</v>
      </c>
      <c r="H1056" s="16" t="s">
        <v>1209</v>
      </c>
      <c r="I1056" s="16" t="s">
        <v>66</v>
      </c>
      <c r="J1056" s="45">
        <v>43269</v>
      </c>
      <c r="K1056" s="16" t="s">
        <v>8</v>
      </c>
      <c r="L1056" s="16" t="s">
        <v>12</v>
      </c>
      <c r="M1056" s="16"/>
      <c r="N1056" s="16"/>
      <c r="W1056" s="16" t="s">
        <v>110</v>
      </c>
      <c r="X1056" s="16"/>
      <c r="Y1056" s="45">
        <v>43298</v>
      </c>
      <c r="Z1056" s="16" t="s">
        <v>66</v>
      </c>
      <c r="AA1056" s="45">
        <v>43304</v>
      </c>
      <c r="AB1056" s="16"/>
    </row>
    <row r="1057" spans="1:28" ht="15" customHeight="1">
      <c r="A1057" s="290"/>
      <c r="C1057" s="16">
        <v>76</v>
      </c>
      <c r="D1057" s="2">
        <v>21006</v>
      </c>
      <c r="E1057" s="2" t="s">
        <v>1192</v>
      </c>
      <c r="F1057" s="3" t="s">
        <v>1193</v>
      </c>
      <c r="G1057" s="16" t="s">
        <v>34</v>
      </c>
      <c r="H1057" s="2" t="s">
        <v>1210</v>
      </c>
      <c r="I1057" s="2" t="s">
        <v>66</v>
      </c>
      <c r="J1057" s="4">
        <v>43269</v>
      </c>
      <c r="K1057" s="16" t="s">
        <v>8</v>
      </c>
      <c r="L1057" s="16" t="s">
        <v>12</v>
      </c>
      <c r="W1057" s="16" t="s">
        <v>59</v>
      </c>
      <c r="X1057" s="2" t="s">
        <v>66</v>
      </c>
      <c r="Y1057" s="7">
        <v>43298</v>
      </c>
      <c r="Z1057" s="16" t="s">
        <v>67</v>
      </c>
      <c r="AA1057" s="7" t="s">
        <v>3111</v>
      </c>
    </row>
    <row r="1058" spans="1:28" ht="15" customHeight="1">
      <c r="A1058" s="290"/>
      <c r="C1058" s="16">
        <v>76</v>
      </c>
      <c r="D1058" s="16">
        <v>20981</v>
      </c>
      <c r="E1058" s="16" t="s">
        <v>1194</v>
      </c>
      <c r="F1058" s="3" t="s">
        <v>1195</v>
      </c>
      <c r="G1058" s="16" t="s">
        <v>83</v>
      </c>
      <c r="H1058" s="16" t="s">
        <v>1211</v>
      </c>
      <c r="I1058" s="16" t="s">
        <v>66</v>
      </c>
      <c r="J1058" s="45">
        <v>43269</v>
      </c>
      <c r="K1058" s="16" t="s">
        <v>8</v>
      </c>
      <c r="L1058" s="16" t="s">
        <v>12</v>
      </c>
      <c r="M1058" s="16"/>
      <c r="N1058" s="16"/>
      <c r="W1058" s="16" t="s">
        <v>110</v>
      </c>
      <c r="X1058" s="16"/>
      <c r="Y1058" s="45">
        <v>43298</v>
      </c>
      <c r="Z1058" s="16" t="s">
        <v>66</v>
      </c>
      <c r="AA1058" s="45">
        <v>43304</v>
      </c>
      <c r="AB1058" s="16"/>
    </row>
    <row r="1059" spans="1:28" ht="15.75" customHeight="1" thickBot="1">
      <c r="A1059" s="291"/>
      <c r="C1059" s="28">
        <v>76</v>
      </c>
      <c r="D1059" s="28">
        <v>20989</v>
      </c>
      <c r="E1059" s="28" t="s">
        <v>1196</v>
      </c>
      <c r="F1059" s="29" t="s">
        <v>1197</v>
      </c>
      <c r="G1059" s="28" t="s">
        <v>34</v>
      </c>
      <c r="H1059" s="28" t="s">
        <v>1212</v>
      </c>
      <c r="I1059" s="28" t="s">
        <v>66</v>
      </c>
      <c r="J1059" s="30">
        <v>43269</v>
      </c>
      <c r="K1059" s="28" t="s">
        <v>8</v>
      </c>
      <c r="L1059" s="28" t="s">
        <v>12</v>
      </c>
      <c r="M1059" s="28"/>
      <c r="N1059" s="28"/>
      <c r="O1059" s="226"/>
      <c r="P1059" s="28"/>
      <c r="Q1059" s="226"/>
      <c r="R1059" s="28"/>
      <c r="S1059" s="28"/>
      <c r="T1059" s="28"/>
      <c r="U1059" s="28"/>
      <c r="V1059" s="28"/>
      <c r="W1059" s="28" t="s">
        <v>110</v>
      </c>
      <c r="X1059" s="28"/>
      <c r="Y1059" s="30">
        <v>43298</v>
      </c>
      <c r="Z1059" s="28" t="s">
        <v>67</v>
      </c>
      <c r="AA1059" s="30"/>
      <c r="AB1059" s="28" t="s">
        <v>3666</v>
      </c>
    </row>
    <row r="1060" spans="1:28" ht="15.75" customHeight="1" thickTop="1">
      <c r="A1060" s="289" t="s">
        <v>3127</v>
      </c>
      <c r="C1060" s="16">
        <v>77</v>
      </c>
      <c r="D1060" s="2">
        <v>21007</v>
      </c>
      <c r="E1060" s="2" t="s">
        <v>1125</v>
      </c>
      <c r="F1060" s="3" t="s">
        <v>1126</v>
      </c>
      <c r="G1060" s="16" t="s">
        <v>34</v>
      </c>
      <c r="H1060" s="2" t="s">
        <v>1153</v>
      </c>
      <c r="I1060" s="2" t="s">
        <v>66</v>
      </c>
      <c r="J1060" s="4">
        <v>43277</v>
      </c>
      <c r="K1060" s="16" t="s">
        <v>8</v>
      </c>
      <c r="L1060" s="16" t="s">
        <v>12</v>
      </c>
      <c r="M1060" s="2" t="s">
        <v>57</v>
      </c>
      <c r="W1060" s="16" t="s">
        <v>60</v>
      </c>
      <c r="Y1060" s="7">
        <v>43306</v>
      </c>
      <c r="Z1060" s="16" t="s">
        <v>66</v>
      </c>
      <c r="AA1060" s="7">
        <v>43312</v>
      </c>
    </row>
    <row r="1061" spans="1:28" ht="15" customHeight="1">
      <c r="A1061" s="290"/>
      <c r="C1061" s="16">
        <v>77</v>
      </c>
      <c r="D1061" s="2">
        <v>21008</v>
      </c>
      <c r="E1061" s="2" t="s">
        <v>1127</v>
      </c>
      <c r="F1061" s="3" t="s">
        <v>1128</v>
      </c>
      <c r="G1061" s="16" t="s">
        <v>34</v>
      </c>
      <c r="H1061" s="2" t="s">
        <v>1154</v>
      </c>
      <c r="I1061" s="2" t="s">
        <v>66</v>
      </c>
      <c r="J1061" s="4">
        <v>43277</v>
      </c>
      <c r="K1061" s="16" t="s">
        <v>8</v>
      </c>
      <c r="L1061" s="16" t="s">
        <v>12</v>
      </c>
      <c r="M1061" s="2" t="s">
        <v>52</v>
      </c>
      <c r="W1061" s="16" t="s">
        <v>60</v>
      </c>
      <c r="Y1061" s="7">
        <v>43306</v>
      </c>
      <c r="Z1061" s="16" t="s">
        <v>67</v>
      </c>
      <c r="AA1061" s="7" t="s">
        <v>3111</v>
      </c>
      <c r="AB1061" s="2" t="s">
        <v>3669</v>
      </c>
    </row>
    <row r="1062" spans="1:28" ht="15" customHeight="1">
      <c r="A1062" s="290"/>
      <c r="C1062" s="16">
        <v>77</v>
      </c>
      <c r="D1062" s="2">
        <v>21009</v>
      </c>
      <c r="E1062" s="2" t="s">
        <v>1129</v>
      </c>
      <c r="F1062" s="3" t="s">
        <v>1130</v>
      </c>
      <c r="G1062" s="16" t="s">
        <v>83</v>
      </c>
      <c r="H1062" s="2" t="s">
        <v>1155</v>
      </c>
      <c r="I1062" s="2" t="s">
        <v>66</v>
      </c>
      <c r="J1062" s="4">
        <v>43277</v>
      </c>
      <c r="K1062" s="16" t="s">
        <v>8</v>
      </c>
      <c r="L1062" s="16" t="s">
        <v>12</v>
      </c>
      <c r="M1062" s="2" t="s">
        <v>57</v>
      </c>
      <c r="W1062" s="16" t="s">
        <v>59</v>
      </c>
      <c r="Y1062" s="7">
        <v>43306</v>
      </c>
      <c r="Z1062" s="16" t="s">
        <v>67</v>
      </c>
      <c r="AA1062" s="7" t="s">
        <v>3111</v>
      </c>
    </row>
    <row r="1063" spans="1:28" ht="15" customHeight="1">
      <c r="A1063" s="290"/>
      <c r="C1063" s="16">
        <v>77</v>
      </c>
      <c r="D1063" s="2">
        <v>21010</v>
      </c>
      <c r="E1063" s="2" t="s">
        <v>1131</v>
      </c>
      <c r="F1063" s="3" t="s">
        <v>1132</v>
      </c>
      <c r="G1063" s="16" t="s">
        <v>34</v>
      </c>
      <c r="H1063" s="2" t="s">
        <v>1156</v>
      </c>
      <c r="I1063" s="2" t="s">
        <v>66</v>
      </c>
      <c r="J1063" s="4">
        <v>43277</v>
      </c>
      <c r="K1063" s="16" t="s">
        <v>8</v>
      </c>
      <c r="L1063" s="16" t="s">
        <v>12</v>
      </c>
      <c r="M1063" s="2" t="s">
        <v>109</v>
      </c>
      <c r="W1063" s="16" t="s">
        <v>60</v>
      </c>
      <c r="Y1063" s="7">
        <v>43306</v>
      </c>
      <c r="Z1063" s="16" t="s">
        <v>66</v>
      </c>
      <c r="AA1063" s="7">
        <v>43312</v>
      </c>
    </row>
    <row r="1064" spans="1:28" ht="15" customHeight="1">
      <c r="A1064" s="290"/>
      <c r="C1064" s="16">
        <v>77</v>
      </c>
      <c r="D1064" s="2">
        <v>21011</v>
      </c>
      <c r="E1064" s="2" t="s">
        <v>1133</v>
      </c>
      <c r="F1064" s="3" t="s">
        <v>1134</v>
      </c>
      <c r="G1064" s="16" t="s">
        <v>34</v>
      </c>
      <c r="H1064" s="2" t="s">
        <v>1157</v>
      </c>
      <c r="I1064" s="2" t="s">
        <v>66</v>
      </c>
      <c r="J1064" s="4">
        <v>43277</v>
      </c>
      <c r="K1064" s="16" t="s">
        <v>8</v>
      </c>
      <c r="L1064" s="16" t="s">
        <v>12</v>
      </c>
      <c r="M1064" s="2" t="s">
        <v>1166</v>
      </c>
      <c r="W1064" s="16" t="s">
        <v>64</v>
      </c>
      <c r="Y1064" s="7">
        <v>43306</v>
      </c>
      <c r="Z1064" s="16" t="s">
        <v>67</v>
      </c>
      <c r="AA1064" s="7" t="s">
        <v>3111</v>
      </c>
    </row>
    <row r="1065" spans="1:28" ht="15" customHeight="1">
      <c r="A1065" s="290"/>
      <c r="C1065" s="16">
        <v>77</v>
      </c>
      <c r="D1065" s="16">
        <v>21012</v>
      </c>
      <c r="E1065" s="16" t="s">
        <v>1135</v>
      </c>
      <c r="F1065" s="3" t="s">
        <v>1136</v>
      </c>
      <c r="G1065" s="16" t="s">
        <v>83</v>
      </c>
      <c r="H1065" s="16" t="s">
        <v>1158</v>
      </c>
      <c r="I1065" s="16" t="s">
        <v>66</v>
      </c>
      <c r="J1065" s="45">
        <v>43277</v>
      </c>
      <c r="K1065" s="16" t="s">
        <v>8</v>
      </c>
      <c r="L1065" s="16" t="s">
        <v>12</v>
      </c>
      <c r="M1065" s="16" t="s">
        <v>1167</v>
      </c>
      <c r="N1065" s="16"/>
      <c r="W1065" s="16" t="s">
        <v>61</v>
      </c>
      <c r="X1065" s="16"/>
      <c r="Y1065" s="45">
        <v>43306</v>
      </c>
      <c r="Z1065" s="16" t="s">
        <v>66</v>
      </c>
      <c r="AA1065" s="45">
        <v>43324</v>
      </c>
      <c r="AB1065" s="16"/>
    </row>
    <row r="1066" spans="1:28" ht="15" customHeight="1">
      <c r="A1066" s="290"/>
      <c r="C1066" s="2">
        <v>77</v>
      </c>
      <c r="D1066" s="2">
        <v>21013</v>
      </c>
      <c r="E1066" s="2" t="s">
        <v>1137</v>
      </c>
      <c r="F1066" s="3" t="s">
        <v>1138</v>
      </c>
      <c r="G1066" s="16" t="s">
        <v>34</v>
      </c>
      <c r="H1066" s="2">
        <v>1019666608</v>
      </c>
      <c r="I1066" s="16" t="s">
        <v>66</v>
      </c>
      <c r="J1066" s="4">
        <v>43277</v>
      </c>
      <c r="K1066" s="16" t="s">
        <v>8</v>
      </c>
      <c r="L1066" s="16" t="s">
        <v>12</v>
      </c>
      <c r="M1066" s="2" t="s">
        <v>107</v>
      </c>
      <c r="W1066" s="16" t="s">
        <v>60</v>
      </c>
      <c r="Y1066" s="7">
        <v>43306</v>
      </c>
      <c r="Z1066" s="16" t="s">
        <v>66</v>
      </c>
      <c r="AA1066" s="7">
        <v>43312</v>
      </c>
    </row>
    <row r="1067" spans="1:28" ht="15" customHeight="1">
      <c r="A1067" s="290"/>
      <c r="C1067" s="16">
        <v>77</v>
      </c>
      <c r="D1067" s="2">
        <v>21014</v>
      </c>
      <c r="E1067" s="2" t="s">
        <v>1139</v>
      </c>
      <c r="F1067" s="3">
        <v>29805010108559</v>
      </c>
      <c r="G1067" s="2" t="s">
        <v>83</v>
      </c>
      <c r="H1067" s="2" t="s">
        <v>1159</v>
      </c>
      <c r="I1067" s="16" t="s">
        <v>66</v>
      </c>
      <c r="J1067" s="4">
        <v>43277</v>
      </c>
      <c r="K1067" s="16" t="s">
        <v>8</v>
      </c>
      <c r="L1067" s="16" t="s">
        <v>12</v>
      </c>
      <c r="M1067" s="2" t="s">
        <v>53</v>
      </c>
      <c r="W1067" s="16" t="s">
        <v>60</v>
      </c>
      <c r="Y1067" s="7">
        <v>43306</v>
      </c>
      <c r="Z1067" s="16" t="s">
        <v>66</v>
      </c>
      <c r="AA1067" s="7">
        <v>43312</v>
      </c>
      <c r="AB1067" s="2" t="s">
        <v>698</v>
      </c>
    </row>
    <row r="1068" spans="1:28" ht="15" customHeight="1">
      <c r="A1068" s="290"/>
      <c r="C1068" s="16">
        <v>77</v>
      </c>
      <c r="D1068" s="2">
        <v>21015</v>
      </c>
      <c r="E1068" s="2" t="s">
        <v>1140</v>
      </c>
      <c r="F1068" s="3" t="s">
        <v>1141</v>
      </c>
      <c r="G1068" s="2" t="s">
        <v>34</v>
      </c>
      <c r="H1068" s="2" t="s">
        <v>1160</v>
      </c>
      <c r="I1068" s="16" t="s">
        <v>66</v>
      </c>
      <c r="J1068" s="4">
        <v>43277</v>
      </c>
      <c r="K1068" s="16" t="s">
        <v>8</v>
      </c>
      <c r="L1068" s="16" t="s">
        <v>12</v>
      </c>
      <c r="M1068" s="2" t="s">
        <v>14</v>
      </c>
      <c r="W1068" s="16" t="s">
        <v>59</v>
      </c>
      <c r="Y1068" s="7">
        <v>43306</v>
      </c>
      <c r="Z1068" s="16" t="s">
        <v>67</v>
      </c>
      <c r="AA1068" s="7" t="s">
        <v>3111</v>
      </c>
    </row>
    <row r="1069" spans="1:28" ht="15" customHeight="1">
      <c r="A1069" s="290"/>
      <c r="C1069" s="16">
        <v>77</v>
      </c>
      <c r="D1069" s="2">
        <v>21016</v>
      </c>
      <c r="E1069" s="2" t="s">
        <v>1142</v>
      </c>
      <c r="F1069" s="3" t="s">
        <v>1143</v>
      </c>
      <c r="G1069" s="16" t="s">
        <v>4</v>
      </c>
      <c r="H1069" s="2" t="s">
        <v>1161</v>
      </c>
      <c r="I1069" s="16" t="s">
        <v>66</v>
      </c>
      <c r="J1069" s="4">
        <v>43277</v>
      </c>
      <c r="K1069" s="16" t="s">
        <v>8</v>
      </c>
      <c r="L1069" s="16" t="s">
        <v>12</v>
      </c>
      <c r="M1069" s="2" t="s">
        <v>257</v>
      </c>
      <c r="W1069" s="16" t="s">
        <v>63</v>
      </c>
      <c r="Y1069" s="7">
        <v>43306</v>
      </c>
      <c r="Z1069" s="16" t="s">
        <v>67</v>
      </c>
      <c r="AA1069" s="7" t="s">
        <v>3111</v>
      </c>
    </row>
    <row r="1070" spans="1:28" ht="15" customHeight="1">
      <c r="A1070" s="290"/>
      <c r="C1070" s="16">
        <v>77</v>
      </c>
      <c r="D1070" s="2">
        <v>21017</v>
      </c>
      <c r="E1070" s="2" t="s">
        <v>1144</v>
      </c>
      <c r="F1070" s="3" t="s">
        <v>1145</v>
      </c>
      <c r="G1070" s="2" t="s">
        <v>83</v>
      </c>
      <c r="H1070" s="2" t="s">
        <v>1162</v>
      </c>
      <c r="I1070" s="16" t="s">
        <v>66</v>
      </c>
      <c r="J1070" s="4">
        <v>43277</v>
      </c>
      <c r="K1070" s="16" t="s">
        <v>8</v>
      </c>
      <c r="L1070" s="16" t="s">
        <v>12</v>
      </c>
      <c r="M1070" s="2" t="s">
        <v>226</v>
      </c>
      <c r="W1070" s="16" t="s">
        <v>60</v>
      </c>
      <c r="Y1070" s="7">
        <v>43306</v>
      </c>
      <c r="Z1070" s="16" t="s">
        <v>66</v>
      </c>
      <c r="AA1070" s="7">
        <v>43312</v>
      </c>
    </row>
    <row r="1071" spans="1:28" ht="15" customHeight="1">
      <c r="A1071" s="290"/>
      <c r="C1071" s="16">
        <v>77</v>
      </c>
      <c r="D1071" s="2">
        <v>21018</v>
      </c>
      <c r="E1071" s="2" t="s">
        <v>1146</v>
      </c>
      <c r="F1071" s="3" t="s">
        <v>1147</v>
      </c>
      <c r="G1071" s="2" t="s">
        <v>83</v>
      </c>
      <c r="H1071" s="2" t="s">
        <v>1163</v>
      </c>
      <c r="I1071" s="16" t="s">
        <v>66</v>
      </c>
      <c r="J1071" s="4">
        <v>43277</v>
      </c>
      <c r="K1071" s="16" t="s">
        <v>8</v>
      </c>
      <c r="L1071" s="16" t="s">
        <v>12</v>
      </c>
      <c r="M1071" s="2" t="s">
        <v>226</v>
      </c>
      <c r="W1071" s="16" t="s">
        <v>60</v>
      </c>
      <c r="Y1071" s="7">
        <v>43306</v>
      </c>
      <c r="Z1071" s="16" t="s">
        <v>66</v>
      </c>
      <c r="AA1071" s="7">
        <v>43312</v>
      </c>
    </row>
    <row r="1072" spans="1:28" ht="15" customHeight="1">
      <c r="A1072" s="290"/>
      <c r="C1072" s="16">
        <v>77</v>
      </c>
      <c r="D1072" s="2">
        <v>21019</v>
      </c>
      <c r="E1072" s="2" t="s">
        <v>1148</v>
      </c>
      <c r="F1072" s="3" t="s">
        <v>1149</v>
      </c>
      <c r="G1072" s="2" t="s">
        <v>1152</v>
      </c>
      <c r="H1072" s="2" t="s">
        <v>1164</v>
      </c>
      <c r="I1072" s="16" t="s">
        <v>66</v>
      </c>
      <c r="J1072" s="4">
        <v>43277</v>
      </c>
      <c r="K1072" s="16" t="s">
        <v>8</v>
      </c>
      <c r="L1072" s="16" t="s">
        <v>12</v>
      </c>
      <c r="M1072" s="2" t="s">
        <v>109</v>
      </c>
      <c r="W1072" s="16" t="s">
        <v>62</v>
      </c>
      <c r="Y1072" s="7">
        <v>43306</v>
      </c>
      <c r="Z1072" s="16" t="s">
        <v>66</v>
      </c>
      <c r="AA1072" s="7">
        <v>43317</v>
      </c>
    </row>
    <row r="1073" spans="1:28" ht="15.75" customHeight="1" thickBot="1">
      <c r="A1073" s="291"/>
      <c r="C1073" s="28">
        <v>77</v>
      </c>
      <c r="D1073" s="28">
        <v>16430</v>
      </c>
      <c r="E1073" s="28" t="s">
        <v>1150</v>
      </c>
      <c r="F1073" s="29" t="s">
        <v>1151</v>
      </c>
      <c r="G1073" s="28" t="s">
        <v>1152</v>
      </c>
      <c r="H1073" s="28" t="s">
        <v>1165</v>
      </c>
      <c r="I1073" s="28" t="s">
        <v>67</v>
      </c>
      <c r="J1073" s="30">
        <v>43277</v>
      </c>
      <c r="K1073" s="28" t="s">
        <v>8</v>
      </c>
      <c r="L1073" s="28" t="s">
        <v>12</v>
      </c>
      <c r="M1073" s="28" t="s">
        <v>103</v>
      </c>
      <c r="N1073" s="28"/>
      <c r="O1073" s="226"/>
      <c r="P1073" s="28"/>
      <c r="Q1073" s="226"/>
      <c r="R1073" s="28"/>
      <c r="S1073" s="28"/>
      <c r="T1073" s="28"/>
      <c r="U1073" s="28"/>
      <c r="V1073" s="28"/>
      <c r="W1073" s="28" t="s">
        <v>61</v>
      </c>
      <c r="X1073" s="28"/>
      <c r="Y1073" s="30">
        <v>43306</v>
      </c>
      <c r="Z1073" s="28" t="s">
        <v>66</v>
      </c>
      <c r="AA1073" s="30">
        <v>43324</v>
      </c>
      <c r="AB1073" s="28"/>
    </row>
    <row r="1074" spans="1:28" ht="15.75" customHeight="1" thickTop="1">
      <c r="A1074" s="289" t="s">
        <v>3119</v>
      </c>
      <c r="C1074" s="16">
        <v>78</v>
      </c>
      <c r="D1074" s="2">
        <v>21021</v>
      </c>
      <c r="E1074" s="2" t="s">
        <v>1081</v>
      </c>
      <c r="F1074" s="3" t="s">
        <v>1082</v>
      </c>
      <c r="G1074" s="2" t="s">
        <v>83</v>
      </c>
      <c r="H1074" s="2" t="s">
        <v>1110</v>
      </c>
      <c r="I1074" s="16" t="s">
        <v>66</v>
      </c>
      <c r="J1074" s="4">
        <v>43281</v>
      </c>
      <c r="K1074" s="16" t="s">
        <v>8</v>
      </c>
      <c r="L1074" s="16" t="s">
        <v>12</v>
      </c>
      <c r="M1074" s="2" t="s">
        <v>16</v>
      </c>
      <c r="W1074" s="16" t="s">
        <v>59</v>
      </c>
      <c r="Y1074" s="7">
        <v>43310</v>
      </c>
      <c r="Z1074" s="16" t="s">
        <v>67</v>
      </c>
      <c r="AA1074" s="7" t="s">
        <v>3111</v>
      </c>
    </row>
    <row r="1075" spans="1:28" ht="15" customHeight="1">
      <c r="A1075" s="290"/>
      <c r="C1075" s="16">
        <v>78</v>
      </c>
      <c r="D1075" s="2">
        <v>21022</v>
      </c>
      <c r="E1075" s="2" t="s">
        <v>1083</v>
      </c>
      <c r="F1075" s="3" t="s">
        <v>1084</v>
      </c>
      <c r="G1075" s="2" t="s">
        <v>34</v>
      </c>
      <c r="H1075" s="2" t="s">
        <v>1111</v>
      </c>
      <c r="I1075" s="16" t="s">
        <v>66</v>
      </c>
      <c r="J1075" s="4">
        <v>43281</v>
      </c>
      <c r="K1075" s="16" t="s">
        <v>8</v>
      </c>
      <c r="L1075" s="16" t="s">
        <v>12</v>
      </c>
      <c r="M1075" s="2" t="s">
        <v>197</v>
      </c>
      <c r="W1075" s="16" t="s">
        <v>61</v>
      </c>
      <c r="Y1075" s="7">
        <v>43310</v>
      </c>
      <c r="Z1075" s="16" t="s">
        <v>67</v>
      </c>
      <c r="AA1075" s="7" t="s">
        <v>3111</v>
      </c>
    </row>
    <row r="1076" spans="1:28" ht="15" customHeight="1">
      <c r="A1076" s="290"/>
      <c r="C1076" s="16">
        <v>78</v>
      </c>
      <c r="D1076" s="2">
        <v>21023</v>
      </c>
      <c r="E1076" s="2" t="s">
        <v>1085</v>
      </c>
      <c r="F1076" s="3" t="s">
        <v>1086</v>
      </c>
      <c r="G1076" s="2" t="s">
        <v>34</v>
      </c>
      <c r="H1076" s="2" t="s">
        <v>1112</v>
      </c>
      <c r="I1076" s="16" t="s">
        <v>66</v>
      </c>
      <c r="J1076" s="4">
        <v>43281</v>
      </c>
      <c r="K1076" s="16" t="s">
        <v>8</v>
      </c>
      <c r="L1076" s="16" t="s">
        <v>12</v>
      </c>
      <c r="M1076" s="2" t="s">
        <v>14</v>
      </c>
      <c r="W1076" s="16" t="s">
        <v>60</v>
      </c>
      <c r="Y1076" s="7">
        <v>43310</v>
      </c>
      <c r="Z1076" s="16" t="s">
        <v>66</v>
      </c>
      <c r="AA1076" s="7">
        <v>43312</v>
      </c>
    </row>
    <row r="1077" spans="1:28" ht="15" customHeight="1">
      <c r="A1077" s="290"/>
      <c r="C1077" s="16">
        <v>78</v>
      </c>
      <c r="D1077" s="16">
        <v>21024</v>
      </c>
      <c r="E1077" s="16" t="s">
        <v>1087</v>
      </c>
      <c r="F1077" s="3" t="s">
        <v>1088</v>
      </c>
      <c r="G1077" s="16" t="s">
        <v>83</v>
      </c>
      <c r="H1077" s="16" t="s">
        <v>1113</v>
      </c>
      <c r="I1077" s="16" t="s">
        <v>66</v>
      </c>
      <c r="J1077" s="45">
        <v>43281</v>
      </c>
      <c r="K1077" s="16" t="s">
        <v>8</v>
      </c>
      <c r="L1077" s="16" t="s">
        <v>12</v>
      </c>
      <c r="M1077" s="16" t="s">
        <v>57</v>
      </c>
      <c r="N1077" s="16"/>
      <c r="W1077" s="16" t="s">
        <v>60</v>
      </c>
      <c r="X1077" s="16"/>
      <c r="Y1077" s="45">
        <v>43310</v>
      </c>
      <c r="Z1077" s="16" t="s">
        <v>66</v>
      </c>
      <c r="AA1077" s="45">
        <v>43312</v>
      </c>
      <c r="AB1077" s="16"/>
    </row>
    <row r="1078" spans="1:28" ht="15" customHeight="1">
      <c r="A1078" s="290"/>
      <c r="C1078" s="16">
        <v>78</v>
      </c>
      <c r="D1078" s="2">
        <v>21025</v>
      </c>
      <c r="E1078" s="2" t="s">
        <v>1089</v>
      </c>
      <c r="F1078" s="3" t="s">
        <v>1090</v>
      </c>
      <c r="G1078" s="2" t="s">
        <v>34</v>
      </c>
      <c r="H1078" s="2" t="s">
        <v>1114</v>
      </c>
      <c r="I1078" s="16" t="s">
        <v>66</v>
      </c>
      <c r="J1078" s="4">
        <v>43281</v>
      </c>
      <c r="K1078" s="16" t="s">
        <v>8</v>
      </c>
      <c r="L1078" s="16" t="s">
        <v>12</v>
      </c>
      <c r="M1078" s="2" t="s">
        <v>55</v>
      </c>
      <c r="W1078" s="16" t="s">
        <v>60</v>
      </c>
      <c r="Y1078" s="7">
        <v>43310</v>
      </c>
      <c r="Z1078" s="16" t="s">
        <v>66</v>
      </c>
      <c r="AA1078" s="7">
        <v>43312</v>
      </c>
    </row>
    <row r="1079" spans="1:28" ht="15" customHeight="1">
      <c r="A1079" s="290"/>
      <c r="C1079" s="2">
        <v>78</v>
      </c>
      <c r="D1079" s="2">
        <v>21026</v>
      </c>
      <c r="E1079" s="2" t="s">
        <v>1091</v>
      </c>
      <c r="F1079" s="3" t="s">
        <v>1092</v>
      </c>
      <c r="G1079" s="16" t="s">
        <v>4</v>
      </c>
      <c r="H1079" s="2" t="s">
        <v>1115</v>
      </c>
      <c r="I1079" s="16" t="s">
        <v>66</v>
      </c>
      <c r="J1079" s="4">
        <v>43281</v>
      </c>
      <c r="K1079" s="16" t="s">
        <v>8</v>
      </c>
      <c r="L1079" s="16" t="s">
        <v>12</v>
      </c>
      <c r="M1079" s="2" t="s">
        <v>257</v>
      </c>
      <c r="W1079" s="16" t="s">
        <v>61</v>
      </c>
      <c r="Y1079" s="7">
        <v>43310</v>
      </c>
      <c r="Z1079" s="16" t="s">
        <v>66</v>
      </c>
      <c r="AA1079" s="7">
        <v>43370</v>
      </c>
    </row>
    <row r="1080" spans="1:28" ht="15" customHeight="1">
      <c r="A1080" s="290"/>
      <c r="C1080" s="16">
        <v>78</v>
      </c>
      <c r="D1080" s="2">
        <v>21027</v>
      </c>
      <c r="E1080" s="2" t="s">
        <v>1093</v>
      </c>
      <c r="F1080" s="3">
        <v>29205068800331</v>
      </c>
      <c r="G1080" s="16" t="s">
        <v>3663</v>
      </c>
      <c r="H1080" s="2" t="s">
        <v>1116</v>
      </c>
      <c r="I1080" s="16" t="s">
        <v>66</v>
      </c>
      <c r="J1080" s="4">
        <v>43281</v>
      </c>
      <c r="K1080" s="16" t="s">
        <v>8</v>
      </c>
      <c r="L1080" s="16" t="s">
        <v>12</v>
      </c>
      <c r="M1080" s="2" t="s">
        <v>57</v>
      </c>
      <c r="W1080" s="16" t="s">
        <v>60</v>
      </c>
      <c r="Y1080" s="7">
        <v>43310</v>
      </c>
      <c r="Z1080" s="16" t="s">
        <v>66</v>
      </c>
      <c r="AA1080" s="7">
        <v>43312</v>
      </c>
    </row>
    <row r="1081" spans="1:28" ht="15" customHeight="1">
      <c r="A1081" s="290"/>
      <c r="C1081" s="16">
        <v>78</v>
      </c>
      <c r="D1081" s="2">
        <v>21028</v>
      </c>
      <c r="E1081" s="2" t="s">
        <v>1094</v>
      </c>
      <c r="F1081" s="3" t="s">
        <v>1095</v>
      </c>
      <c r="G1081" s="2" t="s">
        <v>83</v>
      </c>
      <c r="H1081" s="2" t="s">
        <v>1117</v>
      </c>
      <c r="I1081" s="16" t="s">
        <v>66</v>
      </c>
      <c r="J1081" s="4">
        <v>43281</v>
      </c>
      <c r="K1081" s="16" t="s">
        <v>8</v>
      </c>
      <c r="L1081" s="16" t="s">
        <v>12</v>
      </c>
      <c r="M1081" s="2" t="s">
        <v>104</v>
      </c>
      <c r="W1081" s="16" t="s">
        <v>61</v>
      </c>
      <c r="Y1081" s="7">
        <v>43310</v>
      </c>
      <c r="Z1081" s="16" t="s">
        <v>66</v>
      </c>
      <c r="AA1081" s="7">
        <v>43324</v>
      </c>
      <c r="AB1081" s="2" t="s">
        <v>5555</v>
      </c>
    </row>
    <row r="1082" spans="1:28" ht="15" customHeight="1">
      <c r="A1082" s="290"/>
      <c r="C1082" s="16">
        <v>78</v>
      </c>
      <c r="D1082" s="2">
        <v>21029</v>
      </c>
      <c r="E1082" s="2" t="s">
        <v>1096</v>
      </c>
      <c r="F1082" s="3" t="s">
        <v>1097</v>
      </c>
      <c r="G1082" s="2" t="s">
        <v>83</v>
      </c>
      <c r="H1082" s="2" t="s">
        <v>1118</v>
      </c>
      <c r="I1082" s="16" t="s">
        <v>66</v>
      </c>
      <c r="J1082" s="4">
        <v>43281</v>
      </c>
      <c r="K1082" s="16" t="s">
        <v>8</v>
      </c>
      <c r="L1082" s="16" t="s">
        <v>12</v>
      </c>
      <c r="M1082" s="2" t="s">
        <v>104</v>
      </c>
      <c r="W1082" s="16" t="s">
        <v>62</v>
      </c>
      <c r="Y1082" s="7">
        <v>43310</v>
      </c>
      <c r="Z1082" s="16" t="s">
        <v>66</v>
      </c>
      <c r="AA1082" s="7">
        <v>43360</v>
      </c>
    </row>
    <row r="1083" spans="1:28" ht="15" customHeight="1">
      <c r="A1083" s="290"/>
      <c r="C1083" s="16">
        <v>78</v>
      </c>
      <c r="D1083" s="2">
        <v>21030</v>
      </c>
      <c r="E1083" s="2" t="s">
        <v>1098</v>
      </c>
      <c r="F1083" s="3" t="s">
        <v>1099</v>
      </c>
      <c r="G1083" s="2" t="s">
        <v>83</v>
      </c>
      <c r="H1083" s="2" t="s">
        <v>1119</v>
      </c>
      <c r="I1083" s="16" t="s">
        <v>66</v>
      </c>
      <c r="J1083" s="4">
        <v>43281</v>
      </c>
      <c r="K1083" s="16" t="s">
        <v>8</v>
      </c>
      <c r="L1083" s="16" t="s">
        <v>12</v>
      </c>
      <c r="M1083" s="2" t="s">
        <v>55</v>
      </c>
      <c r="W1083" s="16" t="s">
        <v>59</v>
      </c>
      <c r="Y1083" s="7">
        <v>43310</v>
      </c>
      <c r="Z1083" s="16" t="s">
        <v>67</v>
      </c>
      <c r="AA1083" s="7" t="s">
        <v>3111</v>
      </c>
    </row>
    <row r="1084" spans="1:28" ht="15" customHeight="1">
      <c r="A1084" s="290"/>
      <c r="C1084" s="16">
        <v>78</v>
      </c>
      <c r="D1084" s="2">
        <v>21031</v>
      </c>
      <c r="E1084" s="2" t="s">
        <v>1100</v>
      </c>
      <c r="F1084" s="3" t="s">
        <v>1101</v>
      </c>
      <c r="G1084" s="2" t="s">
        <v>34</v>
      </c>
      <c r="H1084" s="2" t="s">
        <v>1120</v>
      </c>
      <c r="I1084" s="16" t="s">
        <v>66</v>
      </c>
      <c r="J1084" s="4">
        <v>43281</v>
      </c>
      <c r="K1084" s="16" t="s">
        <v>8</v>
      </c>
      <c r="L1084" s="16" t="s">
        <v>12</v>
      </c>
      <c r="M1084" s="2" t="s">
        <v>53</v>
      </c>
      <c r="W1084" s="16" t="s">
        <v>60</v>
      </c>
      <c r="Y1084" s="7">
        <v>43310</v>
      </c>
      <c r="Z1084" s="16" t="s">
        <v>66</v>
      </c>
      <c r="AA1084" s="7">
        <v>43312</v>
      </c>
    </row>
    <row r="1085" spans="1:28" ht="15" customHeight="1">
      <c r="A1085" s="290"/>
      <c r="C1085" s="16">
        <v>78</v>
      </c>
      <c r="D1085" s="2">
        <v>21032</v>
      </c>
      <c r="E1085" s="2" t="s">
        <v>1102</v>
      </c>
      <c r="F1085" s="3" t="s">
        <v>1103</v>
      </c>
      <c r="G1085" s="2" t="s">
        <v>83</v>
      </c>
      <c r="H1085" s="2" t="s">
        <v>1121</v>
      </c>
      <c r="I1085" s="16" t="s">
        <v>66</v>
      </c>
      <c r="J1085" s="4">
        <v>43281</v>
      </c>
      <c r="K1085" s="16" t="s">
        <v>8</v>
      </c>
      <c r="L1085" s="16" t="s">
        <v>12</v>
      </c>
      <c r="M1085" s="2" t="s">
        <v>57</v>
      </c>
      <c r="W1085" s="16" t="s">
        <v>62</v>
      </c>
      <c r="Y1085" s="7">
        <v>43310</v>
      </c>
      <c r="Z1085" s="16" t="s">
        <v>66</v>
      </c>
      <c r="AA1085" s="7">
        <v>43346</v>
      </c>
      <c r="AB1085" s="2" t="s">
        <v>3177</v>
      </c>
    </row>
    <row r="1086" spans="1:28" ht="15" customHeight="1">
      <c r="A1086" s="290"/>
      <c r="C1086" s="16">
        <v>78</v>
      </c>
      <c r="D1086" s="2">
        <v>21033</v>
      </c>
      <c r="E1086" s="2" t="s">
        <v>1104</v>
      </c>
      <c r="F1086" s="3" t="s">
        <v>1105</v>
      </c>
      <c r="G1086" s="2" t="s">
        <v>83</v>
      </c>
      <c r="H1086" s="2" t="s">
        <v>1122</v>
      </c>
      <c r="I1086" s="16" t="s">
        <v>66</v>
      </c>
      <c r="J1086" s="4">
        <v>43281</v>
      </c>
      <c r="K1086" s="16" t="s">
        <v>8</v>
      </c>
      <c r="L1086" s="16" t="s">
        <v>12</v>
      </c>
      <c r="M1086" s="2" t="s">
        <v>55</v>
      </c>
      <c r="W1086" s="16" t="s">
        <v>64</v>
      </c>
      <c r="Y1086" s="7">
        <v>43310</v>
      </c>
      <c r="Z1086" s="16" t="s">
        <v>67</v>
      </c>
      <c r="AA1086" s="7" t="s">
        <v>3111</v>
      </c>
    </row>
    <row r="1087" spans="1:28" ht="15" customHeight="1">
      <c r="A1087" s="290"/>
      <c r="C1087" s="16">
        <v>78</v>
      </c>
      <c r="D1087" s="2">
        <v>21034</v>
      </c>
      <c r="E1087" s="2" t="s">
        <v>1106</v>
      </c>
      <c r="F1087" s="3" t="s">
        <v>1107</v>
      </c>
      <c r="G1087" s="2" t="s">
        <v>83</v>
      </c>
      <c r="H1087" s="2" t="s">
        <v>1123</v>
      </c>
      <c r="I1087" s="16" t="s">
        <v>66</v>
      </c>
      <c r="J1087" s="4">
        <v>43281</v>
      </c>
      <c r="K1087" s="16" t="s">
        <v>8</v>
      </c>
      <c r="L1087" s="16" t="s">
        <v>12</v>
      </c>
      <c r="M1087" s="2" t="s">
        <v>52</v>
      </c>
      <c r="W1087" s="16" t="s">
        <v>60</v>
      </c>
      <c r="Y1087" s="7">
        <v>43310</v>
      </c>
      <c r="Z1087" s="16" t="s">
        <v>66</v>
      </c>
      <c r="AA1087" s="7">
        <v>43312</v>
      </c>
      <c r="AB1087" s="2" t="s">
        <v>4892</v>
      </c>
    </row>
    <row r="1088" spans="1:28" ht="15.75" customHeight="1" thickBot="1">
      <c r="A1088" s="291"/>
      <c r="C1088" s="28">
        <v>78</v>
      </c>
      <c r="D1088" s="28">
        <v>16047</v>
      </c>
      <c r="E1088" s="28" t="s">
        <v>1108</v>
      </c>
      <c r="F1088" s="29" t="s">
        <v>1109</v>
      </c>
      <c r="G1088" s="28" t="s">
        <v>34</v>
      </c>
      <c r="H1088" s="28" t="s">
        <v>1124</v>
      </c>
      <c r="I1088" s="28" t="s">
        <v>67</v>
      </c>
      <c r="J1088" s="30">
        <v>43281</v>
      </c>
      <c r="K1088" s="28" t="s">
        <v>8</v>
      </c>
      <c r="L1088" s="28" t="s">
        <v>12</v>
      </c>
      <c r="M1088" s="28" t="s">
        <v>257</v>
      </c>
      <c r="N1088" s="28"/>
      <c r="O1088" s="226"/>
      <c r="P1088" s="28"/>
      <c r="Q1088" s="226"/>
      <c r="R1088" s="28"/>
      <c r="S1088" s="28"/>
      <c r="T1088" s="28"/>
      <c r="U1088" s="28"/>
      <c r="V1088" s="28"/>
      <c r="W1088" s="28" t="s">
        <v>60</v>
      </c>
      <c r="X1088" s="28"/>
      <c r="Y1088" s="30">
        <v>43310</v>
      </c>
      <c r="Z1088" s="28" t="s">
        <v>66</v>
      </c>
      <c r="AA1088" s="30">
        <v>43312</v>
      </c>
      <c r="AB1088" s="28"/>
    </row>
    <row r="1089" spans="1:28" ht="15.75" customHeight="1" thickTop="1">
      <c r="A1089" s="289" t="s">
        <v>3126</v>
      </c>
      <c r="C1089" s="16">
        <v>79</v>
      </c>
      <c r="D1089" s="16">
        <v>21195</v>
      </c>
      <c r="E1089" s="16" t="s">
        <v>1037</v>
      </c>
      <c r="F1089" s="3" t="s">
        <v>1038</v>
      </c>
      <c r="G1089" s="16" t="s">
        <v>34</v>
      </c>
      <c r="H1089" s="16" t="s">
        <v>1066</v>
      </c>
      <c r="I1089" s="16" t="s">
        <v>66</v>
      </c>
      <c r="J1089" s="45">
        <v>43288</v>
      </c>
      <c r="K1089" s="16" t="s">
        <v>8</v>
      </c>
      <c r="L1089" s="16" t="s">
        <v>12</v>
      </c>
      <c r="M1089" s="16" t="s">
        <v>103</v>
      </c>
      <c r="N1089" s="16"/>
      <c r="W1089" s="16" t="s">
        <v>111</v>
      </c>
      <c r="X1089" s="16"/>
      <c r="Y1089" s="45">
        <v>43317</v>
      </c>
      <c r="Z1089" s="16" t="s">
        <v>67</v>
      </c>
      <c r="AA1089" s="45" t="s">
        <v>3111</v>
      </c>
      <c r="AB1089" s="16"/>
    </row>
    <row r="1090" spans="1:28" ht="15" customHeight="1">
      <c r="A1090" s="290"/>
      <c r="C1090" s="16">
        <v>79</v>
      </c>
      <c r="D1090" s="2">
        <v>21196</v>
      </c>
      <c r="E1090" s="2" t="s">
        <v>1039</v>
      </c>
      <c r="F1090" s="3" t="s">
        <v>1040</v>
      </c>
      <c r="G1090" s="16" t="s">
        <v>34</v>
      </c>
      <c r="H1090" s="2" t="s">
        <v>1067</v>
      </c>
      <c r="I1090" s="16" t="s">
        <v>66</v>
      </c>
      <c r="J1090" s="4">
        <v>43288</v>
      </c>
      <c r="K1090" s="16" t="s">
        <v>8</v>
      </c>
      <c r="L1090" s="16" t="s">
        <v>12</v>
      </c>
      <c r="M1090" s="2" t="s">
        <v>978</v>
      </c>
      <c r="W1090" s="16" t="s">
        <v>111</v>
      </c>
      <c r="Y1090" s="7">
        <v>43317</v>
      </c>
      <c r="Z1090" s="16" t="s">
        <v>66</v>
      </c>
      <c r="AA1090" s="7">
        <v>43317</v>
      </c>
    </row>
    <row r="1091" spans="1:28" ht="15" customHeight="1">
      <c r="A1091" s="290"/>
      <c r="C1091" s="16">
        <v>79</v>
      </c>
      <c r="D1091" s="2">
        <v>21197</v>
      </c>
      <c r="E1091" s="2" t="s">
        <v>1041</v>
      </c>
      <c r="F1091" s="3" t="s">
        <v>1042</v>
      </c>
      <c r="G1091" s="2" t="s">
        <v>83</v>
      </c>
      <c r="H1091" s="2" t="s">
        <v>1068</v>
      </c>
      <c r="I1091" s="16" t="s">
        <v>66</v>
      </c>
      <c r="J1091" s="4">
        <v>43288</v>
      </c>
      <c r="K1091" s="16" t="s">
        <v>8</v>
      </c>
      <c r="L1091" s="16" t="s">
        <v>12</v>
      </c>
      <c r="M1091" s="2" t="s">
        <v>16</v>
      </c>
      <c r="W1091" s="16" t="s">
        <v>110</v>
      </c>
      <c r="Y1091" s="7">
        <v>43317</v>
      </c>
      <c r="Z1091" s="16" t="s">
        <v>66</v>
      </c>
      <c r="AA1091" s="7">
        <v>43317</v>
      </c>
    </row>
    <row r="1092" spans="1:28" ht="15" customHeight="1">
      <c r="A1092" s="290"/>
      <c r="C1092" s="16">
        <v>79</v>
      </c>
      <c r="D1092" s="2">
        <v>21198</v>
      </c>
      <c r="E1092" s="2" t="s">
        <v>1043</v>
      </c>
      <c r="F1092" s="3" t="s">
        <v>1044</v>
      </c>
      <c r="G1092" s="2" t="s">
        <v>34</v>
      </c>
      <c r="H1092" s="2" t="s">
        <v>1069</v>
      </c>
      <c r="I1092" s="16" t="s">
        <v>66</v>
      </c>
      <c r="J1092" s="4">
        <v>43288</v>
      </c>
      <c r="K1092" s="16" t="s">
        <v>8</v>
      </c>
      <c r="L1092" s="16" t="s">
        <v>12</v>
      </c>
      <c r="M1092" s="2" t="s">
        <v>257</v>
      </c>
      <c r="W1092" s="16" t="s">
        <v>61</v>
      </c>
      <c r="Y1092" s="7">
        <v>43317</v>
      </c>
      <c r="Z1092" s="16" t="s">
        <v>66</v>
      </c>
      <c r="AA1092" s="7">
        <v>43324</v>
      </c>
    </row>
    <row r="1093" spans="1:28" ht="15" customHeight="1">
      <c r="A1093" s="290"/>
      <c r="C1093" s="16">
        <v>79</v>
      </c>
      <c r="D1093" s="2">
        <v>21199</v>
      </c>
      <c r="E1093" s="2" t="s">
        <v>1045</v>
      </c>
      <c r="F1093" s="3" t="s">
        <v>1046</v>
      </c>
      <c r="G1093" s="16" t="s">
        <v>34</v>
      </c>
      <c r="H1093" s="2" t="s">
        <v>1070</v>
      </c>
      <c r="I1093" s="16" t="s">
        <v>66</v>
      </c>
      <c r="J1093" s="4">
        <v>43288</v>
      </c>
      <c r="K1093" s="16" t="s">
        <v>8</v>
      </c>
      <c r="L1093" s="16" t="s">
        <v>12</v>
      </c>
      <c r="M1093" s="2" t="s">
        <v>16</v>
      </c>
      <c r="W1093" s="16" t="s">
        <v>60</v>
      </c>
      <c r="Y1093" s="7">
        <v>43317</v>
      </c>
      <c r="Z1093" s="16" t="s">
        <v>66</v>
      </c>
      <c r="AA1093" s="7">
        <v>43367</v>
      </c>
    </row>
    <row r="1094" spans="1:28" ht="15" customHeight="1">
      <c r="A1094" s="290"/>
      <c r="C1094" s="2">
        <v>79</v>
      </c>
      <c r="D1094" s="2">
        <v>21200</v>
      </c>
      <c r="E1094" s="2" t="s">
        <v>1047</v>
      </c>
      <c r="F1094" s="3">
        <v>29702170104092</v>
      </c>
      <c r="G1094" s="2" t="s">
        <v>83</v>
      </c>
      <c r="H1094" s="2" t="s">
        <v>1071</v>
      </c>
      <c r="I1094" s="2" t="s">
        <v>66</v>
      </c>
      <c r="J1094" s="4">
        <v>43288</v>
      </c>
      <c r="K1094" s="16" t="s">
        <v>8</v>
      </c>
      <c r="L1094" s="16" t="s">
        <v>12</v>
      </c>
      <c r="M1094" s="2" t="s">
        <v>104</v>
      </c>
      <c r="W1094" s="16" t="s">
        <v>111</v>
      </c>
      <c r="Y1094" s="7">
        <v>43317</v>
      </c>
      <c r="Z1094" s="16" t="s">
        <v>66</v>
      </c>
      <c r="AA1094" s="7">
        <v>43325</v>
      </c>
    </row>
    <row r="1095" spans="1:28" ht="15" customHeight="1">
      <c r="A1095" s="290"/>
      <c r="C1095" s="16">
        <v>79</v>
      </c>
      <c r="D1095" s="2">
        <v>21201</v>
      </c>
      <c r="E1095" s="2" t="s">
        <v>1048</v>
      </c>
      <c r="F1095" s="3" t="s">
        <v>1049</v>
      </c>
      <c r="G1095" s="2" t="s">
        <v>34</v>
      </c>
      <c r="H1095" s="2" t="s">
        <v>1072</v>
      </c>
      <c r="I1095" s="2" t="s">
        <v>66</v>
      </c>
      <c r="J1095" s="4">
        <v>43288</v>
      </c>
      <c r="K1095" s="16" t="s">
        <v>8</v>
      </c>
      <c r="L1095" s="16" t="s">
        <v>12</v>
      </c>
      <c r="M1095" s="2" t="s">
        <v>58</v>
      </c>
      <c r="W1095" s="16" t="s">
        <v>111</v>
      </c>
      <c r="Y1095" s="7">
        <v>43317</v>
      </c>
      <c r="Z1095" s="16" t="s">
        <v>66</v>
      </c>
      <c r="AA1095" s="7">
        <v>43317</v>
      </c>
    </row>
    <row r="1096" spans="1:28" ht="15" customHeight="1">
      <c r="A1096" s="290"/>
      <c r="C1096" s="16">
        <v>79</v>
      </c>
      <c r="D1096" s="2">
        <v>21202</v>
      </c>
      <c r="E1096" s="2" t="s">
        <v>1050</v>
      </c>
      <c r="F1096" s="3" t="s">
        <v>1051</v>
      </c>
      <c r="G1096" s="16" t="s">
        <v>34</v>
      </c>
      <c r="H1096" s="2" t="s">
        <v>1073</v>
      </c>
      <c r="I1096" s="2" t="s">
        <v>66</v>
      </c>
      <c r="J1096" s="4">
        <v>43288</v>
      </c>
      <c r="K1096" s="16" t="s">
        <v>8</v>
      </c>
      <c r="L1096" s="16" t="s">
        <v>12</v>
      </c>
      <c r="M1096" s="2" t="s">
        <v>58</v>
      </c>
      <c r="W1096" s="16" t="s">
        <v>111</v>
      </c>
      <c r="Y1096" s="7">
        <v>43317</v>
      </c>
      <c r="Z1096" s="16" t="s">
        <v>66</v>
      </c>
      <c r="AA1096" s="7">
        <v>43325</v>
      </c>
      <c r="AB1096" s="2" t="s">
        <v>6593</v>
      </c>
    </row>
    <row r="1097" spans="1:28" ht="15" customHeight="1">
      <c r="A1097" s="290"/>
      <c r="C1097" s="16">
        <v>79</v>
      </c>
      <c r="D1097" s="2">
        <v>21203</v>
      </c>
      <c r="E1097" s="2" t="s">
        <v>1052</v>
      </c>
      <c r="F1097" s="3" t="s">
        <v>1053</v>
      </c>
      <c r="G1097" s="2" t="s">
        <v>34</v>
      </c>
      <c r="H1097" s="2" t="s">
        <v>1074</v>
      </c>
      <c r="I1097" s="2" t="s">
        <v>66</v>
      </c>
      <c r="J1097" s="4">
        <v>43288</v>
      </c>
      <c r="K1097" s="16" t="s">
        <v>8</v>
      </c>
      <c r="L1097" s="16" t="s">
        <v>12</v>
      </c>
      <c r="M1097" s="2" t="s">
        <v>15</v>
      </c>
      <c r="W1097" s="16" t="s">
        <v>110</v>
      </c>
      <c r="Y1097" s="7">
        <v>43317</v>
      </c>
      <c r="Z1097" s="16" t="s">
        <v>66</v>
      </c>
      <c r="AA1097" s="7">
        <v>43346</v>
      </c>
    </row>
    <row r="1098" spans="1:28" ht="15" customHeight="1">
      <c r="A1098" s="290"/>
      <c r="C1098" s="16">
        <v>79</v>
      </c>
      <c r="D1098" s="16">
        <v>21204</v>
      </c>
      <c r="E1098" s="16" t="s">
        <v>1054</v>
      </c>
      <c r="F1098" s="3" t="s">
        <v>1055</v>
      </c>
      <c r="G1098" s="16" t="s">
        <v>34</v>
      </c>
      <c r="H1098" s="16" t="s">
        <v>1075</v>
      </c>
      <c r="I1098" s="16" t="s">
        <v>66</v>
      </c>
      <c r="J1098" s="45">
        <v>43288</v>
      </c>
      <c r="K1098" s="16" t="s">
        <v>8</v>
      </c>
      <c r="L1098" s="16" t="s">
        <v>12</v>
      </c>
      <c r="M1098" s="16" t="s">
        <v>57</v>
      </c>
      <c r="N1098" s="16"/>
      <c r="W1098" s="16" t="s">
        <v>61</v>
      </c>
      <c r="X1098" s="16"/>
      <c r="Y1098" s="45">
        <v>43317</v>
      </c>
      <c r="Z1098" s="16" t="s">
        <v>66</v>
      </c>
      <c r="AA1098" s="45">
        <v>43324</v>
      </c>
      <c r="AB1098" s="16"/>
    </row>
    <row r="1099" spans="1:28" ht="15" customHeight="1">
      <c r="A1099" s="290"/>
      <c r="C1099" s="16">
        <v>79</v>
      </c>
      <c r="D1099" s="2">
        <v>21205</v>
      </c>
      <c r="E1099" s="2" t="s">
        <v>1056</v>
      </c>
      <c r="F1099" s="3" t="s">
        <v>1057</v>
      </c>
      <c r="G1099" s="2" t="s">
        <v>34</v>
      </c>
      <c r="H1099" s="2" t="s">
        <v>1076</v>
      </c>
      <c r="I1099" s="2" t="s">
        <v>66</v>
      </c>
      <c r="J1099" s="4">
        <v>43288</v>
      </c>
      <c r="K1099" s="16" t="s">
        <v>8</v>
      </c>
      <c r="L1099" s="16" t="s">
        <v>12</v>
      </c>
      <c r="M1099" s="2" t="s">
        <v>57</v>
      </c>
      <c r="W1099" s="16" t="s">
        <v>64</v>
      </c>
      <c r="Y1099" s="7">
        <v>43317</v>
      </c>
      <c r="Z1099" s="16" t="s">
        <v>67</v>
      </c>
      <c r="AA1099" s="7" t="s">
        <v>3111</v>
      </c>
    </row>
    <row r="1100" spans="1:28" ht="15" customHeight="1">
      <c r="A1100" s="290"/>
      <c r="C1100" s="16">
        <v>79</v>
      </c>
      <c r="D1100" s="2">
        <v>21206</v>
      </c>
      <c r="E1100" s="2" t="s">
        <v>1058</v>
      </c>
      <c r="F1100" s="3" t="s">
        <v>1059</v>
      </c>
      <c r="G1100" s="2" t="s">
        <v>34</v>
      </c>
      <c r="H1100" s="2" t="s">
        <v>1077</v>
      </c>
      <c r="I1100" s="2" t="s">
        <v>66</v>
      </c>
      <c r="J1100" s="4">
        <v>43288</v>
      </c>
      <c r="K1100" s="16" t="s">
        <v>8</v>
      </c>
      <c r="L1100" s="16" t="s">
        <v>12</v>
      </c>
      <c r="M1100" s="2" t="s">
        <v>57</v>
      </c>
      <c r="W1100" s="16" t="s">
        <v>61</v>
      </c>
      <c r="Y1100" s="7">
        <v>43317</v>
      </c>
      <c r="Z1100" s="16" t="s">
        <v>66</v>
      </c>
      <c r="AA1100" s="7">
        <v>43352</v>
      </c>
    </row>
    <row r="1101" spans="1:28" ht="15" customHeight="1">
      <c r="A1101" s="290"/>
      <c r="C1101" s="16">
        <v>79</v>
      </c>
      <c r="D1101" s="2">
        <v>21221</v>
      </c>
      <c r="E1101" s="2" t="s">
        <v>1060</v>
      </c>
      <c r="F1101" s="3" t="s">
        <v>1061</v>
      </c>
      <c r="G1101" s="2" t="s">
        <v>4</v>
      </c>
      <c r="H1101" s="2" t="s">
        <v>1078</v>
      </c>
      <c r="I1101" s="2" t="s">
        <v>66</v>
      </c>
      <c r="J1101" s="4">
        <v>43288</v>
      </c>
      <c r="K1101" s="16" t="s">
        <v>8</v>
      </c>
      <c r="L1101" s="16" t="s">
        <v>12</v>
      </c>
      <c r="M1101" s="2" t="s">
        <v>257</v>
      </c>
      <c r="W1101" s="16" t="s">
        <v>110</v>
      </c>
      <c r="Y1101" s="7">
        <v>43317</v>
      </c>
      <c r="Z1101" s="16" t="s">
        <v>66</v>
      </c>
      <c r="AA1101" s="7">
        <v>43317</v>
      </c>
    </row>
    <row r="1102" spans="1:28" ht="15" customHeight="1">
      <c r="A1102" s="290"/>
      <c r="C1102" s="16">
        <v>79</v>
      </c>
      <c r="D1102" s="2">
        <v>21222</v>
      </c>
      <c r="E1102" s="2" t="s">
        <v>1062</v>
      </c>
      <c r="F1102" s="3" t="s">
        <v>1063</v>
      </c>
      <c r="G1102" s="16" t="s">
        <v>34</v>
      </c>
      <c r="H1102" s="2" t="s">
        <v>1079</v>
      </c>
      <c r="I1102" s="2" t="s">
        <v>66</v>
      </c>
      <c r="J1102" s="4">
        <v>43288</v>
      </c>
      <c r="K1102" s="16" t="s">
        <v>8</v>
      </c>
      <c r="L1102" s="16" t="s">
        <v>12</v>
      </c>
      <c r="M1102" s="2" t="s">
        <v>197</v>
      </c>
      <c r="W1102" s="16" t="s">
        <v>63</v>
      </c>
      <c r="Y1102" s="7">
        <v>43317</v>
      </c>
      <c r="Z1102" s="16" t="s">
        <v>67</v>
      </c>
      <c r="AA1102" s="7" t="s">
        <v>3111</v>
      </c>
    </row>
    <row r="1103" spans="1:28" ht="15.75" customHeight="1" thickBot="1">
      <c r="A1103" s="291"/>
      <c r="C1103" s="28">
        <v>79</v>
      </c>
      <c r="D1103" s="28">
        <v>21223</v>
      </c>
      <c r="E1103" s="28" t="s">
        <v>1064</v>
      </c>
      <c r="F1103" s="29" t="s">
        <v>1065</v>
      </c>
      <c r="G1103" s="28" t="s">
        <v>34</v>
      </c>
      <c r="H1103" s="28" t="s">
        <v>1080</v>
      </c>
      <c r="I1103" s="28" t="s">
        <v>66</v>
      </c>
      <c r="J1103" s="30">
        <v>43288</v>
      </c>
      <c r="K1103" s="28" t="s">
        <v>8</v>
      </c>
      <c r="L1103" s="28" t="s">
        <v>12</v>
      </c>
      <c r="M1103" s="28" t="s">
        <v>104</v>
      </c>
      <c r="N1103" s="28"/>
      <c r="O1103" s="226"/>
      <c r="P1103" s="28"/>
      <c r="Q1103" s="226"/>
      <c r="R1103" s="28"/>
      <c r="S1103" s="28"/>
      <c r="T1103" s="28"/>
      <c r="U1103" s="28"/>
      <c r="V1103" s="28"/>
      <c r="W1103" s="28" t="s">
        <v>111</v>
      </c>
      <c r="X1103" s="28"/>
      <c r="Y1103" s="30">
        <v>43317</v>
      </c>
      <c r="Z1103" s="28" t="s">
        <v>66</v>
      </c>
      <c r="AA1103" s="30">
        <v>43402</v>
      </c>
      <c r="AB1103" s="28"/>
    </row>
    <row r="1104" spans="1:28" ht="15.75" customHeight="1" thickTop="1">
      <c r="A1104" s="289" t="s">
        <v>3129</v>
      </c>
      <c r="C1104" s="16">
        <v>80</v>
      </c>
      <c r="D1104" s="16">
        <v>21207</v>
      </c>
      <c r="E1104" s="16" t="s">
        <v>1001</v>
      </c>
      <c r="F1104" s="3">
        <v>28909172104324</v>
      </c>
      <c r="G1104" s="16" t="s">
        <v>34</v>
      </c>
      <c r="H1104" s="16" t="s">
        <v>1019</v>
      </c>
      <c r="I1104" s="16" t="s">
        <v>66</v>
      </c>
      <c r="J1104" s="45">
        <v>43288</v>
      </c>
      <c r="K1104" s="16" t="s">
        <v>8</v>
      </c>
      <c r="L1104" s="16" t="s">
        <v>12</v>
      </c>
      <c r="M1104" s="16" t="s">
        <v>104</v>
      </c>
      <c r="N1104" s="16"/>
      <c r="W1104" s="16" t="s">
        <v>62</v>
      </c>
      <c r="X1104" s="16"/>
      <c r="Y1104" s="45">
        <v>43317</v>
      </c>
      <c r="Z1104" s="16" t="s">
        <v>66</v>
      </c>
      <c r="AA1104" s="45">
        <v>43325</v>
      </c>
      <c r="AB1104" s="16"/>
    </row>
    <row r="1105" spans="1:28" ht="15" customHeight="1">
      <c r="A1105" s="290"/>
      <c r="C1105" s="16">
        <v>80</v>
      </c>
      <c r="D1105" s="2">
        <v>21208</v>
      </c>
      <c r="E1105" s="2" t="s">
        <v>1002</v>
      </c>
      <c r="F1105" s="3">
        <v>29606012201758</v>
      </c>
      <c r="G1105" s="2" t="s">
        <v>34</v>
      </c>
      <c r="H1105" s="2" t="s">
        <v>1020</v>
      </c>
      <c r="I1105" s="2" t="s">
        <v>66</v>
      </c>
      <c r="J1105" s="4">
        <v>43288</v>
      </c>
      <c r="K1105" s="16" t="s">
        <v>8</v>
      </c>
      <c r="L1105" s="16" t="s">
        <v>12</v>
      </c>
      <c r="M1105" s="2" t="s">
        <v>58</v>
      </c>
      <c r="W1105" s="16" t="s">
        <v>62</v>
      </c>
      <c r="X1105" s="2" t="s">
        <v>66</v>
      </c>
      <c r="Y1105" s="7">
        <v>43317</v>
      </c>
      <c r="Z1105" s="16" t="s">
        <v>66</v>
      </c>
      <c r="AA1105" s="7">
        <v>43360</v>
      </c>
    </row>
    <row r="1106" spans="1:28" ht="15" customHeight="1">
      <c r="A1106" s="290"/>
      <c r="C1106" s="16">
        <v>80</v>
      </c>
      <c r="D1106" s="2">
        <v>21209</v>
      </c>
      <c r="E1106" s="2" t="s">
        <v>1003</v>
      </c>
      <c r="F1106" s="3">
        <v>29212122400227</v>
      </c>
      <c r="G1106" s="2" t="s">
        <v>34</v>
      </c>
      <c r="H1106" s="2" t="s">
        <v>1021</v>
      </c>
      <c r="I1106" s="2" t="s">
        <v>66</v>
      </c>
      <c r="J1106" s="4">
        <v>43288</v>
      </c>
      <c r="K1106" s="16" t="s">
        <v>8</v>
      </c>
      <c r="L1106" s="16" t="s">
        <v>12</v>
      </c>
      <c r="M1106" s="2" t="s">
        <v>103</v>
      </c>
      <c r="W1106" s="16" t="s">
        <v>62</v>
      </c>
      <c r="X1106" s="16" t="s">
        <v>66</v>
      </c>
      <c r="Y1106" s="7">
        <v>43317</v>
      </c>
      <c r="Z1106" s="16" t="s">
        <v>66</v>
      </c>
      <c r="AA1106" s="7">
        <v>43360</v>
      </c>
    </row>
    <row r="1107" spans="1:28" ht="15" customHeight="1">
      <c r="A1107" s="290"/>
      <c r="C1107" s="16">
        <v>80</v>
      </c>
      <c r="D1107" s="2">
        <v>21210</v>
      </c>
      <c r="E1107" s="2" t="s">
        <v>1004</v>
      </c>
      <c r="F1107" s="3">
        <v>29308102102391</v>
      </c>
      <c r="G1107" s="2" t="s">
        <v>83</v>
      </c>
      <c r="H1107" s="2" t="s">
        <v>1022</v>
      </c>
      <c r="I1107" s="2" t="s">
        <v>66</v>
      </c>
      <c r="J1107" s="4">
        <v>43288</v>
      </c>
      <c r="K1107" s="16" t="s">
        <v>8</v>
      </c>
      <c r="L1107" s="16" t="s">
        <v>12</v>
      </c>
      <c r="M1107" s="2" t="s">
        <v>57</v>
      </c>
      <c r="W1107" s="16" t="s">
        <v>63</v>
      </c>
      <c r="Y1107" s="7">
        <v>43317</v>
      </c>
      <c r="Z1107" s="16" t="s">
        <v>67</v>
      </c>
      <c r="AA1107" s="7" t="s">
        <v>3111</v>
      </c>
    </row>
    <row r="1108" spans="1:28" ht="15" customHeight="1">
      <c r="A1108" s="290"/>
      <c r="C1108" s="16">
        <v>80</v>
      </c>
      <c r="D1108" s="2">
        <v>21211</v>
      </c>
      <c r="E1108" s="2" t="s">
        <v>1005</v>
      </c>
      <c r="F1108" s="3">
        <v>29510142600606</v>
      </c>
      <c r="G1108" s="2" t="s">
        <v>34</v>
      </c>
      <c r="H1108" s="2" t="s">
        <v>1023</v>
      </c>
      <c r="I1108" s="2" t="s">
        <v>66</v>
      </c>
      <c r="J1108" s="4">
        <v>43288</v>
      </c>
      <c r="K1108" s="16" t="s">
        <v>8</v>
      </c>
      <c r="L1108" s="16" t="s">
        <v>12</v>
      </c>
      <c r="M1108" s="2" t="s">
        <v>58</v>
      </c>
      <c r="W1108" s="16" t="s">
        <v>59</v>
      </c>
      <c r="X1108" s="16" t="s">
        <v>66</v>
      </c>
      <c r="Y1108" s="7">
        <v>43317</v>
      </c>
      <c r="Z1108" s="16" t="s">
        <v>67</v>
      </c>
      <c r="AA1108" s="7" t="s">
        <v>3111</v>
      </c>
    </row>
    <row r="1109" spans="1:28" ht="15" customHeight="1">
      <c r="A1109" s="290"/>
      <c r="C1109" s="16">
        <v>80</v>
      </c>
      <c r="D1109" s="2">
        <v>21212</v>
      </c>
      <c r="E1109" s="2" t="s">
        <v>1006</v>
      </c>
      <c r="F1109" s="3">
        <v>29601220102842</v>
      </c>
      <c r="G1109" s="2" t="s">
        <v>34</v>
      </c>
      <c r="H1109" s="2" t="s">
        <v>1024</v>
      </c>
      <c r="I1109" s="2" t="s">
        <v>66</v>
      </c>
      <c r="J1109" s="4">
        <v>43288</v>
      </c>
      <c r="K1109" s="16" t="s">
        <v>8</v>
      </c>
      <c r="L1109" s="16" t="s">
        <v>12</v>
      </c>
      <c r="M1109" s="2" t="s">
        <v>104</v>
      </c>
      <c r="W1109" s="16" t="s">
        <v>60</v>
      </c>
      <c r="Y1109" s="7">
        <v>43317</v>
      </c>
      <c r="Z1109" s="16" t="s">
        <v>66</v>
      </c>
      <c r="AA1109" s="7">
        <v>43325</v>
      </c>
    </row>
    <row r="1110" spans="1:28" ht="15" customHeight="1">
      <c r="A1110" s="290"/>
      <c r="C1110" s="16">
        <v>80</v>
      </c>
      <c r="D1110" s="16">
        <v>21213</v>
      </c>
      <c r="E1110" s="16" t="s">
        <v>1007</v>
      </c>
      <c r="F1110" s="3">
        <v>29202250100061</v>
      </c>
      <c r="G1110" s="16" t="s">
        <v>34</v>
      </c>
      <c r="H1110" s="16" t="s">
        <v>1025</v>
      </c>
      <c r="I1110" s="16" t="s">
        <v>66</v>
      </c>
      <c r="J1110" s="45">
        <v>43288</v>
      </c>
      <c r="K1110" s="16" t="s">
        <v>8</v>
      </c>
      <c r="L1110" s="16" t="s">
        <v>12</v>
      </c>
      <c r="M1110" s="16" t="s">
        <v>257</v>
      </c>
      <c r="N1110" s="16"/>
      <c r="W1110" s="16" t="s">
        <v>60</v>
      </c>
      <c r="X1110" s="16"/>
      <c r="Y1110" s="45">
        <v>43317</v>
      </c>
      <c r="Z1110" s="16" t="s">
        <v>66</v>
      </c>
      <c r="AA1110" s="45">
        <v>43325</v>
      </c>
    </row>
    <row r="1111" spans="1:28" ht="15" customHeight="1">
      <c r="A1111" s="290"/>
      <c r="C1111" s="16">
        <v>80</v>
      </c>
      <c r="D1111" s="2">
        <v>21214</v>
      </c>
      <c r="E1111" s="2" t="s">
        <v>1008</v>
      </c>
      <c r="F1111" s="3">
        <v>29604180103491</v>
      </c>
      <c r="G1111" s="2" t="s">
        <v>34</v>
      </c>
      <c r="H1111" s="2" t="s">
        <v>1026</v>
      </c>
      <c r="I1111" s="2" t="s">
        <v>66</v>
      </c>
      <c r="J1111" s="4">
        <v>43288</v>
      </c>
      <c r="K1111" s="16" t="s">
        <v>8</v>
      </c>
      <c r="L1111" s="16" t="s">
        <v>12</v>
      </c>
      <c r="M1111" s="2" t="s">
        <v>103</v>
      </c>
      <c r="W1111" s="16" t="s">
        <v>62</v>
      </c>
      <c r="Y1111" s="7">
        <v>43317</v>
      </c>
      <c r="Z1111" s="16" t="s">
        <v>67</v>
      </c>
      <c r="AA1111" s="7" t="s">
        <v>3111</v>
      </c>
    </row>
    <row r="1112" spans="1:28" ht="15" customHeight="1">
      <c r="A1112" s="290"/>
      <c r="C1112" s="16">
        <v>80</v>
      </c>
      <c r="D1112" s="2">
        <v>21215</v>
      </c>
      <c r="E1112" s="2" t="s">
        <v>1009</v>
      </c>
      <c r="F1112" s="3">
        <v>29504030102981</v>
      </c>
      <c r="G1112" s="2" t="s">
        <v>34</v>
      </c>
      <c r="H1112" s="2" t="s">
        <v>1027</v>
      </c>
      <c r="I1112" s="2" t="s">
        <v>66</v>
      </c>
      <c r="J1112" s="4">
        <v>43288</v>
      </c>
      <c r="K1112" s="16" t="s">
        <v>8</v>
      </c>
      <c r="L1112" s="16" t="s">
        <v>12</v>
      </c>
      <c r="M1112" s="2" t="s">
        <v>104</v>
      </c>
      <c r="W1112" s="16" t="s">
        <v>61</v>
      </c>
      <c r="Y1112" s="7">
        <v>43317</v>
      </c>
      <c r="Z1112" s="16" t="s">
        <v>66</v>
      </c>
      <c r="AA1112" s="7">
        <v>43324</v>
      </c>
    </row>
    <row r="1113" spans="1:28" ht="15" customHeight="1">
      <c r="A1113" s="290"/>
      <c r="C1113" s="16">
        <v>80</v>
      </c>
      <c r="D1113" s="2">
        <v>21216</v>
      </c>
      <c r="E1113" s="2" t="s">
        <v>1010</v>
      </c>
      <c r="F1113" s="3">
        <v>29403212105208</v>
      </c>
      <c r="G1113" s="2" t="s">
        <v>34</v>
      </c>
      <c r="H1113" s="2" t="s">
        <v>1028</v>
      </c>
      <c r="I1113" s="2" t="s">
        <v>66</v>
      </c>
      <c r="J1113" s="4">
        <v>43288</v>
      </c>
      <c r="K1113" s="16" t="s">
        <v>8</v>
      </c>
      <c r="L1113" s="16" t="s">
        <v>12</v>
      </c>
      <c r="M1113" s="2" t="s">
        <v>104</v>
      </c>
      <c r="W1113" s="16" t="s">
        <v>60</v>
      </c>
      <c r="Y1113" s="7">
        <v>43317</v>
      </c>
      <c r="Z1113" s="16" t="s">
        <v>66</v>
      </c>
      <c r="AA1113" s="7">
        <v>43325</v>
      </c>
    </row>
    <row r="1114" spans="1:28" ht="15" customHeight="1">
      <c r="A1114" s="290"/>
      <c r="C1114" s="16">
        <v>80</v>
      </c>
      <c r="D1114" s="2">
        <v>21217</v>
      </c>
      <c r="E1114" s="2" t="s">
        <v>1011</v>
      </c>
      <c r="F1114" s="3">
        <v>28908150200331</v>
      </c>
      <c r="G1114" s="2" t="s">
        <v>34</v>
      </c>
      <c r="H1114" s="2" t="s">
        <v>1029</v>
      </c>
      <c r="I1114" s="2" t="s">
        <v>66</v>
      </c>
      <c r="J1114" s="4">
        <v>43288</v>
      </c>
      <c r="K1114" s="16" t="s">
        <v>8</v>
      </c>
      <c r="L1114" s="16" t="s">
        <v>12</v>
      </c>
      <c r="M1114" s="2" t="s">
        <v>1000</v>
      </c>
      <c r="W1114" s="16" t="s">
        <v>63</v>
      </c>
      <c r="Y1114" s="7">
        <v>43317</v>
      </c>
      <c r="Z1114" s="16" t="s">
        <v>67</v>
      </c>
      <c r="AA1114" s="7" t="s">
        <v>3111</v>
      </c>
    </row>
    <row r="1115" spans="1:28" ht="15" customHeight="1">
      <c r="A1115" s="290"/>
      <c r="C1115" s="2">
        <v>80</v>
      </c>
      <c r="D1115" s="2">
        <v>21218</v>
      </c>
      <c r="E1115" s="2" t="s">
        <v>1012</v>
      </c>
      <c r="F1115" s="3">
        <v>29710270101662</v>
      </c>
      <c r="G1115" s="16" t="s">
        <v>83</v>
      </c>
      <c r="H1115" s="2" t="s">
        <v>1030</v>
      </c>
      <c r="I1115" s="16" t="s">
        <v>66</v>
      </c>
      <c r="J1115" s="4">
        <v>43288</v>
      </c>
      <c r="K1115" s="16" t="s">
        <v>8</v>
      </c>
      <c r="L1115" s="16" t="s">
        <v>12</v>
      </c>
      <c r="M1115" s="2" t="s">
        <v>104</v>
      </c>
      <c r="W1115" s="16" t="s">
        <v>62</v>
      </c>
      <c r="X1115" s="16" t="s">
        <v>66</v>
      </c>
      <c r="Y1115" s="7">
        <v>43317</v>
      </c>
      <c r="Z1115" s="16" t="s">
        <v>66</v>
      </c>
      <c r="AA1115" s="7">
        <v>43346</v>
      </c>
    </row>
    <row r="1116" spans="1:28" ht="15" customHeight="1">
      <c r="A1116" s="290"/>
      <c r="C1116" s="16">
        <v>80</v>
      </c>
      <c r="D1116" s="16">
        <v>21219</v>
      </c>
      <c r="E1116" s="16" t="s">
        <v>1013</v>
      </c>
      <c r="F1116" s="3">
        <v>28112150100265</v>
      </c>
      <c r="G1116" s="16" t="s">
        <v>34</v>
      </c>
      <c r="H1116" s="16" t="s">
        <v>1031</v>
      </c>
      <c r="I1116" s="16" t="s">
        <v>66</v>
      </c>
      <c r="J1116" s="45">
        <v>43288</v>
      </c>
      <c r="K1116" s="16" t="s">
        <v>8</v>
      </c>
      <c r="L1116" s="16" t="s">
        <v>12</v>
      </c>
      <c r="M1116" s="16" t="s">
        <v>104</v>
      </c>
      <c r="N1116" s="16"/>
      <c r="W1116" s="16" t="s">
        <v>61</v>
      </c>
      <c r="X1116" s="16"/>
      <c r="Y1116" s="45">
        <v>43317</v>
      </c>
      <c r="Z1116" s="16" t="s">
        <v>66</v>
      </c>
      <c r="AA1116" s="45">
        <v>43324</v>
      </c>
    </row>
    <row r="1117" spans="1:28" ht="15" customHeight="1">
      <c r="A1117" s="290"/>
      <c r="C1117" s="16">
        <v>80</v>
      </c>
      <c r="D1117" s="2">
        <v>21220</v>
      </c>
      <c r="E1117" s="2" t="s">
        <v>1014</v>
      </c>
      <c r="F1117" s="3">
        <v>29405272100453</v>
      </c>
      <c r="G1117" s="16" t="s">
        <v>34</v>
      </c>
      <c r="H1117" s="2" t="s">
        <v>1032</v>
      </c>
      <c r="I1117" s="16" t="s">
        <v>66</v>
      </c>
      <c r="J1117" s="4">
        <v>43288</v>
      </c>
      <c r="K1117" s="16" t="s">
        <v>8</v>
      </c>
      <c r="L1117" s="16" t="s">
        <v>12</v>
      </c>
      <c r="M1117" s="2" t="s">
        <v>15</v>
      </c>
      <c r="W1117" s="16" t="s">
        <v>61</v>
      </c>
      <c r="X1117" s="16" t="s">
        <v>66</v>
      </c>
      <c r="Y1117" s="7">
        <v>43317</v>
      </c>
      <c r="Z1117" s="16" t="s">
        <v>66</v>
      </c>
      <c r="AA1117" s="7">
        <v>43352</v>
      </c>
    </row>
    <row r="1118" spans="1:28" ht="15" customHeight="1">
      <c r="A1118" s="290"/>
      <c r="C1118" s="16">
        <v>80</v>
      </c>
      <c r="D1118" s="2">
        <v>21224</v>
      </c>
      <c r="E1118" s="2" t="s">
        <v>1015</v>
      </c>
      <c r="F1118" s="3">
        <v>29412110100171</v>
      </c>
      <c r="G1118" s="16" t="s">
        <v>34</v>
      </c>
      <c r="H1118" s="2" t="s">
        <v>1033</v>
      </c>
      <c r="I1118" s="16" t="s">
        <v>66</v>
      </c>
      <c r="J1118" s="4">
        <v>43288</v>
      </c>
      <c r="K1118" s="16" t="s">
        <v>8</v>
      </c>
      <c r="L1118" s="16" t="s">
        <v>12</v>
      </c>
      <c r="M1118" s="2" t="s">
        <v>104</v>
      </c>
      <c r="W1118" s="16" t="s">
        <v>61</v>
      </c>
      <c r="Y1118" s="7">
        <v>43317</v>
      </c>
      <c r="Z1118" s="16" t="s">
        <v>66</v>
      </c>
      <c r="AA1118" s="7">
        <v>43324</v>
      </c>
    </row>
    <row r="1119" spans="1:28" ht="15" customHeight="1">
      <c r="A1119" s="290"/>
      <c r="C1119" s="16">
        <v>80</v>
      </c>
      <c r="D1119" s="2">
        <v>21225</v>
      </c>
      <c r="E1119" s="2" t="s">
        <v>1016</v>
      </c>
      <c r="F1119" s="3">
        <v>29711150101681</v>
      </c>
      <c r="G1119" s="16" t="s">
        <v>83</v>
      </c>
      <c r="H1119" s="2" t="s">
        <v>1034</v>
      </c>
      <c r="I1119" s="16" t="s">
        <v>66</v>
      </c>
      <c r="J1119" s="4">
        <v>43288</v>
      </c>
      <c r="K1119" s="16" t="s">
        <v>8</v>
      </c>
      <c r="L1119" s="16" t="s">
        <v>12</v>
      </c>
      <c r="M1119" s="2" t="s">
        <v>104</v>
      </c>
      <c r="W1119" s="16" t="s">
        <v>60</v>
      </c>
      <c r="Y1119" s="7">
        <v>43317</v>
      </c>
      <c r="Z1119" s="16" t="s">
        <v>66</v>
      </c>
      <c r="AA1119" s="7">
        <v>43325</v>
      </c>
    </row>
    <row r="1120" spans="1:28" ht="15" customHeight="1">
      <c r="A1120" s="290"/>
      <c r="C1120" s="16">
        <v>80</v>
      </c>
      <c r="D1120" s="2">
        <v>21226</v>
      </c>
      <c r="E1120" s="2" t="s">
        <v>1017</v>
      </c>
      <c r="F1120" s="3">
        <v>29804278800076</v>
      </c>
      <c r="G1120" s="16" t="s">
        <v>83</v>
      </c>
      <c r="H1120" s="2" t="s">
        <v>1035</v>
      </c>
      <c r="I1120" s="16" t="s">
        <v>66</v>
      </c>
      <c r="J1120" s="4">
        <v>43288</v>
      </c>
      <c r="K1120" s="16" t="s">
        <v>8</v>
      </c>
      <c r="L1120" s="16" t="s">
        <v>12</v>
      </c>
      <c r="M1120" s="2" t="s">
        <v>104</v>
      </c>
      <c r="W1120" s="16" t="s">
        <v>60</v>
      </c>
      <c r="Y1120" s="7">
        <v>43317</v>
      </c>
      <c r="Z1120" s="16" t="s">
        <v>66</v>
      </c>
      <c r="AA1120" s="7">
        <v>43325</v>
      </c>
      <c r="AB1120" s="2" t="s">
        <v>3899</v>
      </c>
    </row>
    <row r="1121" spans="1:28" ht="15.75" customHeight="1" thickBot="1">
      <c r="A1121" s="291"/>
      <c r="C1121" s="28">
        <v>80</v>
      </c>
      <c r="D1121" s="28">
        <v>21227</v>
      </c>
      <c r="E1121" s="28" t="s">
        <v>1018</v>
      </c>
      <c r="F1121" s="29">
        <v>29006041100378</v>
      </c>
      <c r="G1121" s="28" t="s">
        <v>34</v>
      </c>
      <c r="H1121" s="28" t="s">
        <v>1036</v>
      </c>
      <c r="I1121" s="28" t="s">
        <v>66</v>
      </c>
      <c r="J1121" s="30">
        <v>43288</v>
      </c>
      <c r="K1121" s="28" t="s">
        <v>8</v>
      </c>
      <c r="L1121" s="28" t="s">
        <v>12</v>
      </c>
      <c r="M1121" s="28" t="s">
        <v>57</v>
      </c>
      <c r="N1121" s="28"/>
      <c r="O1121" s="226"/>
      <c r="P1121" s="28"/>
      <c r="Q1121" s="226"/>
      <c r="R1121" s="28"/>
      <c r="S1121" s="28"/>
      <c r="T1121" s="28"/>
      <c r="U1121" s="28"/>
      <c r="V1121" s="28"/>
      <c r="W1121" s="28" t="s">
        <v>61</v>
      </c>
      <c r="X1121" s="28"/>
      <c r="Y1121" s="30">
        <v>43317</v>
      </c>
      <c r="Z1121" s="28" t="s">
        <v>66</v>
      </c>
      <c r="AA1121" s="30">
        <v>43324</v>
      </c>
      <c r="AB1121" s="28"/>
    </row>
    <row r="1122" spans="1:28" ht="15.75" customHeight="1" thickTop="1">
      <c r="A1122" s="289" t="s">
        <v>3122</v>
      </c>
      <c r="C1122" s="16">
        <v>81</v>
      </c>
      <c r="D1122" s="2">
        <v>21229</v>
      </c>
      <c r="E1122" s="2" t="s">
        <v>850</v>
      </c>
      <c r="F1122" s="3" t="s">
        <v>851</v>
      </c>
      <c r="G1122" s="16" t="s">
        <v>3663</v>
      </c>
      <c r="H1122" s="2" t="s">
        <v>981</v>
      </c>
      <c r="I1122" s="16" t="s">
        <v>66</v>
      </c>
      <c r="J1122" s="4">
        <v>43295</v>
      </c>
      <c r="K1122" s="16" t="s">
        <v>8</v>
      </c>
      <c r="L1122" s="16" t="s">
        <v>12</v>
      </c>
      <c r="M1122" s="2" t="s">
        <v>999</v>
      </c>
      <c r="R1122" s="16">
        <v>3</v>
      </c>
      <c r="S1122" s="16">
        <v>2.5</v>
      </c>
      <c r="T1122" s="16">
        <v>3</v>
      </c>
      <c r="U1122" s="16">
        <v>2.5</v>
      </c>
      <c r="V1122" s="16">
        <v>3</v>
      </c>
      <c r="W1122" s="16" t="s">
        <v>60</v>
      </c>
      <c r="Y1122" s="7">
        <v>43324</v>
      </c>
      <c r="Z1122" s="25" t="s">
        <v>66</v>
      </c>
      <c r="AA1122" s="7">
        <v>43325</v>
      </c>
    </row>
    <row r="1123" spans="1:28" ht="15" customHeight="1">
      <c r="A1123" s="290"/>
      <c r="C1123" s="16">
        <v>81</v>
      </c>
      <c r="D1123" s="2">
        <v>21230</v>
      </c>
      <c r="E1123" s="2" t="s">
        <v>852</v>
      </c>
      <c r="F1123" s="3" t="s">
        <v>853</v>
      </c>
      <c r="G1123" s="16" t="s">
        <v>34</v>
      </c>
      <c r="H1123" s="2" t="s">
        <v>982</v>
      </c>
      <c r="I1123" s="16" t="s">
        <v>66</v>
      </c>
      <c r="J1123" s="4">
        <v>43295</v>
      </c>
      <c r="K1123" s="16" t="s">
        <v>8</v>
      </c>
      <c r="L1123" s="16" t="s">
        <v>12</v>
      </c>
      <c r="M1123" s="2" t="s">
        <v>104</v>
      </c>
      <c r="R1123" s="16">
        <v>3</v>
      </c>
      <c r="S1123" s="16">
        <v>3</v>
      </c>
      <c r="T1123" s="16">
        <v>2</v>
      </c>
      <c r="U1123" s="16">
        <v>3</v>
      </c>
      <c r="V1123" s="16">
        <v>3</v>
      </c>
      <c r="W1123" s="16" t="s">
        <v>169</v>
      </c>
      <c r="Y1123" s="7">
        <v>43324</v>
      </c>
      <c r="Z1123" s="16" t="s">
        <v>67</v>
      </c>
      <c r="AA1123" s="7" t="s">
        <v>3111</v>
      </c>
    </row>
    <row r="1124" spans="1:28" ht="15" customHeight="1">
      <c r="A1124" s="290"/>
      <c r="C1124" s="16">
        <v>81</v>
      </c>
      <c r="D1124" s="2">
        <v>21231</v>
      </c>
      <c r="E1124" s="2" t="s">
        <v>854</v>
      </c>
      <c r="F1124" s="3" t="s">
        <v>855</v>
      </c>
      <c r="G1124" s="16" t="s">
        <v>83</v>
      </c>
      <c r="H1124" s="2" t="s">
        <v>983</v>
      </c>
      <c r="I1124" s="16" t="s">
        <v>66</v>
      </c>
      <c r="J1124" s="4">
        <v>43295</v>
      </c>
      <c r="K1124" s="16" t="s">
        <v>8</v>
      </c>
      <c r="L1124" s="16" t="s">
        <v>12</v>
      </c>
      <c r="M1124" s="2" t="s">
        <v>107</v>
      </c>
      <c r="R1124" s="16">
        <v>3</v>
      </c>
      <c r="S1124" s="16">
        <v>3</v>
      </c>
      <c r="T1124" s="16">
        <v>3</v>
      </c>
      <c r="U1124" s="16">
        <v>2.5</v>
      </c>
      <c r="V1124" s="16">
        <v>3</v>
      </c>
      <c r="W1124" s="16" t="s">
        <v>60</v>
      </c>
      <c r="Y1124" s="7">
        <v>43324</v>
      </c>
      <c r="Z1124" s="16" t="s">
        <v>66</v>
      </c>
      <c r="AA1124" s="7">
        <v>43325</v>
      </c>
    </row>
    <row r="1125" spans="1:28" ht="15" customHeight="1">
      <c r="A1125" s="290"/>
      <c r="C1125" s="16">
        <v>81</v>
      </c>
      <c r="D1125" s="2">
        <v>21232</v>
      </c>
      <c r="E1125" s="2" t="s">
        <v>856</v>
      </c>
      <c r="F1125" s="3">
        <v>28902100101857</v>
      </c>
      <c r="G1125" s="16" t="s">
        <v>34</v>
      </c>
      <c r="H1125" s="2" t="s">
        <v>984</v>
      </c>
      <c r="I1125" s="16" t="s">
        <v>66</v>
      </c>
      <c r="J1125" s="4">
        <v>43295</v>
      </c>
      <c r="K1125" s="16" t="s">
        <v>8</v>
      </c>
      <c r="L1125" s="16" t="s">
        <v>12</v>
      </c>
      <c r="M1125" s="2" t="s">
        <v>109</v>
      </c>
      <c r="W1125" s="16" t="s">
        <v>63</v>
      </c>
      <c r="Y1125" s="7">
        <v>43324</v>
      </c>
      <c r="Z1125" s="16" t="s">
        <v>67</v>
      </c>
      <c r="AA1125" s="7" t="s">
        <v>3111</v>
      </c>
    </row>
    <row r="1126" spans="1:28" ht="15" customHeight="1">
      <c r="A1126" s="290"/>
      <c r="C1126" s="16">
        <v>81</v>
      </c>
      <c r="D1126" s="2">
        <v>21233</v>
      </c>
      <c r="E1126" s="2" t="s">
        <v>857</v>
      </c>
      <c r="F1126" s="3" t="s">
        <v>858</v>
      </c>
      <c r="G1126" s="16" t="s">
        <v>3663</v>
      </c>
      <c r="H1126" s="2" t="s">
        <v>985</v>
      </c>
      <c r="I1126" s="16" t="s">
        <v>66</v>
      </c>
      <c r="J1126" s="4">
        <v>43295</v>
      </c>
      <c r="K1126" s="16" t="s">
        <v>8</v>
      </c>
      <c r="L1126" s="16" t="s">
        <v>12</v>
      </c>
      <c r="M1126" s="2" t="s">
        <v>104</v>
      </c>
      <c r="R1126" s="16">
        <v>3</v>
      </c>
      <c r="S1126" s="16">
        <v>2</v>
      </c>
      <c r="T1126" s="16">
        <v>3</v>
      </c>
      <c r="U1126" s="16">
        <v>2</v>
      </c>
      <c r="V1126" s="16">
        <v>2</v>
      </c>
      <c r="W1126" s="16" t="s">
        <v>59</v>
      </c>
      <c r="X1126" s="16" t="s">
        <v>66</v>
      </c>
      <c r="Y1126" s="7">
        <v>43324</v>
      </c>
      <c r="Z1126" s="16" t="s">
        <v>67</v>
      </c>
      <c r="AA1126" s="7" t="s">
        <v>3111</v>
      </c>
    </row>
    <row r="1127" spans="1:28" ht="15" customHeight="1">
      <c r="A1127" s="290"/>
      <c r="C1127" s="16">
        <v>81</v>
      </c>
      <c r="D1127" s="2">
        <v>21234</v>
      </c>
      <c r="E1127" s="2" t="s">
        <v>859</v>
      </c>
      <c r="F1127" s="3" t="s">
        <v>860</v>
      </c>
      <c r="G1127" s="16" t="s">
        <v>83</v>
      </c>
      <c r="H1127" s="2" t="s">
        <v>986</v>
      </c>
      <c r="I1127" s="16" t="s">
        <v>66</v>
      </c>
      <c r="J1127" s="4">
        <v>43295</v>
      </c>
      <c r="K1127" s="16" t="s">
        <v>8</v>
      </c>
      <c r="L1127" s="16" t="s">
        <v>12</v>
      </c>
      <c r="M1127" s="2" t="s">
        <v>16</v>
      </c>
      <c r="W1127" s="16" t="s">
        <v>60</v>
      </c>
      <c r="Y1127" s="7">
        <v>43324</v>
      </c>
      <c r="Z1127" s="16" t="s">
        <v>66</v>
      </c>
      <c r="AA1127" s="7">
        <v>43325</v>
      </c>
    </row>
    <row r="1128" spans="1:28" ht="15" customHeight="1">
      <c r="A1128" s="290"/>
      <c r="C1128" s="16">
        <v>81</v>
      </c>
      <c r="D1128" s="2">
        <v>21235</v>
      </c>
      <c r="E1128" s="2" t="s">
        <v>861</v>
      </c>
      <c r="F1128" s="3" t="s">
        <v>862</v>
      </c>
      <c r="G1128" s="16" t="s">
        <v>4</v>
      </c>
      <c r="H1128" s="2" t="s">
        <v>987</v>
      </c>
      <c r="I1128" s="16" t="s">
        <v>66</v>
      </c>
      <c r="J1128" s="4">
        <v>43295</v>
      </c>
      <c r="K1128" s="16" t="s">
        <v>8</v>
      </c>
      <c r="L1128" s="16" t="s">
        <v>12</v>
      </c>
      <c r="M1128" s="2" t="s">
        <v>104</v>
      </c>
      <c r="R1128" s="16">
        <v>3</v>
      </c>
      <c r="S1128" s="16">
        <v>3</v>
      </c>
      <c r="T1128" s="16">
        <v>2</v>
      </c>
      <c r="U1128" s="16">
        <v>2</v>
      </c>
      <c r="V1128" s="16">
        <v>3</v>
      </c>
      <c r="W1128" s="16" t="s">
        <v>61</v>
      </c>
      <c r="X1128" s="16" t="s">
        <v>66</v>
      </c>
      <c r="Y1128" s="7">
        <v>43324</v>
      </c>
      <c r="Z1128" s="16" t="s">
        <v>66</v>
      </c>
      <c r="AA1128" s="7">
        <v>43352</v>
      </c>
      <c r="AB1128" s="2" t="s">
        <v>6623</v>
      </c>
    </row>
    <row r="1129" spans="1:28" ht="15" customHeight="1">
      <c r="A1129" s="290"/>
      <c r="C1129" s="16">
        <v>81</v>
      </c>
      <c r="D1129" s="16">
        <v>21236</v>
      </c>
      <c r="E1129" s="16" t="s">
        <v>863</v>
      </c>
      <c r="F1129" s="3" t="s">
        <v>864</v>
      </c>
      <c r="G1129" s="16" t="s">
        <v>4</v>
      </c>
      <c r="H1129" s="16" t="s">
        <v>988</v>
      </c>
      <c r="I1129" s="16" t="s">
        <v>66</v>
      </c>
      <c r="J1129" s="45">
        <v>43295</v>
      </c>
      <c r="K1129" s="16" t="s">
        <v>8</v>
      </c>
      <c r="L1129" s="16" t="s">
        <v>12</v>
      </c>
      <c r="M1129" s="16" t="s">
        <v>104</v>
      </c>
      <c r="N1129" s="16"/>
      <c r="R1129" s="16">
        <v>3</v>
      </c>
      <c r="S1129" s="16">
        <v>3</v>
      </c>
      <c r="T1129" s="16">
        <v>2</v>
      </c>
      <c r="U1129" s="16">
        <v>2.5</v>
      </c>
      <c r="V1129" s="16">
        <v>3</v>
      </c>
      <c r="W1129" s="16" t="s">
        <v>59</v>
      </c>
      <c r="X1129" s="16" t="s">
        <v>66</v>
      </c>
      <c r="Y1129" s="45">
        <v>43324</v>
      </c>
      <c r="Z1129" s="16" t="s">
        <v>67</v>
      </c>
      <c r="AA1129" s="45" t="s">
        <v>3111</v>
      </c>
      <c r="AB1129" s="16"/>
    </row>
    <row r="1130" spans="1:28" ht="15" customHeight="1">
      <c r="A1130" s="290"/>
      <c r="C1130" s="16">
        <v>81</v>
      </c>
      <c r="D1130" s="16">
        <v>21237</v>
      </c>
      <c r="E1130" s="16" t="s">
        <v>865</v>
      </c>
      <c r="F1130" s="3" t="s">
        <v>866</v>
      </c>
      <c r="G1130" s="16" t="s">
        <v>4</v>
      </c>
      <c r="H1130" s="16" t="s">
        <v>989</v>
      </c>
      <c r="I1130" s="16" t="s">
        <v>66</v>
      </c>
      <c r="J1130" s="45">
        <v>43295</v>
      </c>
      <c r="K1130" s="16" t="s">
        <v>8</v>
      </c>
      <c r="L1130" s="16" t="s">
        <v>12</v>
      </c>
      <c r="M1130" s="16" t="s">
        <v>257</v>
      </c>
      <c r="N1130" s="16"/>
      <c r="R1130" s="16">
        <v>3</v>
      </c>
      <c r="S1130" s="16">
        <v>2</v>
      </c>
      <c r="T1130" s="16">
        <v>2</v>
      </c>
      <c r="U1130" s="16">
        <v>2</v>
      </c>
      <c r="V1130" s="16">
        <v>3</v>
      </c>
      <c r="W1130" s="16" t="s">
        <v>62</v>
      </c>
      <c r="X1130" s="16"/>
      <c r="Y1130" s="45">
        <v>43324</v>
      </c>
      <c r="Z1130" s="16" t="s">
        <v>66</v>
      </c>
      <c r="AA1130" s="45">
        <v>43346</v>
      </c>
      <c r="AB1130" s="16"/>
    </row>
    <row r="1131" spans="1:28" ht="15" customHeight="1">
      <c r="A1131" s="290"/>
      <c r="C1131" s="16">
        <v>81</v>
      </c>
      <c r="D1131" s="2">
        <v>21238</v>
      </c>
      <c r="E1131" s="2" t="s">
        <v>867</v>
      </c>
      <c r="F1131" s="3" t="s">
        <v>868</v>
      </c>
      <c r="G1131" s="16" t="s">
        <v>34</v>
      </c>
      <c r="H1131" s="2" t="s">
        <v>990</v>
      </c>
      <c r="I1131" s="2" t="s">
        <v>66</v>
      </c>
      <c r="J1131" s="4">
        <v>43295</v>
      </c>
      <c r="K1131" s="16" t="s">
        <v>8</v>
      </c>
      <c r="L1131" s="16" t="s">
        <v>12</v>
      </c>
      <c r="M1131" s="2" t="s">
        <v>104</v>
      </c>
      <c r="R1131" s="16">
        <v>3</v>
      </c>
      <c r="S1131" s="16">
        <v>3</v>
      </c>
      <c r="T1131" s="16">
        <v>3</v>
      </c>
      <c r="U1131" s="16">
        <v>2</v>
      </c>
      <c r="V1131" s="16">
        <v>3</v>
      </c>
      <c r="W1131" s="16" t="s">
        <v>60</v>
      </c>
      <c r="Y1131" s="7">
        <v>43324</v>
      </c>
      <c r="Z1131" s="16" t="s">
        <v>66</v>
      </c>
      <c r="AA1131" s="7">
        <v>43325</v>
      </c>
    </row>
    <row r="1132" spans="1:28" ht="15" customHeight="1">
      <c r="A1132" s="290"/>
      <c r="C1132" s="16">
        <v>81</v>
      </c>
      <c r="D1132" s="2">
        <v>21239</v>
      </c>
      <c r="E1132" s="2" t="s">
        <v>869</v>
      </c>
      <c r="F1132" s="3" t="s">
        <v>870</v>
      </c>
      <c r="G1132" s="16" t="s">
        <v>34</v>
      </c>
      <c r="H1132" s="2" t="s">
        <v>991</v>
      </c>
      <c r="I1132" s="2" t="s">
        <v>66</v>
      </c>
      <c r="J1132" s="4">
        <v>43295</v>
      </c>
      <c r="K1132" s="16" t="s">
        <v>8</v>
      </c>
      <c r="L1132" s="16" t="s">
        <v>12</v>
      </c>
      <c r="M1132" s="2" t="s">
        <v>104</v>
      </c>
      <c r="R1132" s="16">
        <v>3</v>
      </c>
      <c r="S1132" s="16">
        <v>3</v>
      </c>
      <c r="T1132" s="16">
        <v>2</v>
      </c>
      <c r="U1132" s="16">
        <v>2</v>
      </c>
      <c r="V1132" s="16">
        <v>3</v>
      </c>
      <c r="W1132" s="16" t="s">
        <v>62</v>
      </c>
      <c r="Y1132" s="7">
        <v>43324</v>
      </c>
      <c r="Z1132" s="16" t="s">
        <v>66</v>
      </c>
      <c r="AA1132" s="7">
        <v>43325</v>
      </c>
    </row>
    <row r="1133" spans="1:28" ht="15" customHeight="1">
      <c r="A1133" s="290"/>
      <c r="C1133" s="16">
        <v>81</v>
      </c>
      <c r="D1133" s="2">
        <v>21240</v>
      </c>
      <c r="E1133" s="2" t="s">
        <v>871</v>
      </c>
      <c r="F1133" s="3" t="s">
        <v>872</v>
      </c>
      <c r="G1133" s="16" t="s">
        <v>34</v>
      </c>
      <c r="H1133" s="2" t="s">
        <v>992</v>
      </c>
      <c r="I1133" s="2" t="s">
        <v>66</v>
      </c>
      <c r="J1133" s="4">
        <v>43295</v>
      </c>
      <c r="K1133" s="16" t="s">
        <v>8</v>
      </c>
      <c r="L1133" s="16" t="s">
        <v>12</v>
      </c>
      <c r="M1133" s="2" t="s">
        <v>104</v>
      </c>
      <c r="R1133" s="16">
        <v>3</v>
      </c>
      <c r="S1133" s="16">
        <v>3</v>
      </c>
      <c r="T1133" s="16">
        <v>2</v>
      </c>
      <c r="U1133" s="16">
        <v>2</v>
      </c>
      <c r="V1133" s="16">
        <v>3</v>
      </c>
      <c r="W1133" s="16" t="s">
        <v>62</v>
      </c>
      <c r="Y1133" s="7">
        <v>43324</v>
      </c>
      <c r="Z1133" s="16" t="s">
        <v>66</v>
      </c>
      <c r="AA1133" s="7">
        <v>43325</v>
      </c>
    </row>
    <row r="1134" spans="1:28" ht="15" customHeight="1">
      <c r="A1134" s="290"/>
      <c r="C1134" s="16">
        <v>81</v>
      </c>
      <c r="D1134" s="2">
        <v>21241</v>
      </c>
      <c r="E1134" s="2" t="s">
        <v>873</v>
      </c>
      <c r="F1134" s="3" t="s">
        <v>874</v>
      </c>
      <c r="G1134" s="16" t="s">
        <v>34</v>
      </c>
      <c r="H1134" s="16" t="s">
        <v>993</v>
      </c>
      <c r="I1134" s="2" t="s">
        <v>66</v>
      </c>
      <c r="J1134" s="4">
        <v>43295</v>
      </c>
      <c r="K1134" s="16" t="s">
        <v>8</v>
      </c>
      <c r="L1134" s="16" t="s">
        <v>12</v>
      </c>
      <c r="M1134" s="2" t="s">
        <v>55</v>
      </c>
      <c r="R1134" s="16">
        <v>3</v>
      </c>
      <c r="S1134" s="16">
        <v>2.5</v>
      </c>
      <c r="T1134" s="16">
        <v>2</v>
      </c>
      <c r="U1134" s="16">
        <v>3</v>
      </c>
      <c r="V1134" s="16">
        <v>3</v>
      </c>
      <c r="W1134" s="16" t="s">
        <v>61</v>
      </c>
      <c r="Y1134" s="7">
        <v>43324</v>
      </c>
      <c r="Z1134" s="16" t="s">
        <v>66</v>
      </c>
      <c r="AA1134" s="7">
        <v>43352</v>
      </c>
    </row>
    <row r="1135" spans="1:28" ht="15" customHeight="1">
      <c r="A1135" s="290"/>
      <c r="C1135" s="16">
        <v>81</v>
      </c>
      <c r="D1135" s="2">
        <v>21242</v>
      </c>
      <c r="E1135" s="2" t="s">
        <v>875</v>
      </c>
      <c r="F1135" s="3" t="s">
        <v>876</v>
      </c>
      <c r="G1135" s="16" t="s">
        <v>83</v>
      </c>
      <c r="H1135" s="16" t="s">
        <v>994</v>
      </c>
      <c r="I1135" s="2" t="s">
        <v>66</v>
      </c>
      <c r="J1135" s="4">
        <v>43295</v>
      </c>
      <c r="K1135" s="16" t="s">
        <v>8</v>
      </c>
      <c r="L1135" s="16" t="s">
        <v>12</v>
      </c>
      <c r="M1135" s="2" t="s">
        <v>104</v>
      </c>
      <c r="W1135" s="16" t="s">
        <v>64</v>
      </c>
      <c r="Y1135" s="7">
        <v>43324</v>
      </c>
      <c r="Z1135" s="16" t="s">
        <v>67</v>
      </c>
      <c r="AA1135" s="7" t="s">
        <v>3111</v>
      </c>
    </row>
    <row r="1136" spans="1:28" ht="15" customHeight="1">
      <c r="A1136" s="290"/>
      <c r="C1136" s="16">
        <v>81</v>
      </c>
      <c r="D1136" s="16">
        <v>21243</v>
      </c>
      <c r="E1136" s="16" t="s">
        <v>877</v>
      </c>
      <c r="F1136" s="3" t="s">
        <v>878</v>
      </c>
      <c r="G1136" s="16" t="s">
        <v>4</v>
      </c>
      <c r="H1136" s="16" t="s">
        <v>995</v>
      </c>
      <c r="I1136" s="16" t="s">
        <v>66</v>
      </c>
      <c r="J1136" s="45">
        <v>43295</v>
      </c>
      <c r="K1136" s="16" t="s">
        <v>8</v>
      </c>
      <c r="L1136" s="16" t="s">
        <v>12</v>
      </c>
      <c r="M1136" s="16" t="s">
        <v>104</v>
      </c>
      <c r="N1136" s="16"/>
      <c r="R1136" s="16">
        <v>3</v>
      </c>
      <c r="S1136" s="16">
        <v>2.5</v>
      </c>
      <c r="T1136" s="16">
        <v>3</v>
      </c>
      <c r="U1136" s="16">
        <v>2</v>
      </c>
      <c r="V1136" s="16">
        <v>3</v>
      </c>
      <c r="W1136" s="16" t="s">
        <v>60</v>
      </c>
      <c r="X1136" s="16"/>
      <c r="Y1136" s="45">
        <v>43324</v>
      </c>
      <c r="Z1136" s="16" t="s">
        <v>66</v>
      </c>
      <c r="AA1136" s="45">
        <v>43325</v>
      </c>
      <c r="AB1136" s="16"/>
    </row>
    <row r="1137" spans="1:28" ht="15" customHeight="1">
      <c r="A1137" s="290"/>
      <c r="C1137" s="16">
        <v>81</v>
      </c>
      <c r="D1137" s="2">
        <v>21244</v>
      </c>
      <c r="E1137" s="2" t="s">
        <v>879</v>
      </c>
      <c r="F1137" s="3" t="s">
        <v>880</v>
      </c>
      <c r="G1137" s="16" t="s">
        <v>83</v>
      </c>
      <c r="H1137" s="2" t="s">
        <v>996</v>
      </c>
      <c r="I1137" s="2" t="s">
        <v>66</v>
      </c>
      <c r="J1137" s="4">
        <v>43295</v>
      </c>
      <c r="K1137" s="16" t="s">
        <v>8</v>
      </c>
      <c r="L1137" s="16" t="s">
        <v>12</v>
      </c>
      <c r="M1137" s="2" t="s">
        <v>257</v>
      </c>
      <c r="R1137" s="16">
        <v>3</v>
      </c>
      <c r="S1137" s="16">
        <v>3</v>
      </c>
      <c r="T1137" s="16">
        <v>2</v>
      </c>
      <c r="U1137" s="16">
        <v>3</v>
      </c>
      <c r="V1137" s="16">
        <v>3</v>
      </c>
      <c r="W1137" s="16" t="s">
        <v>61</v>
      </c>
      <c r="Y1137" s="7">
        <v>43324</v>
      </c>
      <c r="Z1137" s="16" t="s">
        <v>67</v>
      </c>
      <c r="AA1137" s="7" t="s">
        <v>3111</v>
      </c>
    </row>
    <row r="1138" spans="1:28" ht="15" customHeight="1">
      <c r="A1138" s="290"/>
      <c r="C1138" s="16">
        <v>81</v>
      </c>
      <c r="D1138" s="2">
        <v>21245</v>
      </c>
      <c r="E1138" s="2" t="s">
        <v>881</v>
      </c>
      <c r="F1138" s="3" t="s">
        <v>882</v>
      </c>
      <c r="G1138" s="16" t="s">
        <v>34</v>
      </c>
      <c r="H1138" s="2" t="s">
        <v>997</v>
      </c>
      <c r="I1138" s="2" t="s">
        <v>66</v>
      </c>
      <c r="J1138" s="4">
        <v>43295</v>
      </c>
      <c r="K1138" s="16" t="s">
        <v>8</v>
      </c>
      <c r="L1138" s="16" t="s">
        <v>12</v>
      </c>
      <c r="M1138" s="2" t="s">
        <v>257</v>
      </c>
      <c r="R1138" s="16">
        <v>3</v>
      </c>
      <c r="S1138" s="16">
        <v>2.5</v>
      </c>
      <c r="T1138" s="16">
        <v>2.5</v>
      </c>
      <c r="U1138" s="16">
        <v>2</v>
      </c>
      <c r="V1138" s="16">
        <v>3</v>
      </c>
      <c r="W1138" s="16" t="s">
        <v>62</v>
      </c>
      <c r="X1138" s="16" t="s">
        <v>66</v>
      </c>
      <c r="Y1138" s="7">
        <v>43324</v>
      </c>
      <c r="Z1138" s="16" t="s">
        <v>66</v>
      </c>
      <c r="AA1138" s="7">
        <v>43429</v>
      </c>
    </row>
    <row r="1139" spans="1:28" ht="15.75" customHeight="1" thickBot="1">
      <c r="A1139" s="291"/>
      <c r="C1139" s="28">
        <v>81</v>
      </c>
      <c r="D1139" s="28">
        <v>21246</v>
      </c>
      <c r="E1139" s="28" t="s">
        <v>979</v>
      </c>
      <c r="F1139" s="29" t="s">
        <v>980</v>
      </c>
      <c r="G1139" s="28" t="s">
        <v>4</v>
      </c>
      <c r="H1139" s="28" t="s">
        <v>998</v>
      </c>
      <c r="I1139" s="28" t="s">
        <v>66</v>
      </c>
      <c r="J1139" s="30">
        <v>43295</v>
      </c>
      <c r="K1139" s="28" t="s">
        <v>8</v>
      </c>
      <c r="L1139" s="28" t="s">
        <v>12</v>
      </c>
      <c r="M1139" s="28" t="s">
        <v>1000</v>
      </c>
      <c r="N1139" s="28"/>
      <c r="O1139" s="226"/>
      <c r="P1139" s="28"/>
      <c r="Q1139" s="226"/>
      <c r="R1139" s="28">
        <v>3</v>
      </c>
      <c r="S1139" s="28">
        <v>3</v>
      </c>
      <c r="T1139" s="28">
        <v>2</v>
      </c>
      <c r="U1139" s="28">
        <v>2</v>
      </c>
      <c r="V1139" s="28">
        <v>3</v>
      </c>
      <c r="W1139" s="28" t="s">
        <v>61</v>
      </c>
      <c r="X1139" s="28"/>
      <c r="Y1139" s="30">
        <v>43324</v>
      </c>
      <c r="Z1139" s="28" t="s">
        <v>66</v>
      </c>
      <c r="AA1139" s="30">
        <v>43352</v>
      </c>
      <c r="AB1139" s="28" t="s">
        <v>5970</v>
      </c>
    </row>
    <row r="1140" spans="1:28" ht="15.75" customHeight="1" thickTop="1">
      <c r="A1140" s="289" t="s">
        <v>3118</v>
      </c>
      <c r="C1140" s="16">
        <v>82</v>
      </c>
      <c r="D1140" s="2">
        <v>7595</v>
      </c>
      <c r="E1140" s="2" t="s">
        <v>830</v>
      </c>
      <c r="F1140" s="3">
        <v>29105250100146</v>
      </c>
      <c r="G1140" s="16" t="s">
        <v>129</v>
      </c>
      <c r="H1140" s="16" t="s">
        <v>845</v>
      </c>
      <c r="I1140" s="2" t="s">
        <v>67</v>
      </c>
      <c r="J1140" s="4">
        <v>43302</v>
      </c>
      <c r="K1140" s="16" t="s">
        <v>8</v>
      </c>
      <c r="L1140" s="16" t="s">
        <v>12</v>
      </c>
      <c r="M1140" s="2" t="s">
        <v>107</v>
      </c>
      <c r="R1140" s="16">
        <v>3</v>
      </c>
      <c r="S1140" s="16">
        <v>3</v>
      </c>
      <c r="T1140" s="16">
        <v>3</v>
      </c>
      <c r="U1140" s="16">
        <v>2</v>
      </c>
      <c r="V1140" s="16">
        <v>3</v>
      </c>
      <c r="W1140" s="16" t="s">
        <v>110</v>
      </c>
      <c r="Y1140" s="7">
        <v>43331</v>
      </c>
      <c r="Z1140" s="16" t="s">
        <v>66</v>
      </c>
      <c r="AA1140" s="7">
        <v>43346</v>
      </c>
    </row>
    <row r="1141" spans="1:28" ht="15" customHeight="1">
      <c r="A1141" s="290"/>
      <c r="C1141" s="16">
        <v>82</v>
      </c>
      <c r="D1141" s="2">
        <v>21338</v>
      </c>
      <c r="E1141" s="2" t="s">
        <v>805</v>
      </c>
      <c r="F1141" s="3">
        <v>28509050103337</v>
      </c>
      <c r="G1141" s="16" t="s">
        <v>34</v>
      </c>
      <c r="H1141" s="16" t="s">
        <v>831</v>
      </c>
      <c r="I1141" s="2" t="s">
        <v>66</v>
      </c>
      <c r="J1141" s="4">
        <v>43302</v>
      </c>
      <c r="K1141" s="16" t="s">
        <v>8</v>
      </c>
      <c r="L1141" s="16" t="s">
        <v>12</v>
      </c>
      <c r="M1141" s="2" t="s">
        <v>846</v>
      </c>
      <c r="R1141" s="16">
        <v>3</v>
      </c>
      <c r="S1141" s="16">
        <v>3</v>
      </c>
      <c r="T1141" s="16">
        <v>3</v>
      </c>
      <c r="U1141" s="16">
        <v>2</v>
      </c>
      <c r="V1141" s="16">
        <v>3</v>
      </c>
      <c r="W1141" s="16" t="s">
        <v>110</v>
      </c>
      <c r="Y1141" s="7">
        <v>43331</v>
      </c>
      <c r="Z1141" s="16" t="s">
        <v>66</v>
      </c>
      <c r="AA1141" s="7">
        <v>43346</v>
      </c>
      <c r="AB1141" s="2" t="s">
        <v>5557</v>
      </c>
    </row>
    <row r="1142" spans="1:28" ht="15" customHeight="1">
      <c r="A1142" s="290"/>
      <c r="C1142" s="16">
        <v>82</v>
      </c>
      <c r="D1142" s="2">
        <v>21339</v>
      </c>
      <c r="E1142" s="2" t="s">
        <v>155</v>
      </c>
      <c r="F1142" s="3" t="s">
        <v>707</v>
      </c>
      <c r="G1142" s="16" t="s">
        <v>184</v>
      </c>
      <c r="H1142" s="8" t="s">
        <v>162</v>
      </c>
      <c r="I1142" s="2" t="s">
        <v>66</v>
      </c>
      <c r="J1142" s="4">
        <v>43302</v>
      </c>
      <c r="K1142" s="16" t="s">
        <v>8</v>
      </c>
      <c r="L1142" s="16" t="s">
        <v>12</v>
      </c>
      <c r="M1142" s="2" t="s">
        <v>16</v>
      </c>
      <c r="W1142" s="16" t="s">
        <v>62</v>
      </c>
      <c r="X1142" s="2" t="s">
        <v>66</v>
      </c>
      <c r="Y1142" s="7">
        <v>43361</v>
      </c>
      <c r="Z1142" s="16" t="s">
        <v>66</v>
      </c>
      <c r="AA1142" s="7">
        <v>43402</v>
      </c>
    </row>
    <row r="1143" spans="1:28" ht="15" customHeight="1">
      <c r="A1143" s="290"/>
      <c r="C1143" s="16">
        <v>82</v>
      </c>
      <c r="D1143" s="2">
        <v>21340</v>
      </c>
      <c r="E1143" s="2" t="s">
        <v>806</v>
      </c>
      <c r="F1143" s="3">
        <v>29908060102911</v>
      </c>
      <c r="G1143" s="16" t="s">
        <v>34</v>
      </c>
      <c r="H1143" s="2" t="s">
        <v>832</v>
      </c>
      <c r="I1143" s="2" t="s">
        <v>66</v>
      </c>
      <c r="J1143" s="4">
        <v>43302</v>
      </c>
      <c r="K1143" s="16" t="s">
        <v>8</v>
      </c>
      <c r="L1143" s="16" t="s">
        <v>12</v>
      </c>
      <c r="M1143" s="2" t="s">
        <v>107</v>
      </c>
      <c r="R1143" s="16">
        <v>3</v>
      </c>
      <c r="S1143" s="16">
        <v>2.5</v>
      </c>
      <c r="T1143" s="16">
        <v>3</v>
      </c>
      <c r="U1143" s="16">
        <v>2</v>
      </c>
      <c r="V1143" s="16">
        <v>3</v>
      </c>
      <c r="W1143" s="16" t="s">
        <v>110</v>
      </c>
      <c r="Y1143" s="7">
        <v>43331</v>
      </c>
      <c r="Z1143" s="16" t="s">
        <v>66</v>
      </c>
      <c r="AA1143" s="7">
        <v>43346</v>
      </c>
    </row>
    <row r="1144" spans="1:28" ht="15" customHeight="1">
      <c r="A1144" s="290"/>
      <c r="C1144" s="16">
        <v>82</v>
      </c>
      <c r="D1144" s="16">
        <v>21341</v>
      </c>
      <c r="E1144" s="16" t="s">
        <v>807</v>
      </c>
      <c r="F1144" s="3" t="s">
        <v>808</v>
      </c>
      <c r="G1144" s="16" t="s">
        <v>3663</v>
      </c>
      <c r="H1144" s="16" t="s">
        <v>833</v>
      </c>
      <c r="I1144" s="16" t="s">
        <v>66</v>
      </c>
      <c r="J1144" s="45">
        <v>43302</v>
      </c>
      <c r="K1144" s="16" t="s">
        <v>8</v>
      </c>
      <c r="L1144" s="16" t="s">
        <v>12</v>
      </c>
      <c r="M1144" s="16" t="s">
        <v>14</v>
      </c>
      <c r="N1144" s="16"/>
      <c r="R1144" s="16">
        <v>3</v>
      </c>
      <c r="S1144" s="16">
        <v>3</v>
      </c>
      <c r="T1144" s="16">
        <v>2</v>
      </c>
      <c r="U1144" s="16">
        <v>2.5</v>
      </c>
      <c r="V1144" s="16">
        <v>3</v>
      </c>
      <c r="W1144" s="16" t="s">
        <v>61</v>
      </c>
      <c r="X1144" s="16"/>
      <c r="Y1144" s="45">
        <v>43331</v>
      </c>
      <c r="Z1144" s="16" t="s">
        <v>67</v>
      </c>
      <c r="AA1144" s="45" t="s">
        <v>3111</v>
      </c>
      <c r="AB1144" s="16" t="s">
        <v>4825</v>
      </c>
    </row>
    <row r="1145" spans="1:28" ht="15" customHeight="1">
      <c r="A1145" s="290"/>
      <c r="C1145" s="16">
        <v>82</v>
      </c>
      <c r="D1145" s="2">
        <v>21342</v>
      </c>
      <c r="E1145" s="2" t="s">
        <v>809</v>
      </c>
      <c r="F1145" s="3" t="s">
        <v>810</v>
      </c>
      <c r="G1145" s="16" t="s">
        <v>34</v>
      </c>
      <c r="H1145" s="2" t="s">
        <v>834</v>
      </c>
      <c r="I1145" s="2" t="s">
        <v>66</v>
      </c>
      <c r="J1145" s="4">
        <v>43302</v>
      </c>
      <c r="K1145" s="16" t="s">
        <v>8</v>
      </c>
      <c r="L1145" s="16" t="s">
        <v>12</v>
      </c>
      <c r="M1145" s="2" t="s">
        <v>15</v>
      </c>
      <c r="R1145" s="16">
        <v>3</v>
      </c>
      <c r="S1145" s="16">
        <v>2.5</v>
      </c>
      <c r="T1145" s="16">
        <v>2.5</v>
      </c>
      <c r="U1145" s="16">
        <v>2</v>
      </c>
      <c r="V1145" s="16">
        <v>2</v>
      </c>
      <c r="W1145" s="16" t="s">
        <v>62</v>
      </c>
      <c r="Y1145" s="7">
        <v>43331</v>
      </c>
      <c r="Z1145" s="16" t="s">
        <v>66</v>
      </c>
      <c r="AA1145" s="7">
        <v>43346</v>
      </c>
    </row>
    <row r="1146" spans="1:28" ht="15" customHeight="1">
      <c r="A1146" s="290"/>
      <c r="C1146" s="2">
        <v>82</v>
      </c>
      <c r="D1146" s="2">
        <v>21343</v>
      </c>
      <c r="E1146" s="2" t="s">
        <v>811</v>
      </c>
      <c r="F1146" s="3" t="s">
        <v>812</v>
      </c>
      <c r="G1146" s="16" t="s">
        <v>4</v>
      </c>
      <c r="H1146" s="2" t="s">
        <v>835</v>
      </c>
      <c r="I1146" s="16" t="s">
        <v>66</v>
      </c>
      <c r="J1146" s="4">
        <v>43302</v>
      </c>
      <c r="K1146" s="16" t="s">
        <v>8</v>
      </c>
      <c r="L1146" s="16" t="s">
        <v>12</v>
      </c>
      <c r="M1146" s="2" t="s">
        <v>109</v>
      </c>
      <c r="R1146" s="16">
        <v>3</v>
      </c>
      <c r="S1146" s="16">
        <v>3</v>
      </c>
      <c r="T1146" s="16">
        <v>3</v>
      </c>
      <c r="U1146" s="16">
        <v>2</v>
      </c>
      <c r="V1146" s="16">
        <v>3</v>
      </c>
      <c r="W1146" s="16" t="s">
        <v>110</v>
      </c>
      <c r="Y1146" s="7">
        <v>43331</v>
      </c>
      <c r="Z1146" s="16" t="s">
        <v>66</v>
      </c>
      <c r="AA1146" s="7">
        <v>43346</v>
      </c>
    </row>
    <row r="1147" spans="1:28" ht="15" customHeight="1">
      <c r="A1147" s="290"/>
      <c r="C1147" s="16">
        <v>82</v>
      </c>
      <c r="D1147" s="2">
        <v>21344</v>
      </c>
      <c r="E1147" s="2" t="s">
        <v>813</v>
      </c>
      <c r="F1147" s="3">
        <v>28708060101505</v>
      </c>
      <c r="G1147" s="2" t="s">
        <v>34</v>
      </c>
      <c r="H1147" s="16" t="s">
        <v>836</v>
      </c>
      <c r="I1147" s="16" t="s">
        <v>66</v>
      </c>
      <c r="J1147" s="4">
        <v>43302</v>
      </c>
      <c r="K1147" s="16" t="s">
        <v>8</v>
      </c>
      <c r="L1147" s="16" t="s">
        <v>12</v>
      </c>
      <c r="M1147" s="2" t="s">
        <v>55</v>
      </c>
      <c r="R1147" s="16">
        <v>3</v>
      </c>
      <c r="S1147" s="16">
        <v>3</v>
      </c>
      <c r="T1147" s="16">
        <v>2</v>
      </c>
      <c r="U1147" s="16">
        <v>2</v>
      </c>
      <c r="V1147" s="16">
        <v>3</v>
      </c>
      <c r="W1147" s="16" t="s">
        <v>62</v>
      </c>
      <c r="Y1147" s="7">
        <v>43331</v>
      </c>
      <c r="Z1147" s="16" t="s">
        <v>67</v>
      </c>
      <c r="AA1147" s="7" t="s">
        <v>3111</v>
      </c>
    </row>
    <row r="1148" spans="1:28" ht="15" customHeight="1">
      <c r="A1148" s="290"/>
      <c r="C1148" s="16">
        <v>82</v>
      </c>
      <c r="D1148" s="2">
        <v>21345</v>
      </c>
      <c r="E1148" s="2" t="s">
        <v>814</v>
      </c>
      <c r="F1148" s="3" t="s">
        <v>815</v>
      </c>
      <c r="G1148" s="2" t="s">
        <v>34</v>
      </c>
      <c r="H1148" s="2" t="s">
        <v>837</v>
      </c>
      <c r="I1148" s="16" t="s">
        <v>66</v>
      </c>
      <c r="J1148" s="4">
        <v>43302</v>
      </c>
      <c r="K1148" s="16" t="s">
        <v>8</v>
      </c>
      <c r="L1148" s="16" t="s">
        <v>12</v>
      </c>
      <c r="M1148" s="2" t="s">
        <v>52</v>
      </c>
      <c r="W1148" s="16" t="s">
        <v>63</v>
      </c>
      <c r="Z1148" s="16" t="s">
        <v>67</v>
      </c>
      <c r="AA1148" s="7" t="s">
        <v>3111</v>
      </c>
    </row>
    <row r="1149" spans="1:28" ht="15" customHeight="1">
      <c r="A1149" s="290"/>
      <c r="C1149" s="16">
        <v>82</v>
      </c>
      <c r="D1149" s="2">
        <v>21346</v>
      </c>
      <c r="E1149" s="2" t="s">
        <v>156</v>
      </c>
      <c r="F1149" s="3" t="s">
        <v>708</v>
      </c>
      <c r="G1149" s="2" t="s">
        <v>34</v>
      </c>
      <c r="H1149" s="8" t="s">
        <v>163</v>
      </c>
      <c r="I1149" s="16" t="s">
        <v>66</v>
      </c>
      <c r="J1149" s="4">
        <v>43302</v>
      </c>
      <c r="K1149" s="16" t="s">
        <v>8</v>
      </c>
      <c r="L1149" s="16" t="s">
        <v>12</v>
      </c>
      <c r="M1149" s="2" t="s">
        <v>53</v>
      </c>
      <c r="R1149" s="16">
        <v>3</v>
      </c>
      <c r="S1149" s="16">
        <v>2</v>
      </c>
      <c r="T1149" s="16">
        <v>2.5</v>
      </c>
      <c r="U1149" s="16">
        <v>2</v>
      </c>
      <c r="V1149" s="16">
        <v>3</v>
      </c>
      <c r="W1149" s="16" t="s">
        <v>61</v>
      </c>
      <c r="X1149" s="16" t="s">
        <v>66</v>
      </c>
      <c r="Y1149" s="7">
        <v>43361</v>
      </c>
      <c r="Z1149" s="16" t="s">
        <v>66</v>
      </c>
      <c r="AA1149" s="7">
        <v>43370</v>
      </c>
    </row>
    <row r="1150" spans="1:28" ht="15" customHeight="1">
      <c r="A1150" s="290"/>
      <c r="C1150" s="16">
        <v>82</v>
      </c>
      <c r="D1150" s="2">
        <v>21347</v>
      </c>
      <c r="E1150" s="2" t="s">
        <v>816</v>
      </c>
      <c r="F1150" s="3" t="s">
        <v>817</v>
      </c>
      <c r="G1150" s="2" t="s">
        <v>34</v>
      </c>
      <c r="H1150" s="2" t="s">
        <v>838</v>
      </c>
      <c r="I1150" s="16" t="s">
        <v>66</v>
      </c>
      <c r="J1150" s="4">
        <v>43302</v>
      </c>
      <c r="K1150" s="16" t="s">
        <v>8</v>
      </c>
      <c r="L1150" s="16" t="s">
        <v>12</v>
      </c>
      <c r="M1150" s="2" t="s">
        <v>52</v>
      </c>
      <c r="R1150" s="16">
        <v>3</v>
      </c>
      <c r="S1150" s="16">
        <v>2</v>
      </c>
      <c r="T1150" s="16">
        <v>2</v>
      </c>
      <c r="U1150" s="16">
        <v>2</v>
      </c>
      <c r="V1150" s="16">
        <v>3</v>
      </c>
      <c r="W1150" s="16" t="s">
        <v>62</v>
      </c>
      <c r="Y1150" s="7">
        <v>43331</v>
      </c>
      <c r="Z1150" s="16" t="s">
        <v>66</v>
      </c>
      <c r="AA1150" s="7">
        <v>43346</v>
      </c>
    </row>
    <row r="1151" spans="1:28" ht="15" customHeight="1">
      <c r="A1151" s="290"/>
      <c r="C1151" s="16">
        <v>82</v>
      </c>
      <c r="D1151" s="2">
        <v>21348</v>
      </c>
      <c r="E1151" s="2" t="s">
        <v>818</v>
      </c>
      <c r="F1151" s="3" t="s">
        <v>819</v>
      </c>
      <c r="G1151" s="2" t="s">
        <v>34</v>
      </c>
      <c r="H1151" s="2" t="s">
        <v>839</v>
      </c>
      <c r="I1151" s="16" t="s">
        <v>66</v>
      </c>
      <c r="J1151" s="4">
        <v>43302</v>
      </c>
      <c r="K1151" s="16" t="s">
        <v>8</v>
      </c>
      <c r="L1151" s="16" t="s">
        <v>12</v>
      </c>
      <c r="M1151" s="2" t="s">
        <v>14</v>
      </c>
      <c r="W1151" s="16" t="s">
        <v>64</v>
      </c>
      <c r="Z1151" s="16" t="s">
        <v>67</v>
      </c>
      <c r="AA1151" s="7" t="s">
        <v>3111</v>
      </c>
    </row>
    <row r="1152" spans="1:28" ht="15" customHeight="1">
      <c r="A1152" s="290"/>
      <c r="C1152" s="16">
        <v>82</v>
      </c>
      <c r="D1152" s="16">
        <v>21349</v>
      </c>
      <c r="E1152" s="16" t="s">
        <v>820</v>
      </c>
      <c r="F1152" s="3" t="s">
        <v>821</v>
      </c>
      <c r="G1152" s="16" t="s">
        <v>34</v>
      </c>
      <c r="H1152" s="16" t="s">
        <v>840</v>
      </c>
      <c r="I1152" s="16" t="s">
        <v>66</v>
      </c>
      <c r="J1152" s="45">
        <v>43302</v>
      </c>
      <c r="K1152" s="16" t="s">
        <v>8</v>
      </c>
      <c r="L1152" s="16" t="s">
        <v>12</v>
      </c>
      <c r="M1152" s="16" t="s">
        <v>107</v>
      </c>
      <c r="N1152" s="16"/>
      <c r="R1152" s="16">
        <v>3</v>
      </c>
      <c r="S1152" s="16">
        <v>2.5</v>
      </c>
      <c r="T1152" s="16">
        <v>3</v>
      </c>
      <c r="U1152" s="16">
        <v>2</v>
      </c>
      <c r="V1152" s="16">
        <v>3</v>
      </c>
      <c r="W1152" s="16" t="s">
        <v>110</v>
      </c>
      <c r="X1152" s="16"/>
      <c r="Y1152" s="45">
        <v>43331</v>
      </c>
      <c r="Z1152" s="16" t="s">
        <v>66</v>
      </c>
      <c r="AA1152" s="45">
        <v>43346</v>
      </c>
      <c r="AB1152" s="16"/>
    </row>
    <row r="1153" spans="1:28" ht="15" customHeight="1">
      <c r="A1153" s="290"/>
      <c r="C1153" s="16">
        <v>82</v>
      </c>
      <c r="D1153" s="2">
        <v>21350</v>
      </c>
      <c r="E1153" s="2" t="s">
        <v>822</v>
      </c>
      <c r="F1153" s="3" t="s">
        <v>823</v>
      </c>
      <c r="G1153" s="2" t="s">
        <v>34</v>
      </c>
      <c r="H1153" s="2" t="s">
        <v>841</v>
      </c>
      <c r="I1153" s="16" t="s">
        <v>66</v>
      </c>
      <c r="J1153" s="4">
        <v>43302</v>
      </c>
      <c r="K1153" s="16" t="s">
        <v>8</v>
      </c>
      <c r="L1153" s="16" t="s">
        <v>12</v>
      </c>
      <c r="M1153" s="2" t="s">
        <v>58</v>
      </c>
      <c r="W1153" s="16" t="s">
        <v>63</v>
      </c>
      <c r="Z1153" s="16" t="s">
        <v>67</v>
      </c>
      <c r="AA1153" s="7" t="s">
        <v>3111</v>
      </c>
    </row>
    <row r="1154" spans="1:28" ht="15" customHeight="1">
      <c r="A1154" s="290"/>
      <c r="C1154" s="16">
        <v>82</v>
      </c>
      <c r="D1154" s="2">
        <v>21351</v>
      </c>
      <c r="E1154" s="2" t="s">
        <v>824</v>
      </c>
      <c r="F1154" s="3" t="s">
        <v>825</v>
      </c>
      <c r="G1154" s="2" t="s">
        <v>34</v>
      </c>
      <c r="H1154" s="2" t="s">
        <v>842</v>
      </c>
      <c r="I1154" s="16" t="s">
        <v>66</v>
      </c>
      <c r="J1154" s="4">
        <v>43302</v>
      </c>
      <c r="K1154" s="16" t="s">
        <v>8</v>
      </c>
      <c r="L1154" s="16" t="s">
        <v>12</v>
      </c>
      <c r="M1154" s="2" t="s">
        <v>15</v>
      </c>
      <c r="W1154" s="16" t="s">
        <v>64</v>
      </c>
      <c r="Z1154" s="16" t="s">
        <v>67</v>
      </c>
      <c r="AA1154" s="7" t="s">
        <v>3111</v>
      </c>
    </row>
    <row r="1155" spans="1:28" ht="15" customHeight="1">
      <c r="A1155" s="290"/>
      <c r="C1155" s="16">
        <v>82</v>
      </c>
      <c r="D1155" s="2">
        <v>21352</v>
      </c>
      <c r="E1155" s="2" t="s">
        <v>826</v>
      </c>
      <c r="F1155" s="3" t="s">
        <v>827</v>
      </c>
      <c r="G1155" s="2" t="s">
        <v>34</v>
      </c>
      <c r="H1155" s="2" t="s">
        <v>843</v>
      </c>
      <c r="I1155" s="16" t="s">
        <v>66</v>
      </c>
      <c r="J1155" s="4">
        <v>43302</v>
      </c>
      <c r="K1155" s="16" t="s">
        <v>8</v>
      </c>
      <c r="L1155" s="16" t="s">
        <v>12</v>
      </c>
      <c r="M1155" s="2" t="s">
        <v>257</v>
      </c>
      <c r="R1155" s="16">
        <v>3</v>
      </c>
      <c r="S1155" s="16">
        <v>3</v>
      </c>
      <c r="T1155" s="16">
        <v>2.5</v>
      </c>
      <c r="U1155" s="16">
        <v>2.5</v>
      </c>
      <c r="V1155" s="16">
        <v>3</v>
      </c>
      <c r="W1155" s="16" t="s">
        <v>169</v>
      </c>
      <c r="Y1155" s="7">
        <v>43331</v>
      </c>
      <c r="Z1155" s="16" t="s">
        <v>66</v>
      </c>
      <c r="AA1155" s="7">
        <v>43352</v>
      </c>
    </row>
    <row r="1156" spans="1:28" ht="15" customHeight="1">
      <c r="A1156" s="290"/>
      <c r="C1156" s="16">
        <v>82</v>
      </c>
      <c r="D1156" s="2">
        <v>21353</v>
      </c>
      <c r="E1156" s="2" t="s">
        <v>828</v>
      </c>
      <c r="F1156" s="3" t="s">
        <v>829</v>
      </c>
      <c r="G1156" s="2" t="s">
        <v>34</v>
      </c>
      <c r="H1156" s="2" t="s">
        <v>844</v>
      </c>
      <c r="I1156" s="16" t="s">
        <v>66</v>
      </c>
      <c r="J1156" s="4">
        <v>43302</v>
      </c>
      <c r="K1156" s="16" t="s">
        <v>8</v>
      </c>
      <c r="L1156" s="16" t="s">
        <v>12</v>
      </c>
      <c r="M1156" s="2" t="s">
        <v>16</v>
      </c>
      <c r="W1156" s="16" t="s">
        <v>63</v>
      </c>
      <c r="Z1156" s="16" t="s">
        <v>67</v>
      </c>
      <c r="AA1156" s="7" t="s">
        <v>3111</v>
      </c>
    </row>
    <row r="1157" spans="1:28" ht="15.75" customHeight="1" thickBot="1">
      <c r="A1157" s="291"/>
      <c r="C1157" s="28">
        <v>82</v>
      </c>
      <c r="D1157" s="28">
        <v>21401</v>
      </c>
      <c r="E1157" s="28" t="s">
        <v>847</v>
      </c>
      <c r="F1157" s="29" t="s">
        <v>848</v>
      </c>
      <c r="G1157" s="28" t="s">
        <v>129</v>
      </c>
      <c r="H1157" s="28" t="s">
        <v>849</v>
      </c>
      <c r="I1157" s="28" t="s">
        <v>66</v>
      </c>
      <c r="J1157" s="30">
        <v>43302</v>
      </c>
      <c r="K1157" s="28" t="s">
        <v>8</v>
      </c>
      <c r="L1157" s="28" t="s">
        <v>12</v>
      </c>
      <c r="M1157" s="28" t="s">
        <v>57</v>
      </c>
      <c r="N1157" s="28"/>
      <c r="O1157" s="226"/>
      <c r="P1157" s="28"/>
      <c r="Q1157" s="226"/>
      <c r="R1157" s="28">
        <v>3</v>
      </c>
      <c r="S1157" s="28">
        <v>3</v>
      </c>
      <c r="T1157" s="28">
        <v>2</v>
      </c>
      <c r="U1157" s="28">
        <v>2.5</v>
      </c>
      <c r="V1157" s="28">
        <v>3</v>
      </c>
      <c r="W1157" s="28" t="s">
        <v>169</v>
      </c>
      <c r="X1157" s="28"/>
      <c r="Y1157" s="30">
        <v>43331</v>
      </c>
      <c r="Z1157" s="28" t="str">
        <f>IF(OR(W1157="Dismissed", W1157="Resigned"),"No","")</f>
        <v/>
      </c>
      <c r="AA1157" s="30"/>
      <c r="AB1157" s="28"/>
    </row>
    <row r="1158" spans="1:28" ht="15.75" customHeight="1" thickTop="1">
      <c r="A1158" s="289" t="s">
        <v>3124</v>
      </c>
      <c r="C1158" s="16">
        <v>83</v>
      </c>
      <c r="D1158" s="2">
        <v>21354</v>
      </c>
      <c r="E1158" s="2" t="s">
        <v>883</v>
      </c>
      <c r="F1158" s="3" t="s">
        <v>884</v>
      </c>
      <c r="G1158" s="2" t="s">
        <v>34</v>
      </c>
      <c r="H1158" s="2" t="s">
        <v>904</v>
      </c>
      <c r="I1158" s="16" t="s">
        <v>66</v>
      </c>
      <c r="J1158" s="4">
        <v>43302</v>
      </c>
      <c r="K1158" s="16" t="s">
        <v>8</v>
      </c>
      <c r="L1158" s="16" t="s">
        <v>12</v>
      </c>
      <c r="M1158" s="2" t="s">
        <v>101</v>
      </c>
      <c r="R1158" s="16">
        <v>3</v>
      </c>
      <c r="S1158" s="16">
        <v>3</v>
      </c>
      <c r="T1158" s="16">
        <v>3</v>
      </c>
      <c r="U1158" s="16">
        <v>2</v>
      </c>
      <c r="V1158" s="16">
        <v>3</v>
      </c>
      <c r="W1158" s="16" t="s">
        <v>60</v>
      </c>
      <c r="Y1158" s="7">
        <v>43331</v>
      </c>
      <c r="Z1158" s="16" t="s">
        <v>66</v>
      </c>
      <c r="AA1158" s="7">
        <v>43346</v>
      </c>
    </row>
    <row r="1159" spans="1:28" ht="15" customHeight="1">
      <c r="A1159" s="290"/>
      <c r="C1159" s="16">
        <v>83</v>
      </c>
      <c r="D1159" s="2">
        <v>21355</v>
      </c>
      <c r="E1159" s="2" t="s">
        <v>885</v>
      </c>
      <c r="F1159" s="3">
        <v>30009180103726</v>
      </c>
      <c r="G1159" s="2" t="s">
        <v>184</v>
      </c>
      <c r="H1159" s="16" t="s">
        <v>905</v>
      </c>
      <c r="I1159" s="16" t="s">
        <v>66</v>
      </c>
      <c r="J1159" s="4">
        <v>43302</v>
      </c>
      <c r="K1159" s="16" t="s">
        <v>8</v>
      </c>
      <c r="L1159" s="16" t="s">
        <v>12</v>
      </c>
      <c r="M1159" s="2" t="s">
        <v>101</v>
      </c>
      <c r="R1159" s="16">
        <v>3</v>
      </c>
      <c r="S1159" s="16">
        <v>3</v>
      </c>
      <c r="T1159" s="16">
        <v>3</v>
      </c>
      <c r="U1159" s="16">
        <v>2</v>
      </c>
      <c r="V1159" s="16">
        <v>3</v>
      </c>
      <c r="W1159" s="16" t="s">
        <v>60</v>
      </c>
      <c r="Y1159" s="7">
        <v>43331</v>
      </c>
      <c r="Z1159" s="16" t="s">
        <v>66</v>
      </c>
      <c r="AA1159" s="7">
        <v>43346</v>
      </c>
      <c r="AB1159" s="2" t="s">
        <v>4826</v>
      </c>
    </row>
    <row r="1160" spans="1:28" ht="15" customHeight="1">
      <c r="A1160" s="290"/>
      <c r="C1160" s="16">
        <v>83</v>
      </c>
      <c r="D1160" s="16">
        <v>21356</v>
      </c>
      <c r="E1160" s="16" t="s">
        <v>886</v>
      </c>
      <c r="F1160" s="3" t="s">
        <v>887</v>
      </c>
      <c r="G1160" s="16" t="s">
        <v>4</v>
      </c>
      <c r="H1160" s="16" t="s">
        <v>906</v>
      </c>
      <c r="I1160" s="16" t="s">
        <v>66</v>
      </c>
      <c r="J1160" s="45">
        <v>43302</v>
      </c>
      <c r="K1160" s="16" t="s">
        <v>8</v>
      </c>
      <c r="L1160" s="16" t="s">
        <v>12</v>
      </c>
      <c r="M1160" s="16" t="s">
        <v>109</v>
      </c>
      <c r="N1160" s="16"/>
      <c r="R1160" s="16">
        <v>3</v>
      </c>
      <c r="S1160" s="16">
        <v>3</v>
      </c>
      <c r="T1160" s="16">
        <v>2.5</v>
      </c>
      <c r="U1160" s="16">
        <v>2</v>
      </c>
      <c r="V1160" s="16">
        <v>3</v>
      </c>
      <c r="W1160" s="16" t="s">
        <v>62</v>
      </c>
      <c r="X1160" s="16"/>
      <c r="Y1160" s="45">
        <v>43331</v>
      </c>
      <c r="Z1160" s="16" t="s">
        <v>66</v>
      </c>
      <c r="AA1160" s="45">
        <v>43346</v>
      </c>
      <c r="AB1160" s="16"/>
    </row>
    <row r="1161" spans="1:28" ht="15" customHeight="1">
      <c r="A1161" s="290"/>
      <c r="C1161" s="16">
        <v>83</v>
      </c>
      <c r="D1161" s="2">
        <v>21357</v>
      </c>
      <c r="E1161" s="2" t="s">
        <v>888</v>
      </c>
      <c r="F1161" s="3" t="s">
        <v>889</v>
      </c>
      <c r="G1161" s="2" t="s">
        <v>184</v>
      </c>
      <c r="H1161" s="2" t="s">
        <v>907</v>
      </c>
      <c r="I1161" s="16" t="s">
        <v>66</v>
      </c>
      <c r="J1161" s="4">
        <v>43302</v>
      </c>
      <c r="K1161" s="16" t="s">
        <v>8</v>
      </c>
      <c r="L1161" s="16" t="s">
        <v>12</v>
      </c>
      <c r="M1161" s="2" t="s">
        <v>102</v>
      </c>
      <c r="R1161" s="16">
        <v>3</v>
      </c>
      <c r="S1161" s="16">
        <v>3</v>
      </c>
      <c r="T1161" s="16">
        <v>3</v>
      </c>
      <c r="U1161" s="16">
        <v>2</v>
      </c>
      <c r="V1161" s="16">
        <v>3</v>
      </c>
      <c r="W1161" s="16" t="s">
        <v>60</v>
      </c>
      <c r="Y1161" s="7">
        <v>43331</v>
      </c>
      <c r="Z1161" s="16" t="s">
        <v>66</v>
      </c>
      <c r="AA1161" s="7">
        <v>43346</v>
      </c>
    </row>
    <row r="1162" spans="1:28" ht="15" customHeight="1">
      <c r="A1162" s="290"/>
      <c r="C1162" s="16">
        <v>83</v>
      </c>
      <c r="D1162" s="2">
        <v>21358</v>
      </c>
      <c r="E1162" s="2" t="s">
        <v>890</v>
      </c>
      <c r="F1162" s="3">
        <v>29512302100071</v>
      </c>
      <c r="G1162" s="2" t="s">
        <v>129</v>
      </c>
      <c r="H1162" s="2" t="s">
        <v>908</v>
      </c>
      <c r="I1162" s="16" t="s">
        <v>66</v>
      </c>
      <c r="J1162" s="4">
        <v>43302</v>
      </c>
      <c r="K1162" s="16" t="s">
        <v>8</v>
      </c>
      <c r="L1162" s="16" t="s">
        <v>12</v>
      </c>
      <c r="M1162" s="2" t="s">
        <v>104</v>
      </c>
      <c r="R1162" s="16">
        <v>3</v>
      </c>
      <c r="S1162" s="16">
        <v>3</v>
      </c>
      <c r="T1162" s="16">
        <v>2</v>
      </c>
      <c r="U1162" s="16">
        <v>2</v>
      </c>
      <c r="V1162" s="16">
        <v>3</v>
      </c>
      <c r="W1162" s="16" t="s">
        <v>62</v>
      </c>
      <c r="Y1162" s="7">
        <v>43331</v>
      </c>
      <c r="Z1162" s="16" t="s">
        <v>66</v>
      </c>
      <c r="AA1162" s="7">
        <v>43346</v>
      </c>
    </row>
    <row r="1163" spans="1:28" ht="15" customHeight="1">
      <c r="A1163" s="290"/>
      <c r="C1163" s="2">
        <v>83</v>
      </c>
      <c r="D1163" s="2">
        <v>21359</v>
      </c>
      <c r="E1163" s="2" t="s">
        <v>891</v>
      </c>
      <c r="F1163" s="3" t="s">
        <v>892</v>
      </c>
      <c r="G1163" s="16" t="s">
        <v>3663</v>
      </c>
      <c r="H1163" s="2" t="s">
        <v>909</v>
      </c>
      <c r="I1163" s="2" t="s">
        <v>66</v>
      </c>
      <c r="J1163" s="4">
        <v>43302</v>
      </c>
      <c r="K1163" s="16" t="s">
        <v>8</v>
      </c>
      <c r="L1163" s="16" t="s">
        <v>12</v>
      </c>
      <c r="M1163" s="2" t="s">
        <v>257</v>
      </c>
      <c r="R1163" s="16">
        <v>3</v>
      </c>
      <c r="S1163" s="16">
        <v>3</v>
      </c>
      <c r="T1163" s="16">
        <v>2</v>
      </c>
      <c r="U1163" s="16">
        <v>3</v>
      </c>
      <c r="V1163" s="16">
        <v>3</v>
      </c>
      <c r="W1163" s="16" t="s">
        <v>61</v>
      </c>
      <c r="Y1163" s="7">
        <v>43331</v>
      </c>
      <c r="Z1163" s="16" t="s">
        <v>67</v>
      </c>
      <c r="AA1163" s="7" t="s">
        <v>3111</v>
      </c>
    </row>
    <row r="1164" spans="1:28" ht="15" customHeight="1">
      <c r="A1164" s="290"/>
      <c r="C1164" s="16">
        <v>83</v>
      </c>
      <c r="D1164" s="2">
        <v>21360</v>
      </c>
      <c r="E1164" s="2" t="s">
        <v>893</v>
      </c>
      <c r="F1164" s="3" t="s">
        <v>894</v>
      </c>
      <c r="G1164" s="2" t="s">
        <v>184</v>
      </c>
      <c r="H1164" s="2" t="s">
        <v>910</v>
      </c>
      <c r="I1164" s="2" t="s">
        <v>66</v>
      </c>
      <c r="J1164" s="4">
        <v>43302</v>
      </c>
      <c r="K1164" s="16" t="s">
        <v>8</v>
      </c>
      <c r="L1164" s="16" t="s">
        <v>12</v>
      </c>
      <c r="M1164" s="2" t="s">
        <v>108</v>
      </c>
      <c r="W1164" s="16" t="s">
        <v>63</v>
      </c>
      <c r="Z1164" s="16" t="s">
        <v>67</v>
      </c>
      <c r="AA1164" s="7" t="s">
        <v>3111</v>
      </c>
    </row>
    <row r="1165" spans="1:28" ht="15" customHeight="1">
      <c r="A1165" s="290"/>
      <c r="C1165" s="16">
        <v>83</v>
      </c>
      <c r="D1165" s="2">
        <v>21361</v>
      </c>
      <c r="E1165" s="2" t="s">
        <v>895</v>
      </c>
      <c r="F1165" s="3" t="s">
        <v>896</v>
      </c>
      <c r="G1165" s="2" t="s">
        <v>184</v>
      </c>
      <c r="H1165" s="2" t="s">
        <v>911</v>
      </c>
      <c r="I1165" s="2" t="s">
        <v>66</v>
      </c>
      <c r="J1165" s="4">
        <v>43302</v>
      </c>
      <c r="K1165" s="16" t="s">
        <v>8</v>
      </c>
      <c r="L1165" s="16" t="s">
        <v>12</v>
      </c>
      <c r="M1165" s="2" t="s">
        <v>103</v>
      </c>
      <c r="R1165" s="16">
        <v>3</v>
      </c>
      <c r="S1165" s="16">
        <v>2</v>
      </c>
      <c r="T1165" s="16">
        <v>2.5</v>
      </c>
      <c r="U1165" s="16">
        <v>2</v>
      </c>
      <c r="V1165" s="16">
        <v>3</v>
      </c>
      <c r="W1165" s="16" t="s">
        <v>3215</v>
      </c>
      <c r="Y1165" s="7">
        <v>43331</v>
      </c>
      <c r="Z1165" s="16" t="s">
        <v>67</v>
      </c>
      <c r="AA1165" s="7" t="s">
        <v>3111</v>
      </c>
    </row>
    <row r="1166" spans="1:28" ht="15" customHeight="1">
      <c r="A1166" s="290"/>
      <c r="C1166" s="16">
        <v>83</v>
      </c>
      <c r="D1166" s="2">
        <v>21362</v>
      </c>
      <c r="E1166" s="2" t="s">
        <v>153</v>
      </c>
      <c r="F1166" s="3" t="s">
        <v>704</v>
      </c>
      <c r="G1166" s="2" t="s">
        <v>34</v>
      </c>
      <c r="H1166" s="16" t="s">
        <v>145</v>
      </c>
      <c r="I1166" s="2" t="s">
        <v>66</v>
      </c>
      <c r="J1166" s="4">
        <v>43302</v>
      </c>
      <c r="K1166" s="16" t="s">
        <v>8</v>
      </c>
      <c r="L1166" s="16" t="s">
        <v>12</v>
      </c>
      <c r="M1166" s="2" t="s">
        <v>705</v>
      </c>
      <c r="W1166" s="16" t="s">
        <v>63</v>
      </c>
      <c r="X1166" s="2" t="s">
        <v>66</v>
      </c>
      <c r="Z1166" s="16" t="s">
        <v>67</v>
      </c>
      <c r="AA1166" s="7" t="s">
        <v>3111</v>
      </c>
    </row>
    <row r="1167" spans="1:28" ht="15" customHeight="1">
      <c r="A1167" s="290"/>
      <c r="C1167" s="16">
        <v>83</v>
      </c>
      <c r="D1167" s="2">
        <v>21363</v>
      </c>
      <c r="E1167" s="2" t="s">
        <v>897</v>
      </c>
      <c r="F1167" s="3" t="s">
        <v>898</v>
      </c>
      <c r="G1167" s="2" t="s">
        <v>34</v>
      </c>
      <c r="H1167" s="16" t="s">
        <v>912</v>
      </c>
      <c r="I1167" s="2" t="s">
        <v>66</v>
      </c>
      <c r="J1167" s="4">
        <v>43302</v>
      </c>
      <c r="K1167" s="16" t="s">
        <v>8</v>
      </c>
      <c r="L1167" s="16" t="s">
        <v>12</v>
      </c>
      <c r="M1167" s="2" t="s">
        <v>104</v>
      </c>
      <c r="R1167" s="16">
        <v>3</v>
      </c>
      <c r="S1167" s="16">
        <v>3</v>
      </c>
      <c r="T1167" s="16">
        <v>2</v>
      </c>
      <c r="U1167" s="16">
        <v>3</v>
      </c>
      <c r="V1167" s="16">
        <v>3</v>
      </c>
      <c r="W1167" s="16" t="s">
        <v>61</v>
      </c>
      <c r="Y1167" s="7">
        <v>43331</v>
      </c>
      <c r="Z1167" s="16" t="s">
        <v>66</v>
      </c>
      <c r="AA1167" s="7">
        <v>43352</v>
      </c>
      <c r="AB1167" s="2" t="s">
        <v>5340</v>
      </c>
    </row>
    <row r="1168" spans="1:28" ht="15" customHeight="1">
      <c r="A1168" s="290"/>
      <c r="C1168" s="16">
        <v>83</v>
      </c>
      <c r="D1168" s="16">
        <v>21364</v>
      </c>
      <c r="E1168" s="16" t="s">
        <v>899</v>
      </c>
      <c r="F1168" s="3" t="s">
        <v>900</v>
      </c>
      <c r="G1168" s="16" t="s">
        <v>34</v>
      </c>
      <c r="H1168" s="16" t="s">
        <v>913</v>
      </c>
      <c r="I1168" s="16" t="s">
        <v>66</v>
      </c>
      <c r="J1168" s="45">
        <v>43302</v>
      </c>
      <c r="K1168" s="16" t="s">
        <v>8</v>
      </c>
      <c r="L1168" s="16" t="s">
        <v>12</v>
      </c>
      <c r="M1168" s="16" t="s">
        <v>55</v>
      </c>
      <c r="N1168" s="16"/>
      <c r="R1168" s="16">
        <v>3</v>
      </c>
      <c r="S1168" s="16">
        <v>2</v>
      </c>
      <c r="T1168" s="16">
        <v>2</v>
      </c>
      <c r="U1168" s="16">
        <v>2</v>
      </c>
      <c r="V1168" s="16">
        <v>3</v>
      </c>
      <c r="W1168" s="16" t="s">
        <v>3215</v>
      </c>
      <c r="X1168" s="16"/>
      <c r="Y1168" s="45">
        <v>43331</v>
      </c>
      <c r="Z1168" s="16" t="s">
        <v>66</v>
      </c>
      <c r="AA1168" s="45">
        <v>43346</v>
      </c>
      <c r="AB1168" s="16"/>
    </row>
    <row r="1169" spans="1:28" ht="15" customHeight="1">
      <c r="A1169" s="290"/>
      <c r="C1169" s="16">
        <v>83</v>
      </c>
      <c r="D1169" s="2">
        <v>21365</v>
      </c>
      <c r="E1169" s="2" t="s">
        <v>154</v>
      </c>
      <c r="F1169" s="3" t="s">
        <v>706</v>
      </c>
      <c r="G1169" s="16" t="s">
        <v>34</v>
      </c>
      <c r="H1169" s="8" t="s">
        <v>161</v>
      </c>
      <c r="I1169" s="2" t="s">
        <v>66</v>
      </c>
      <c r="J1169" s="4">
        <v>43302</v>
      </c>
      <c r="K1169" s="16" t="s">
        <v>8</v>
      </c>
      <c r="L1169" s="16" t="s">
        <v>12</v>
      </c>
      <c r="M1169" s="2" t="s">
        <v>55</v>
      </c>
      <c r="W1169" s="16" t="s">
        <v>63</v>
      </c>
      <c r="X1169" s="2" t="s">
        <v>66</v>
      </c>
      <c r="Z1169" s="16" t="s">
        <v>67</v>
      </c>
      <c r="AA1169" s="7" t="s">
        <v>3111</v>
      </c>
    </row>
    <row r="1170" spans="1:28" ht="15" customHeight="1">
      <c r="A1170" s="290"/>
      <c r="C1170" s="16">
        <v>83</v>
      </c>
      <c r="D1170" s="2">
        <v>21380</v>
      </c>
      <c r="E1170" s="2" t="s">
        <v>901</v>
      </c>
      <c r="F1170" s="3" t="s">
        <v>902</v>
      </c>
      <c r="G1170" s="2" t="s">
        <v>34</v>
      </c>
      <c r="H1170" s="16" t="s">
        <v>914</v>
      </c>
      <c r="I1170" s="2" t="s">
        <v>66</v>
      </c>
      <c r="J1170" s="4">
        <v>43302</v>
      </c>
      <c r="K1170" s="16" t="s">
        <v>8</v>
      </c>
      <c r="L1170" s="16" t="s">
        <v>12</v>
      </c>
      <c r="M1170" s="2" t="s">
        <v>55</v>
      </c>
      <c r="W1170" s="16" t="s">
        <v>64</v>
      </c>
      <c r="Z1170" s="16" t="s">
        <v>67</v>
      </c>
      <c r="AA1170" s="7" t="s">
        <v>3111</v>
      </c>
    </row>
    <row r="1171" spans="1:28" ht="15.75" customHeight="1" thickBot="1">
      <c r="A1171" s="291"/>
      <c r="C1171" s="28">
        <v>83</v>
      </c>
      <c r="D1171" s="28">
        <v>21381</v>
      </c>
      <c r="E1171" s="28" t="s">
        <v>903</v>
      </c>
      <c r="F1171" s="29">
        <v>29608011811032</v>
      </c>
      <c r="G1171" s="28" t="s">
        <v>34</v>
      </c>
      <c r="H1171" s="28" t="s">
        <v>915</v>
      </c>
      <c r="I1171" s="28" t="s">
        <v>66</v>
      </c>
      <c r="J1171" s="30">
        <v>43302</v>
      </c>
      <c r="K1171" s="28" t="s">
        <v>8</v>
      </c>
      <c r="L1171" s="28" t="s">
        <v>12</v>
      </c>
      <c r="M1171" s="28" t="s">
        <v>107</v>
      </c>
      <c r="N1171" s="28"/>
      <c r="O1171" s="226"/>
      <c r="P1171" s="28"/>
      <c r="Q1171" s="226"/>
      <c r="R1171" s="28">
        <v>3</v>
      </c>
      <c r="S1171" s="28">
        <v>2</v>
      </c>
      <c r="T1171" s="28">
        <v>2</v>
      </c>
      <c r="U1171" s="28">
        <v>2</v>
      </c>
      <c r="V1171" s="28">
        <v>3</v>
      </c>
      <c r="W1171" s="28" t="s">
        <v>62</v>
      </c>
      <c r="X1171" s="28"/>
      <c r="Y1171" s="30">
        <v>43331</v>
      </c>
      <c r="Z1171" s="28" t="s">
        <v>67</v>
      </c>
      <c r="AA1171" s="30" t="s">
        <v>3111</v>
      </c>
      <c r="AB1171" s="28"/>
    </row>
    <row r="1172" spans="1:28" ht="15.75" customHeight="1" thickTop="1">
      <c r="A1172" s="289" t="s">
        <v>3127</v>
      </c>
      <c r="C1172" s="16">
        <v>84</v>
      </c>
      <c r="D1172" s="2">
        <v>12572</v>
      </c>
      <c r="E1172" s="2" t="s">
        <v>159</v>
      </c>
      <c r="F1172" s="3" t="s">
        <v>711</v>
      </c>
      <c r="G1172" s="2" t="s">
        <v>34</v>
      </c>
      <c r="H1172" s="8" t="s">
        <v>166</v>
      </c>
      <c r="I1172" s="2" t="s">
        <v>67</v>
      </c>
      <c r="J1172" s="4">
        <v>43302</v>
      </c>
      <c r="K1172" s="16" t="s">
        <v>8</v>
      </c>
      <c r="L1172" s="16" t="s">
        <v>12</v>
      </c>
      <c r="M1172" s="2" t="s">
        <v>104</v>
      </c>
      <c r="R1172" s="16">
        <v>3</v>
      </c>
      <c r="S1172" s="16">
        <v>2</v>
      </c>
      <c r="T1172" s="16">
        <v>2</v>
      </c>
      <c r="U1172" s="16">
        <v>2</v>
      </c>
      <c r="V1172" s="16">
        <v>3</v>
      </c>
      <c r="W1172" s="16" t="s">
        <v>61</v>
      </c>
      <c r="X1172" s="2" t="s">
        <v>66</v>
      </c>
      <c r="Y1172" s="7">
        <v>43361</v>
      </c>
      <c r="Z1172" s="16" t="s">
        <v>66</v>
      </c>
      <c r="AA1172" s="7">
        <v>43370</v>
      </c>
    </row>
    <row r="1173" spans="1:28" ht="15" customHeight="1">
      <c r="A1173" s="290"/>
      <c r="C1173" s="16">
        <v>84</v>
      </c>
      <c r="D1173" s="2">
        <v>21366</v>
      </c>
      <c r="E1173" s="2" t="s">
        <v>157</v>
      </c>
      <c r="F1173" s="3" t="s">
        <v>709</v>
      </c>
      <c r="G1173" s="2" t="s">
        <v>184</v>
      </c>
      <c r="H1173" s="8" t="s">
        <v>164</v>
      </c>
      <c r="I1173" s="2" t="s">
        <v>66</v>
      </c>
      <c r="J1173" s="4">
        <v>43302</v>
      </c>
      <c r="K1173" s="16" t="s">
        <v>8</v>
      </c>
      <c r="L1173" s="16" t="s">
        <v>12</v>
      </c>
      <c r="M1173" s="2" t="s">
        <v>104</v>
      </c>
      <c r="R1173" s="16">
        <v>3</v>
      </c>
      <c r="S1173" s="16">
        <v>2.5</v>
      </c>
      <c r="T1173" s="16">
        <v>2</v>
      </c>
      <c r="U1173" s="16">
        <v>2.5</v>
      </c>
      <c r="V1173" s="16">
        <v>3</v>
      </c>
      <c r="W1173" s="16" t="s">
        <v>60</v>
      </c>
      <c r="X1173" s="2" t="s">
        <v>66</v>
      </c>
      <c r="Y1173" s="7">
        <v>43361</v>
      </c>
      <c r="Z1173" s="16" t="s">
        <v>67</v>
      </c>
      <c r="AA1173" s="7" t="s">
        <v>3111</v>
      </c>
      <c r="AB1173" s="2" t="s">
        <v>3670</v>
      </c>
    </row>
    <row r="1174" spans="1:28" ht="15" customHeight="1">
      <c r="A1174" s="290"/>
      <c r="C1174" s="16">
        <v>84</v>
      </c>
      <c r="D1174" s="2">
        <v>21367</v>
      </c>
      <c r="E1174" s="2" t="s">
        <v>916</v>
      </c>
      <c r="F1174" s="3">
        <v>29606192102647</v>
      </c>
      <c r="G1174" s="16" t="s">
        <v>34</v>
      </c>
      <c r="H1174" s="16" t="s">
        <v>936</v>
      </c>
      <c r="I1174" s="2" t="s">
        <v>66</v>
      </c>
      <c r="J1174" s="4">
        <v>43302</v>
      </c>
      <c r="K1174" s="16" t="s">
        <v>8</v>
      </c>
      <c r="L1174" s="16" t="s">
        <v>12</v>
      </c>
      <c r="M1174" s="2" t="s">
        <v>53</v>
      </c>
      <c r="R1174" s="16">
        <v>3</v>
      </c>
      <c r="S1174" s="16">
        <v>2</v>
      </c>
      <c r="T1174" s="16">
        <v>2.5</v>
      </c>
      <c r="U1174" s="16">
        <v>2</v>
      </c>
      <c r="V1174" s="16">
        <v>3</v>
      </c>
      <c r="W1174" s="16" t="s">
        <v>59</v>
      </c>
      <c r="X1174" s="2" t="s">
        <v>66</v>
      </c>
      <c r="Y1174" s="45">
        <v>43361</v>
      </c>
      <c r="Z1174" s="16" t="s">
        <v>67</v>
      </c>
      <c r="AA1174" s="7" t="s">
        <v>3111</v>
      </c>
    </row>
    <row r="1175" spans="1:28" ht="15" customHeight="1">
      <c r="A1175" s="290"/>
      <c r="C1175" s="16">
        <v>84</v>
      </c>
      <c r="D1175" s="2">
        <v>21368</v>
      </c>
      <c r="E1175" s="2" t="s">
        <v>917</v>
      </c>
      <c r="F1175" s="3" t="s">
        <v>918</v>
      </c>
      <c r="G1175" s="16" t="s">
        <v>3663</v>
      </c>
      <c r="H1175" s="16" t="s">
        <v>937</v>
      </c>
      <c r="I1175" s="2" t="s">
        <v>66</v>
      </c>
      <c r="J1175" s="4">
        <v>43302</v>
      </c>
      <c r="K1175" s="16" t="s">
        <v>8</v>
      </c>
      <c r="L1175" s="16" t="s">
        <v>12</v>
      </c>
      <c r="M1175" s="2" t="s">
        <v>14</v>
      </c>
      <c r="W1175" s="16" t="s">
        <v>64</v>
      </c>
      <c r="Z1175" s="16" t="s">
        <v>67</v>
      </c>
      <c r="AA1175" s="7" t="s">
        <v>3111</v>
      </c>
    </row>
    <row r="1176" spans="1:28" ht="15" customHeight="1">
      <c r="A1176" s="290"/>
      <c r="C1176" s="16">
        <v>84</v>
      </c>
      <c r="D1176" s="16">
        <v>21369</v>
      </c>
      <c r="E1176" s="16" t="s">
        <v>158</v>
      </c>
      <c r="F1176" s="3" t="s">
        <v>710</v>
      </c>
      <c r="G1176" s="16" t="s">
        <v>184</v>
      </c>
      <c r="H1176" s="8" t="s">
        <v>165</v>
      </c>
      <c r="I1176" s="16" t="s">
        <v>66</v>
      </c>
      <c r="J1176" s="45">
        <v>43302</v>
      </c>
      <c r="K1176" s="16" t="s">
        <v>8</v>
      </c>
      <c r="L1176" s="16" t="s">
        <v>12</v>
      </c>
      <c r="M1176" s="16" t="s">
        <v>53</v>
      </c>
      <c r="N1176" s="16"/>
      <c r="R1176" s="16">
        <v>3</v>
      </c>
      <c r="S1176" s="16">
        <v>2</v>
      </c>
      <c r="T1176" s="16">
        <v>2.5</v>
      </c>
      <c r="U1176" s="16">
        <v>2</v>
      </c>
      <c r="V1176" s="16">
        <v>3</v>
      </c>
      <c r="W1176" s="16" t="s">
        <v>171</v>
      </c>
      <c r="X1176" s="16" t="s">
        <v>66</v>
      </c>
      <c r="Y1176" s="45">
        <v>43361</v>
      </c>
      <c r="Z1176" s="16" t="s">
        <v>66</v>
      </c>
      <c r="AA1176" s="45">
        <v>43370</v>
      </c>
      <c r="AB1176" s="16" t="s">
        <v>5186</v>
      </c>
    </row>
    <row r="1177" spans="1:28" ht="15" customHeight="1">
      <c r="A1177" s="290"/>
      <c r="C1177" s="16">
        <v>84</v>
      </c>
      <c r="D1177" s="2">
        <v>21370</v>
      </c>
      <c r="E1177" s="2" t="s">
        <v>919</v>
      </c>
      <c r="F1177" s="3" t="s">
        <v>920</v>
      </c>
      <c r="G1177" s="16" t="s">
        <v>34</v>
      </c>
      <c r="H1177" s="2" t="s">
        <v>938</v>
      </c>
      <c r="I1177" s="2" t="s">
        <v>66</v>
      </c>
      <c r="J1177" s="4">
        <v>43302</v>
      </c>
      <c r="K1177" s="16" t="s">
        <v>8</v>
      </c>
      <c r="L1177" s="16" t="s">
        <v>12</v>
      </c>
      <c r="M1177" s="2" t="s">
        <v>104</v>
      </c>
      <c r="R1177" s="16">
        <v>3</v>
      </c>
      <c r="S1177" s="16">
        <v>2.5</v>
      </c>
      <c r="T1177" s="16">
        <v>2</v>
      </c>
      <c r="U1177" s="16">
        <v>3</v>
      </c>
      <c r="V1177" s="16">
        <v>3</v>
      </c>
      <c r="W1177" s="16" t="s">
        <v>61</v>
      </c>
      <c r="Y1177" s="7">
        <v>43332</v>
      </c>
      <c r="Z1177" s="16" t="s">
        <v>66</v>
      </c>
      <c r="AA1177" s="7">
        <v>43370</v>
      </c>
    </row>
    <row r="1178" spans="1:28" ht="15" customHeight="1">
      <c r="A1178" s="290"/>
      <c r="C1178" s="16">
        <v>84</v>
      </c>
      <c r="D1178" s="2">
        <v>21371</v>
      </c>
      <c r="E1178" s="2" t="s">
        <v>921</v>
      </c>
      <c r="F1178" s="3">
        <v>29402210103228</v>
      </c>
      <c r="G1178" s="2" t="s">
        <v>34</v>
      </c>
      <c r="H1178" s="2" t="s">
        <v>939</v>
      </c>
      <c r="I1178" s="2" t="s">
        <v>66</v>
      </c>
      <c r="J1178" s="4">
        <v>43302</v>
      </c>
      <c r="K1178" s="16" t="s">
        <v>8</v>
      </c>
      <c r="L1178" s="16" t="s">
        <v>12</v>
      </c>
      <c r="M1178" s="2" t="s">
        <v>58</v>
      </c>
      <c r="W1178" s="16" t="s">
        <v>64</v>
      </c>
      <c r="Z1178" s="16" t="s">
        <v>67</v>
      </c>
      <c r="AA1178" s="7" t="s">
        <v>3111</v>
      </c>
    </row>
    <row r="1179" spans="1:28" ht="15" customHeight="1">
      <c r="A1179" s="290"/>
      <c r="C1179" s="16">
        <v>84</v>
      </c>
      <c r="D1179" s="2">
        <v>21372</v>
      </c>
      <c r="E1179" s="2" t="s">
        <v>922</v>
      </c>
      <c r="F1179" s="3" t="s">
        <v>923</v>
      </c>
      <c r="G1179" s="2" t="s">
        <v>184</v>
      </c>
      <c r="H1179" s="2" t="s">
        <v>940</v>
      </c>
      <c r="I1179" s="2" t="s">
        <v>66</v>
      </c>
      <c r="J1179" s="4">
        <v>43302</v>
      </c>
      <c r="K1179" s="16" t="s">
        <v>8</v>
      </c>
      <c r="L1179" s="16" t="s">
        <v>12</v>
      </c>
      <c r="M1179" s="2" t="s">
        <v>104</v>
      </c>
      <c r="R1179" s="16">
        <v>3</v>
      </c>
      <c r="S1179" s="16">
        <v>3</v>
      </c>
      <c r="T1179" s="16">
        <v>2.5</v>
      </c>
      <c r="U1179" s="16">
        <v>2.5</v>
      </c>
      <c r="V1179" s="16">
        <v>3</v>
      </c>
      <c r="W1179" s="16" t="s">
        <v>110</v>
      </c>
      <c r="Y1179" s="7">
        <v>43332</v>
      </c>
      <c r="Z1179" s="16" t="s">
        <v>66</v>
      </c>
      <c r="AA1179" s="7">
        <v>43346</v>
      </c>
    </row>
    <row r="1180" spans="1:28" ht="15" customHeight="1">
      <c r="A1180" s="290"/>
      <c r="C1180" s="16">
        <v>84</v>
      </c>
      <c r="D1180" s="2">
        <v>21373</v>
      </c>
      <c r="E1180" s="2" t="s">
        <v>924</v>
      </c>
      <c r="F1180" s="3" t="s">
        <v>925</v>
      </c>
      <c r="G1180" s="2" t="s">
        <v>34</v>
      </c>
      <c r="H1180" s="16" t="s">
        <v>941</v>
      </c>
      <c r="I1180" s="2" t="s">
        <v>66</v>
      </c>
      <c r="J1180" s="4">
        <v>43302</v>
      </c>
      <c r="K1180" s="16" t="s">
        <v>8</v>
      </c>
      <c r="L1180" s="16" t="s">
        <v>12</v>
      </c>
      <c r="M1180" s="2" t="s">
        <v>624</v>
      </c>
      <c r="R1180" s="16">
        <v>3</v>
      </c>
      <c r="S1180" s="16">
        <v>3</v>
      </c>
      <c r="T1180" s="16">
        <v>2</v>
      </c>
      <c r="U1180" s="16">
        <v>2.5</v>
      </c>
      <c r="V1180" s="16">
        <v>3</v>
      </c>
      <c r="W1180" s="16" t="s">
        <v>61</v>
      </c>
      <c r="Y1180" s="7">
        <v>43332</v>
      </c>
      <c r="Z1180" s="16" t="s">
        <v>67</v>
      </c>
      <c r="AA1180" s="7" t="s">
        <v>3111</v>
      </c>
    </row>
    <row r="1181" spans="1:28" ht="15" customHeight="1">
      <c r="A1181" s="290"/>
      <c r="C1181" s="16">
        <v>84</v>
      </c>
      <c r="D1181" s="2">
        <v>21374</v>
      </c>
      <c r="E1181" s="2" t="s">
        <v>926</v>
      </c>
      <c r="F1181" s="3" t="s">
        <v>927</v>
      </c>
      <c r="G1181" s="2" t="s">
        <v>184</v>
      </c>
      <c r="H1181" s="2" t="s">
        <v>942</v>
      </c>
      <c r="I1181" s="2" t="s">
        <v>66</v>
      </c>
      <c r="J1181" s="4">
        <v>43302</v>
      </c>
      <c r="K1181" s="16" t="s">
        <v>8</v>
      </c>
      <c r="L1181" s="16" t="s">
        <v>12</v>
      </c>
      <c r="M1181" s="2" t="s">
        <v>104</v>
      </c>
      <c r="W1181" s="16" t="s">
        <v>63</v>
      </c>
      <c r="Z1181" s="16" t="s">
        <v>67</v>
      </c>
      <c r="AA1181" s="7" t="s">
        <v>3111</v>
      </c>
    </row>
    <row r="1182" spans="1:28" ht="15" customHeight="1">
      <c r="A1182" s="290"/>
      <c r="C1182" s="16">
        <v>84</v>
      </c>
      <c r="D1182" s="2">
        <v>21375</v>
      </c>
      <c r="E1182" s="2" t="s">
        <v>928</v>
      </c>
      <c r="F1182" s="3" t="s">
        <v>929</v>
      </c>
      <c r="G1182" s="2" t="s">
        <v>34</v>
      </c>
      <c r="H1182" s="2" t="s">
        <v>943</v>
      </c>
      <c r="I1182" s="2" t="s">
        <v>66</v>
      </c>
      <c r="J1182" s="4">
        <v>43302</v>
      </c>
      <c r="K1182" s="16" t="s">
        <v>8</v>
      </c>
      <c r="L1182" s="16" t="s">
        <v>12</v>
      </c>
      <c r="M1182" s="2" t="s">
        <v>57</v>
      </c>
      <c r="R1182" s="16">
        <v>3</v>
      </c>
      <c r="S1182" s="16">
        <v>3</v>
      </c>
      <c r="T1182" s="16">
        <v>3</v>
      </c>
      <c r="U1182" s="16">
        <v>2.5</v>
      </c>
      <c r="V1182" s="16">
        <v>3</v>
      </c>
      <c r="W1182" s="16" t="s">
        <v>110</v>
      </c>
      <c r="Y1182" s="7">
        <v>43332</v>
      </c>
      <c r="Z1182" s="16" t="s">
        <v>66</v>
      </c>
      <c r="AA1182" s="7">
        <v>43346</v>
      </c>
    </row>
    <row r="1183" spans="1:28" ht="15" customHeight="1">
      <c r="A1183" s="290"/>
      <c r="C1183" s="16">
        <v>84</v>
      </c>
      <c r="D1183" s="2">
        <v>21376</v>
      </c>
      <c r="E1183" s="2" t="s">
        <v>930</v>
      </c>
      <c r="F1183" s="3" t="s">
        <v>931</v>
      </c>
      <c r="G1183" s="2" t="s">
        <v>34</v>
      </c>
      <c r="H1183" s="2" t="s">
        <v>944</v>
      </c>
      <c r="I1183" s="2" t="s">
        <v>66</v>
      </c>
      <c r="J1183" s="4">
        <v>43302</v>
      </c>
      <c r="K1183" s="16" t="s">
        <v>8</v>
      </c>
      <c r="L1183" s="16" t="s">
        <v>12</v>
      </c>
      <c r="M1183" s="2" t="s">
        <v>15</v>
      </c>
      <c r="R1183" s="16">
        <v>3</v>
      </c>
      <c r="S1183" s="16">
        <v>3</v>
      </c>
      <c r="T1183" s="16">
        <v>3</v>
      </c>
      <c r="U1183" s="16">
        <v>2</v>
      </c>
      <c r="V1183" s="16">
        <v>3</v>
      </c>
      <c r="W1183" s="16" t="s">
        <v>110</v>
      </c>
      <c r="Y1183" s="7">
        <v>43332</v>
      </c>
      <c r="Z1183" s="16" t="s">
        <v>67</v>
      </c>
      <c r="AA1183" s="7" t="s">
        <v>3111</v>
      </c>
    </row>
    <row r="1184" spans="1:28" ht="15" customHeight="1">
      <c r="A1184" s="290"/>
      <c r="C1184" s="2">
        <v>84</v>
      </c>
      <c r="D1184" s="2">
        <v>21377</v>
      </c>
      <c r="E1184" s="2" t="s">
        <v>932</v>
      </c>
      <c r="F1184" s="3" t="s">
        <v>933</v>
      </c>
      <c r="G1184" s="2" t="s">
        <v>34</v>
      </c>
      <c r="H1184" s="2" t="s">
        <v>945</v>
      </c>
      <c r="I1184" s="2" t="s">
        <v>66</v>
      </c>
      <c r="J1184" s="4">
        <v>43302</v>
      </c>
      <c r="K1184" s="16" t="s">
        <v>8</v>
      </c>
      <c r="L1184" s="16" t="s">
        <v>12</v>
      </c>
      <c r="M1184" s="2" t="s">
        <v>57</v>
      </c>
      <c r="R1184" s="16">
        <v>3</v>
      </c>
      <c r="S1184" s="16">
        <v>3</v>
      </c>
      <c r="T1184" s="16">
        <v>2</v>
      </c>
      <c r="U1184" s="16">
        <v>3</v>
      </c>
      <c r="V1184" s="16">
        <v>3</v>
      </c>
      <c r="W1184" s="16" t="s">
        <v>61</v>
      </c>
      <c r="Y1184" s="7">
        <v>43332</v>
      </c>
      <c r="Z1184" s="16" t="s">
        <v>67</v>
      </c>
      <c r="AA1184" s="7" t="s">
        <v>3111</v>
      </c>
    </row>
    <row r="1185" spans="1:28" ht="15" customHeight="1">
      <c r="A1185" s="290"/>
      <c r="C1185" s="16">
        <v>84</v>
      </c>
      <c r="D1185" s="2">
        <v>21378</v>
      </c>
      <c r="E1185" s="2" t="s">
        <v>934</v>
      </c>
      <c r="F1185" s="3">
        <v>29607022102355</v>
      </c>
      <c r="G1185" s="2" t="s">
        <v>935</v>
      </c>
      <c r="H1185" s="2" t="s">
        <v>946</v>
      </c>
      <c r="I1185" s="2" t="s">
        <v>66</v>
      </c>
      <c r="J1185" s="4">
        <v>43302</v>
      </c>
      <c r="K1185" s="16" t="s">
        <v>8</v>
      </c>
      <c r="L1185" s="16" t="s">
        <v>12</v>
      </c>
      <c r="M1185" s="2" t="s">
        <v>257</v>
      </c>
      <c r="R1185" s="16">
        <v>3</v>
      </c>
      <c r="S1185" s="16">
        <v>3</v>
      </c>
      <c r="T1185" s="16">
        <v>3</v>
      </c>
      <c r="U1185" s="16">
        <v>2</v>
      </c>
      <c r="V1185" s="16">
        <v>3</v>
      </c>
      <c r="W1185" s="16" t="s">
        <v>110</v>
      </c>
      <c r="Y1185" s="7">
        <v>43332</v>
      </c>
      <c r="Z1185" s="16" t="s">
        <v>67</v>
      </c>
      <c r="AA1185" s="7" t="s">
        <v>3111</v>
      </c>
    </row>
    <row r="1186" spans="1:28" ht="15" customHeight="1">
      <c r="A1186" s="290"/>
      <c r="C1186" s="16">
        <v>84</v>
      </c>
      <c r="D1186" s="2">
        <v>21379</v>
      </c>
      <c r="E1186" s="2" t="s">
        <v>712</v>
      </c>
      <c r="F1186" s="3">
        <v>28603302602915</v>
      </c>
      <c r="G1186" s="2" t="s">
        <v>34</v>
      </c>
      <c r="H1186" s="8" t="s">
        <v>168</v>
      </c>
      <c r="I1186" s="2" t="s">
        <v>66</v>
      </c>
      <c r="J1186" s="4">
        <v>43302</v>
      </c>
      <c r="K1186" s="16" t="s">
        <v>8</v>
      </c>
      <c r="L1186" s="16" t="s">
        <v>12</v>
      </c>
      <c r="M1186" s="2" t="s">
        <v>294</v>
      </c>
      <c r="R1186" s="16">
        <v>3</v>
      </c>
      <c r="S1186" s="16">
        <v>2.5</v>
      </c>
      <c r="T1186" s="16">
        <v>2</v>
      </c>
      <c r="U1186" s="16">
        <v>2</v>
      </c>
      <c r="V1186" s="16">
        <v>3</v>
      </c>
      <c r="W1186" s="16" t="s">
        <v>62</v>
      </c>
      <c r="X1186" s="2" t="s">
        <v>66</v>
      </c>
      <c r="Y1186" s="7">
        <v>43361</v>
      </c>
      <c r="Z1186" s="16" t="s">
        <v>67</v>
      </c>
    </row>
    <row r="1187" spans="1:28" ht="15.75" customHeight="1" thickBot="1">
      <c r="A1187" s="291"/>
      <c r="C1187" s="28">
        <v>84</v>
      </c>
      <c r="D1187" s="28">
        <v>21382</v>
      </c>
      <c r="E1187" s="28" t="s">
        <v>947</v>
      </c>
      <c r="F1187" s="29" t="s">
        <v>948</v>
      </c>
      <c r="G1187" s="28" t="s">
        <v>3663</v>
      </c>
      <c r="H1187" s="28" t="s">
        <v>949</v>
      </c>
      <c r="I1187" s="28" t="s">
        <v>66</v>
      </c>
      <c r="J1187" s="30">
        <v>43302</v>
      </c>
      <c r="K1187" s="28" t="s">
        <v>8</v>
      </c>
      <c r="L1187" s="28" t="s">
        <v>12</v>
      </c>
      <c r="M1187" s="28" t="s">
        <v>257</v>
      </c>
      <c r="N1187" s="28"/>
      <c r="O1187" s="226"/>
      <c r="P1187" s="28"/>
      <c r="Q1187" s="226"/>
      <c r="R1187" s="28"/>
      <c r="S1187" s="28"/>
      <c r="T1187" s="28"/>
      <c r="U1187" s="28"/>
      <c r="V1187" s="28"/>
      <c r="W1187" s="28" t="s">
        <v>63</v>
      </c>
      <c r="X1187" s="28"/>
      <c r="Y1187" s="30"/>
      <c r="Z1187" s="28" t="str">
        <f>IF(OR(W1187="Dismissed", W1187="Resigned"),"No","")</f>
        <v>No</v>
      </c>
      <c r="AA1187" s="30"/>
      <c r="AB1187" s="28"/>
    </row>
    <row r="1188" spans="1:28" ht="15.75" customHeight="1" thickTop="1">
      <c r="A1188" s="289" t="s">
        <v>3119</v>
      </c>
      <c r="C1188" s="16">
        <v>85</v>
      </c>
      <c r="D1188" s="16">
        <v>21383</v>
      </c>
      <c r="E1188" s="16" t="s">
        <v>950</v>
      </c>
      <c r="F1188" s="3">
        <v>28901032104871</v>
      </c>
      <c r="G1188" s="16" t="s">
        <v>129</v>
      </c>
      <c r="H1188" s="16" t="s">
        <v>964</v>
      </c>
      <c r="I1188" s="16" t="s">
        <v>66</v>
      </c>
      <c r="J1188" s="45">
        <v>43309</v>
      </c>
      <c r="K1188" s="16" t="s">
        <v>8</v>
      </c>
      <c r="L1188" s="16" t="s">
        <v>12</v>
      </c>
      <c r="M1188" s="16" t="s">
        <v>104</v>
      </c>
      <c r="N1188" s="16"/>
      <c r="W1188" s="16" t="s">
        <v>111</v>
      </c>
      <c r="X1188" s="16"/>
      <c r="Y1188" s="45">
        <v>43338</v>
      </c>
      <c r="Z1188" s="16" t="s">
        <v>67</v>
      </c>
      <c r="AA1188" s="45" t="s">
        <v>3111</v>
      </c>
      <c r="AB1188" s="16"/>
    </row>
    <row r="1189" spans="1:28" ht="15" customHeight="1">
      <c r="A1189" s="290"/>
      <c r="C1189" s="16">
        <v>85</v>
      </c>
      <c r="D1189" s="2">
        <v>21384</v>
      </c>
      <c r="E1189" s="2" t="s">
        <v>951</v>
      </c>
      <c r="F1189" s="3">
        <v>29204050100051</v>
      </c>
      <c r="G1189" s="2" t="s">
        <v>129</v>
      </c>
      <c r="H1189" s="2" t="s">
        <v>965</v>
      </c>
      <c r="I1189" s="2" t="s">
        <v>66</v>
      </c>
      <c r="J1189" s="4">
        <v>43309</v>
      </c>
      <c r="K1189" s="16" t="s">
        <v>8</v>
      </c>
      <c r="L1189" s="16" t="s">
        <v>12</v>
      </c>
      <c r="M1189" s="2" t="s">
        <v>197</v>
      </c>
      <c r="W1189" s="16" t="s">
        <v>61</v>
      </c>
      <c r="Y1189" s="7">
        <v>43338</v>
      </c>
      <c r="Z1189" s="16" t="s">
        <v>66</v>
      </c>
      <c r="AA1189" s="7">
        <v>43352</v>
      </c>
    </row>
    <row r="1190" spans="1:28" ht="15" customHeight="1">
      <c r="A1190" s="290"/>
      <c r="C1190" s="16">
        <v>85</v>
      </c>
      <c r="D1190" s="2">
        <v>21385</v>
      </c>
      <c r="E1190" s="2" t="s">
        <v>952</v>
      </c>
      <c r="F1190" s="3">
        <v>29912040101487</v>
      </c>
      <c r="G1190" s="2" t="s">
        <v>935</v>
      </c>
      <c r="H1190" s="2" t="s">
        <v>966</v>
      </c>
      <c r="I1190" s="2" t="s">
        <v>66</v>
      </c>
      <c r="J1190" s="4">
        <v>43309</v>
      </c>
      <c r="K1190" s="16" t="s">
        <v>8</v>
      </c>
      <c r="L1190" s="16" t="s">
        <v>12</v>
      </c>
      <c r="M1190" s="2" t="s">
        <v>58</v>
      </c>
      <c r="W1190" s="16" t="s">
        <v>110</v>
      </c>
      <c r="Y1190" s="7">
        <v>43338</v>
      </c>
      <c r="Z1190" s="16" t="s">
        <v>66</v>
      </c>
      <c r="AA1190" s="7">
        <v>43346</v>
      </c>
    </row>
    <row r="1191" spans="1:28" ht="15" customHeight="1">
      <c r="A1191" s="290"/>
      <c r="C1191" s="16">
        <v>85</v>
      </c>
      <c r="D1191" s="2">
        <v>21386</v>
      </c>
      <c r="E1191" s="2" t="s">
        <v>953</v>
      </c>
      <c r="F1191" s="3">
        <v>29402031601371</v>
      </c>
      <c r="G1191" s="2" t="s">
        <v>129</v>
      </c>
      <c r="H1191" s="2" t="s">
        <v>967</v>
      </c>
      <c r="I1191" s="2" t="s">
        <v>66</v>
      </c>
      <c r="J1191" s="4">
        <v>43309</v>
      </c>
      <c r="K1191" s="16" t="s">
        <v>8</v>
      </c>
      <c r="L1191" s="16" t="s">
        <v>12</v>
      </c>
      <c r="M1191" s="2" t="s">
        <v>104</v>
      </c>
      <c r="W1191" s="16" t="s">
        <v>61</v>
      </c>
      <c r="Y1191" s="7">
        <v>43338</v>
      </c>
      <c r="Z1191" s="16" t="s">
        <v>66</v>
      </c>
      <c r="AA1191" s="7">
        <v>43352</v>
      </c>
    </row>
    <row r="1192" spans="1:28" ht="15" customHeight="1">
      <c r="A1192" s="290"/>
      <c r="C1192" s="16">
        <v>85</v>
      </c>
      <c r="D1192" s="2">
        <v>21387</v>
      </c>
      <c r="E1192" s="2" t="s">
        <v>954</v>
      </c>
      <c r="F1192" s="3">
        <v>29105028800393</v>
      </c>
      <c r="G1192" s="2" t="s">
        <v>83</v>
      </c>
      <c r="H1192" s="2" t="s">
        <v>968</v>
      </c>
      <c r="I1192" s="2" t="s">
        <v>66</v>
      </c>
      <c r="J1192" s="4">
        <v>43309</v>
      </c>
      <c r="K1192" s="16" t="s">
        <v>8</v>
      </c>
      <c r="L1192" s="16" t="s">
        <v>12</v>
      </c>
      <c r="M1192" s="2" t="s">
        <v>109</v>
      </c>
      <c r="W1192" s="16" t="s">
        <v>111</v>
      </c>
      <c r="Y1192" s="7">
        <v>43338</v>
      </c>
      <c r="Z1192" s="16" t="s">
        <v>67</v>
      </c>
      <c r="AA1192" s="7" t="s">
        <v>3111</v>
      </c>
    </row>
    <row r="1193" spans="1:28" ht="15" customHeight="1">
      <c r="A1193" s="290"/>
      <c r="C1193" s="16">
        <v>85</v>
      </c>
      <c r="D1193" s="2">
        <v>21388</v>
      </c>
      <c r="E1193" s="2" t="s">
        <v>955</v>
      </c>
      <c r="F1193" s="3">
        <v>29412082103207</v>
      </c>
      <c r="G1193" s="2" t="s">
        <v>129</v>
      </c>
      <c r="H1193" s="16" t="s">
        <v>969</v>
      </c>
      <c r="I1193" s="2" t="s">
        <v>66</v>
      </c>
      <c r="J1193" s="4">
        <v>43309</v>
      </c>
      <c r="K1193" s="16" t="s">
        <v>8</v>
      </c>
      <c r="L1193" s="16" t="s">
        <v>12</v>
      </c>
      <c r="M1193" s="2" t="s">
        <v>104</v>
      </c>
      <c r="W1193" s="16" t="s">
        <v>110</v>
      </c>
      <c r="Y1193" s="7">
        <v>43338</v>
      </c>
      <c r="Z1193" s="16" t="s">
        <v>66</v>
      </c>
      <c r="AA1193" s="7">
        <v>43346</v>
      </c>
    </row>
    <row r="1194" spans="1:28" ht="15" customHeight="1">
      <c r="A1194" s="290"/>
      <c r="C1194" s="16">
        <v>85</v>
      </c>
      <c r="D1194" s="2">
        <v>21389</v>
      </c>
      <c r="E1194" s="2" t="s">
        <v>956</v>
      </c>
      <c r="F1194" s="3">
        <v>29501312101791</v>
      </c>
      <c r="G1194" s="2" t="s">
        <v>129</v>
      </c>
      <c r="H1194" s="2" t="s">
        <v>970</v>
      </c>
      <c r="I1194" s="2" t="s">
        <v>66</v>
      </c>
      <c r="J1194" s="4">
        <v>43309</v>
      </c>
      <c r="K1194" s="16" t="s">
        <v>8</v>
      </c>
      <c r="L1194" s="16" t="s">
        <v>12</v>
      </c>
      <c r="M1194" s="2" t="s">
        <v>53</v>
      </c>
      <c r="W1194" s="16" t="s">
        <v>111</v>
      </c>
      <c r="Y1194" s="7">
        <v>43338</v>
      </c>
      <c r="Z1194" s="16" t="s">
        <v>66</v>
      </c>
      <c r="AA1194" s="7">
        <v>43346</v>
      </c>
    </row>
    <row r="1195" spans="1:28" ht="15" customHeight="1">
      <c r="A1195" s="290"/>
      <c r="C1195" s="16">
        <v>85</v>
      </c>
      <c r="D1195" s="2">
        <v>21390</v>
      </c>
      <c r="E1195" s="2" t="s">
        <v>957</v>
      </c>
      <c r="F1195" s="3">
        <v>28909300205902</v>
      </c>
      <c r="G1195" s="2" t="s">
        <v>129</v>
      </c>
      <c r="H1195" s="2" t="s">
        <v>971</v>
      </c>
      <c r="I1195" s="2" t="s">
        <v>66</v>
      </c>
      <c r="J1195" s="4">
        <v>43309</v>
      </c>
      <c r="K1195" s="16" t="s">
        <v>8</v>
      </c>
      <c r="L1195" s="16" t="s">
        <v>12</v>
      </c>
      <c r="M1195" s="2" t="s">
        <v>256</v>
      </c>
      <c r="W1195" s="16" t="s">
        <v>111</v>
      </c>
      <c r="Y1195" s="7">
        <v>43338</v>
      </c>
      <c r="Z1195" s="16" t="s">
        <v>66</v>
      </c>
      <c r="AA1195" s="7">
        <v>43346</v>
      </c>
    </row>
    <row r="1196" spans="1:28" ht="15" customHeight="1">
      <c r="A1196" s="290"/>
      <c r="C1196" s="16">
        <v>85</v>
      </c>
      <c r="D1196" s="2">
        <v>21391</v>
      </c>
      <c r="E1196" s="2" t="s">
        <v>958</v>
      </c>
      <c r="F1196" s="3">
        <v>29506110100132</v>
      </c>
      <c r="G1196" s="2" t="s">
        <v>129</v>
      </c>
      <c r="H1196" s="2" t="s">
        <v>972</v>
      </c>
      <c r="I1196" s="2" t="s">
        <v>66</v>
      </c>
      <c r="J1196" s="4">
        <v>43309</v>
      </c>
      <c r="K1196" s="16" t="s">
        <v>8</v>
      </c>
      <c r="L1196" s="16" t="s">
        <v>12</v>
      </c>
      <c r="M1196" s="2" t="s">
        <v>14</v>
      </c>
      <c r="W1196" s="16" t="s">
        <v>111</v>
      </c>
      <c r="Y1196" s="7">
        <v>43338</v>
      </c>
      <c r="Z1196" s="16" t="s">
        <v>66</v>
      </c>
      <c r="AA1196" s="7">
        <v>43346</v>
      </c>
    </row>
    <row r="1197" spans="1:28" ht="15" customHeight="1">
      <c r="A1197" s="290"/>
      <c r="C1197" s="16">
        <v>85</v>
      </c>
      <c r="D1197" s="2">
        <v>21392</v>
      </c>
      <c r="E1197" s="2" t="s">
        <v>160</v>
      </c>
      <c r="F1197" s="3">
        <v>29511038800349</v>
      </c>
      <c r="G1197" s="2" t="s">
        <v>34</v>
      </c>
      <c r="H1197" s="8" t="s">
        <v>167</v>
      </c>
      <c r="I1197" s="2" t="s">
        <v>66</v>
      </c>
      <c r="J1197" s="4">
        <v>43309</v>
      </c>
      <c r="K1197" s="16" t="s">
        <v>8</v>
      </c>
      <c r="L1197" s="16" t="s">
        <v>12</v>
      </c>
      <c r="M1197" s="2" t="s">
        <v>109</v>
      </c>
      <c r="W1197" s="16" t="s">
        <v>170</v>
      </c>
      <c r="X1197" s="2" t="s">
        <v>66</v>
      </c>
      <c r="Y1197" s="7">
        <v>43361</v>
      </c>
      <c r="Z1197" s="16" t="s">
        <v>66</v>
      </c>
      <c r="AA1197" s="7">
        <v>43367</v>
      </c>
    </row>
    <row r="1198" spans="1:28" ht="15" customHeight="1">
      <c r="A1198" s="290"/>
      <c r="C1198" s="16">
        <v>85</v>
      </c>
      <c r="D1198" s="2">
        <v>21393</v>
      </c>
      <c r="E1198" s="2" t="s">
        <v>959</v>
      </c>
      <c r="F1198" s="3">
        <v>29611090101976</v>
      </c>
      <c r="G1198" s="2" t="s">
        <v>83</v>
      </c>
      <c r="H1198" s="2" t="s">
        <v>973</v>
      </c>
      <c r="I1198" s="2" t="s">
        <v>66</v>
      </c>
      <c r="J1198" s="4">
        <v>43309</v>
      </c>
      <c r="K1198" s="16" t="s">
        <v>8</v>
      </c>
      <c r="L1198" s="16" t="s">
        <v>12</v>
      </c>
      <c r="M1198" s="2" t="s">
        <v>104</v>
      </c>
      <c r="W1198" s="16" t="s">
        <v>61</v>
      </c>
      <c r="Y1198" s="7">
        <v>43338</v>
      </c>
      <c r="Z1198" s="16" t="s">
        <v>66</v>
      </c>
      <c r="AA1198" s="7">
        <v>43352</v>
      </c>
    </row>
    <row r="1199" spans="1:28" ht="15" customHeight="1">
      <c r="A1199" s="290"/>
      <c r="C1199" s="16">
        <v>85</v>
      </c>
      <c r="D1199" s="16">
        <v>21394</v>
      </c>
      <c r="E1199" s="16" t="s">
        <v>960</v>
      </c>
      <c r="F1199" s="3">
        <v>29207018800643</v>
      </c>
      <c r="G1199" s="16" t="s">
        <v>129</v>
      </c>
      <c r="H1199" s="16" t="s">
        <v>974</v>
      </c>
      <c r="I1199" s="16" t="s">
        <v>66</v>
      </c>
      <c r="J1199" s="45">
        <v>43309</v>
      </c>
      <c r="K1199" s="16" t="s">
        <v>8</v>
      </c>
      <c r="L1199" s="16" t="s">
        <v>12</v>
      </c>
      <c r="M1199" s="16" t="s">
        <v>978</v>
      </c>
      <c r="N1199" s="16"/>
      <c r="W1199" s="16" t="s">
        <v>64</v>
      </c>
      <c r="X1199" s="16"/>
      <c r="Y1199" s="45"/>
      <c r="Z1199" s="16" t="s">
        <v>67</v>
      </c>
      <c r="AA1199" s="45" t="s">
        <v>3111</v>
      </c>
      <c r="AB1199" s="16"/>
    </row>
    <row r="1200" spans="1:28" ht="15" customHeight="1">
      <c r="A1200" s="290"/>
      <c r="C1200" s="16">
        <v>85</v>
      </c>
      <c r="D1200" s="2">
        <v>21395</v>
      </c>
      <c r="E1200" s="2" t="s">
        <v>961</v>
      </c>
      <c r="F1200" s="3">
        <v>29603112100119</v>
      </c>
      <c r="G1200" s="16" t="s">
        <v>129</v>
      </c>
      <c r="H1200" s="2" t="s">
        <v>975</v>
      </c>
      <c r="I1200" s="2" t="s">
        <v>66</v>
      </c>
      <c r="J1200" s="7">
        <v>43309</v>
      </c>
      <c r="K1200" s="16" t="s">
        <v>8</v>
      </c>
      <c r="L1200" s="16" t="s">
        <v>12</v>
      </c>
      <c r="M1200" s="2" t="s">
        <v>53</v>
      </c>
      <c r="W1200" s="16" t="s">
        <v>59</v>
      </c>
      <c r="X1200" s="16" t="s">
        <v>66</v>
      </c>
      <c r="Z1200" s="16" t="s">
        <v>67</v>
      </c>
      <c r="AA1200" s="7" t="s">
        <v>3111</v>
      </c>
    </row>
    <row r="1201" spans="1:28" ht="15" customHeight="1">
      <c r="A1201" s="290"/>
      <c r="C1201" s="16">
        <v>85</v>
      </c>
      <c r="D1201" s="2">
        <v>21396</v>
      </c>
      <c r="E1201" s="2" t="s">
        <v>962</v>
      </c>
      <c r="F1201" s="3">
        <v>29505261600581</v>
      </c>
      <c r="G1201" s="16" t="s">
        <v>129</v>
      </c>
      <c r="H1201" s="2" t="s">
        <v>976</v>
      </c>
      <c r="I1201" s="2" t="s">
        <v>66</v>
      </c>
      <c r="J1201" s="7">
        <v>43309</v>
      </c>
      <c r="K1201" s="16" t="s">
        <v>8</v>
      </c>
      <c r="L1201" s="16" t="s">
        <v>12</v>
      </c>
      <c r="M1201" s="2" t="s">
        <v>14</v>
      </c>
      <c r="W1201" s="16" t="s">
        <v>110</v>
      </c>
      <c r="Y1201" s="7">
        <v>43338</v>
      </c>
      <c r="Z1201" s="16" t="s">
        <v>66</v>
      </c>
      <c r="AA1201" s="7">
        <v>43346</v>
      </c>
    </row>
    <row r="1202" spans="1:28" ht="15.75" customHeight="1" thickBot="1">
      <c r="A1202" s="291"/>
      <c r="C1202" s="28">
        <v>85</v>
      </c>
      <c r="D1202" s="28">
        <v>21397</v>
      </c>
      <c r="E1202" s="28" t="s">
        <v>963</v>
      </c>
      <c r="F1202" s="29">
        <v>29309190101843</v>
      </c>
      <c r="G1202" s="28" t="s">
        <v>129</v>
      </c>
      <c r="H1202" s="28" t="s">
        <v>977</v>
      </c>
      <c r="I1202" s="28" t="s">
        <v>66</v>
      </c>
      <c r="J1202" s="30">
        <v>43309</v>
      </c>
      <c r="K1202" s="28" t="s">
        <v>8</v>
      </c>
      <c r="L1202" s="28" t="s">
        <v>12</v>
      </c>
      <c r="M1202" s="28" t="s">
        <v>107</v>
      </c>
      <c r="N1202" s="28"/>
      <c r="O1202" s="226"/>
      <c r="P1202" s="28"/>
      <c r="Q1202" s="226"/>
      <c r="R1202" s="28"/>
      <c r="S1202" s="28"/>
      <c r="T1202" s="28"/>
      <c r="U1202" s="28"/>
      <c r="V1202" s="28"/>
      <c r="W1202" s="28" t="s">
        <v>64</v>
      </c>
      <c r="X1202" s="28"/>
      <c r="Y1202" s="30"/>
      <c r="Z1202" s="28" t="s">
        <v>67</v>
      </c>
      <c r="AA1202" s="30" t="s">
        <v>3111</v>
      </c>
      <c r="AB1202" s="28"/>
    </row>
    <row r="1203" spans="1:28" ht="15.75" customHeight="1" thickTop="1">
      <c r="A1203" s="289" t="s">
        <v>3126</v>
      </c>
      <c r="C1203" s="16">
        <v>86</v>
      </c>
      <c r="D1203" s="16">
        <v>21402</v>
      </c>
      <c r="E1203" s="16" t="s">
        <v>19</v>
      </c>
      <c r="F1203" s="3">
        <v>29405098800505</v>
      </c>
      <c r="G1203" s="16" t="s">
        <v>34</v>
      </c>
      <c r="H1203" s="16" t="s">
        <v>35</v>
      </c>
      <c r="I1203" s="16" t="s">
        <v>66</v>
      </c>
      <c r="J1203" s="45">
        <v>43316</v>
      </c>
      <c r="K1203" s="16" t="s">
        <v>8</v>
      </c>
      <c r="L1203" s="16" t="s">
        <v>12</v>
      </c>
      <c r="M1203" s="16" t="s">
        <v>15</v>
      </c>
      <c r="N1203" s="16"/>
      <c r="W1203" s="16" t="s">
        <v>60</v>
      </c>
      <c r="X1203" s="16" t="s">
        <v>66</v>
      </c>
      <c r="Y1203" s="45">
        <v>43361</v>
      </c>
      <c r="Z1203" s="16" t="s">
        <v>66</v>
      </c>
      <c r="AA1203" s="45">
        <v>43367</v>
      </c>
      <c r="AB1203" s="16"/>
    </row>
    <row r="1204" spans="1:28" ht="15" customHeight="1">
      <c r="A1204" s="290"/>
      <c r="C1204" s="16">
        <v>86</v>
      </c>
      <c r="D1204" s="2">
        <v>21403</v>
      </c>
      <c r="E1204" s="2" t="s">
        <v>20</v>
      </c>
      <c r="F1204" s="3">
        <v>29607210102109</v>
      </c>
      <c r="G1204" s="16" t="s">
        <v>34</v>
      </c>
      <c r="H1204" s="2" t="s">
        <v>36</v>
      </c>
      <c r="I1204" s="2" t="s">
        <v>66</v>
      </c>
      <c r="J1204" s="7">
        <v>43316</v>
      </c>
      <c r="K1204" s="16" t="s">
        <v>8</v>
      </c>
      <c r="L1204" s="16" t="s">
        <v>12</v>
      </c>
      <c r="M1204" s="2" t="s">
        <v>108</v>
      </c>
      <c r="W1204" s="16" t="s">
        <v>60</v>
      </c>
      <c r="Y1204" s="7">
        <v>43345</v>
      </c>
      <c r="Z1204" s="16" t="s">
        <v>66</v>
      </c>
      <c r="AA1204" s="7">
        <v>43367</v>
      </c>
    </row>
    <row r="1205" spans="1:28" ht="15" customHeight="1">
      <c r="A1205" s="290"/>
      <c r="C1205" s="16">
        <v>86</v>
      </c>
      <c r="D1205" s="2">
        <v>21404</v>
      </c>
      <c r="E1205" s="2" t="s">
        <v>21</v>
      </c>
      <c r="F1205" s="3">
        <v>29301182402213</v>
      </c>
      <c r="G1205" s="16" t="s">
        <v>34</v>
      </c>
      <c r="H1205" s="2" t="s">
        <v>37</v>
      </c>
      <c r="I1205" s="2" t="s">
        <v>66</v>
      </c>
      <c r="J1205" s="7">
        <v>43316</v>
      </c>
      <c r="K1205" s="16" t="s">
        <v>8</v>
      </c>
      <c r="L1205" s="16" t="s">
        <v>12</v>
      </c>
      <c r="M1205" s="2" t="s">
        <v>50</v>
      </c>
      <c r="W1205" s="16" t="s">
        <v>62</v>
      </c>
      <c r="X1205" s="2" t="s">
        <v>66</v>
      </c>
      <c r="Y1205" s="7">
        <v>43361</v>
      </c>
      <c r="Z1205" s="16" t="s">
        <v>67</v>
      </c>
    </row>
    <row r="1206" spans="1:28" ht="15" customHeight="1">
      <c r="A1206" s="290"/>
      <c r="C1206" s="16">
        <v>86</v>
      </c>
      <c r="D1206" s="2">
        <v>21405</v>
      </c>
      <c r="E1206" s="2" t="s">
        <v>22</v>
      </c>
      <c r="F1206" s="3">
        <v>29210248800139</v>
      </c>
      <c r="G1206" s="16" t="s">
        <v>34</v>
      </c>
      <c r="H1206" s="2" t="s">
        <v>38</v>
      </c>
      <c r="I1206" s="2" t="s">
        <v>66</v>
      </c>
      <c r="J1206" s="7">
        <v>43316</v>
      </c>
      <c r="K1206" s="16" t="s">
        <v>8</v>
      </c>
      <c r="L1206" s="16" t="s">
        <v>12</v>
      </c>
      <c r="M1206" s="2" t="s">
        <v>51</v>
      </c>
      <c r="W1206" s="16" t="s">
        <v>62</v>
      </c>
      <c r="X1206" s="2" t="s">
        <v>66</v>
      </c>
      <c r="Y1206" s="7">
        <v>43361</v>
      </c>
      <c r="Z1206" s="16" t="s">
        <v>67</v>
      </c>
    </row>
    <row r="1207" spans="1:28" ht="15" customHeight="1">
      <c r="A1207" s="290"/>
      <c r="C1207" s="16">
        <v>86</v>
      </c>
      <c r="D1207" s="2">
        <v>21406</v>
      </c>
      <c r="E1207" s="2" t="s">
        <v>23</v>
      </c>
      <c r="F1207" s="3">
        <v>29504260101584</v>
      </c>
      <c r="G1207" s="16" t="s">
        <v>34</v>
      </c>
      <c r="H1207" s="2" t="s">
        <v>39</v>
      </c>
      <c r="I1207" s="2" t="s">
        <v>66</v>
      </c>
      <c r="J1207" s="7">
        <v>43316</v>
      </c>
      <c r="K1207" s="16" t="s">
        <v>8</v>
      </c>
      <c r="L1207" s="16" t="s">
        <v>12</v>
      </c>
      <c r="M1207" s="2" t="s">
        <v>52</v>
      </c>
      <c r="W1207" s="16" t="s">
        <v>61</v>
      </c>
      <c r="Y1207" s="7">
        <v>43345</v>
      </c>
      <c r="Z1207" s="16" t="s">
        <v>66</v>
      </c>
      <c r="AA1207" s="7">
        <v>43352</v>
      </c>
    </row>
    <row r="1208" spans="1:28" ht="15" customHeight="1">
      <c r="A1208" s="290"/>
      <c r="C1208" s="16">
        <v>86</v>
      </c>
      <c r="D1208" s="2">
        <v>21407</v>
      </c>
      <c r="E1208" s="2" t="s">
        <v>24</v>
      </c>
      <c r="F1208" s="3">
        <v>29511260101572</v>
      </c>
      <c r="G1208" s="16" t="s">
        <v>4</v>
      </c>
      <c r="H1208" s="2" t="s">
        <v>40</v>
      </c>
      <c r="I1208" s="2" t="s">
        <v>66</v>
      </c>
      <c r="J1208" s="7">
        <v>43316</v>
      </c>
      <c r="K1208" s="16" t="s">
        <v>8</v>
      </c>
      <c r="L1208" s="16" t="s">
        <v>12</v>
      </c>
      <c r="M1208" s="2" t="s">
        <v>53</v>
      </c>
      <c r="W1208" s="16" t="s">
        <v>60</v>
      </c>
      <c r="X1208" s="2" t="s">
        <v>66</v>
      </c>
      <c r="Y1208" s="7">
        <v>43361</v>
      </c>
      <c r="Z1208" s="16" t="s">
        <v>66</v>
      </c>
    </row>
    <row r="1209" spans="1:28" ht="15" customHeight="1">
      <c r="A1209" s="290"/>
      <c r="C1209" s="16">
        <v>86</v>
      </c>
      <c r="D1209" s="2">
        <v>21408</v>
      </c>
      <c r="E1209" s="2" t="s">
        <v>25</v>
      </c>
      <c r="F1209" s="3">
        <v>29401098800771</v>
      </c>
      <c r="G1209" s="16" t="s">
        <v>34</v>
      </c>
      <c r="H1209" s="2" t="s">
        <v>41</v>
      </c>
      <c r="I1209" s="2" t="s">
        <v>66</v>
      </c>
      <c r="J1209" s="7">
        <v>43316</v>
      </c>
      <c r="K1209" s="16" t="s">
        <v>8</v>
      </c>
      <c r="L1209" s="16" t="s">
        <v>12</v>
      </c>
      <c r="M1209" s="2" t="s">
        <v>54</v>
      </c>
      <c r="W1209" s="16" t="s">
        <v>60</v>
      </c>
      <c r="X1209" s="16"/>
      <c r="Y1209" s="7">
        <v>43345</v>
      </c>
      <c r="Z1209" s="16" t="s">
        <v>66</v>
      </c>
      <c r="AA1209" s="7">
        <v>43367</v>
      </c>
    </row>
    <row r="1210" spans="1:28" ht="15" customHeight="1">
      <c r="A1210" s="290"/>
      <c r="C1210" s="16">
        <v>86</v>
      </c>
      <c r="D1210" s="2">
        <v>21409</v>
      </c>
      <c r="E1210" s="2" t="s">
        <v>26</v>
      </c>
      <c r="F1210" s="3">
        <v>29709052101555</v>
      </c>
      <c r="G1210" s="16" t="s">
        <v>34</v>
      </c>
      <c r="H1210" s="2" t="s">
        <v>42</v>
      </c>
      <c r="I1210" s="2" t="s">
        <v>66</v>
      </c>
      <c r="J1210" s="7">
        <v>43316</v>
      </c>
      <c r="K1210" s="16" t="s">
        <v>8</v>
      </c>
      <c r="L1210" s="16" t="s">
        <v>12</v>
      </c>
      <c r="M1210" s="2" t="s">
        <v>55</v>
      </c>
      <c r="W1210" s="16" t="s">
        <v>61</v>
      </c>
      <c r="X1210" s="2" t="s">
        <v>66</v>
      </c>
      <c r="Y1210" s="7">
        <v>43361</v>
      </c>
      <c r="Z1210" s="16" t="s">
        <v>67</v>
      </c>
    </row>
    <row r="1211" spans="1:28" ht="15" customHeight="1">
      <c r="A1211" s="290"/>
      <c r="C1211" s="16">
        <v>86</v>
      </c>
      <c r="D1211" s="2">
        <v>21410</v>
      </c>
      <c r="E1211" s="2" t="s">
        <v>27</v>
      </c>
      <c r="F1211" s="3">
        <v>29104012111834</v>
      </c>
      <c r="G1211" s="16" t="s">
        <v>34</v>
      </c>
      <c r="H1211" s="2" t="s">
        <v>43</v>
      </c>
      <c r="I1211" s="2" t="s">
        <v>66</v>
      </c>
      <c r="J1211" s="7">
        <v>43316</v>
      </c>
      <c r="K1211" s="16" t="s">
        <v>8</v>
      </c>
      <c r="L1211" s="16" t="s">
        <v>12</v>
      </c>
      <c r="M1211" s="2" t="s">
        <v>52</v>
      </c>
      <c r="W1211" s="16" t="s">
        <v>62</v>
      </c>
      <c r="X1211" s="16"/>
      <c r="Y1211" s="7">
        <v>43345</v>
      </c>
      <c r="Z1211" s="16" t="s">
        <v>66</v>
      </c>
      <c r="AA1211" s="7">
        <v>43360</v>
      </c>
    </row>
    <row r="1212" spans="1:28" ht="15" customHeight="1">
      <c r="A1212" s="290"/>
      <c r="C1212" s="16">
        <v>86</v>
      </c>
      <c r="D1212" s="2">
        <v>21411</v>
      </c>
      <c r="E1212" s="2" t="s">
        <v>28</v>
      </c>
      <c r="F1212" s="3">
        <v>29606018800114</v>
      </c>
      <c r="G1212" s="16" t="s">
        <v>4</v>
      </c>
      <c r="H1212" s="2" t="s">
        <v>44</v>
      </c>
      <c r="I1212" s="2" t="s">
        <v>66</v>
      </c>
      <c r="J1212" s="7">
        <v>43316</v>
      </c>
      <c r="K1212" s="16" t="s">
        <v>8</v>
      </c>
      <c r="L1212" s="16" t="s">
        <v>12</v>
      </c>
      <c r="M1212" s="2" t="s">
        <v>56</v>
      </c>
      <c r="W1212" s="16" t="s">
        <v>64</v>
      </c>
      <c r="X1212" s="5"/>
      <c r="Z1212" s="16" t="s">
        <v>67</v>
      </c>
    </row>
    <row r="1213" spans="1:28" ht="15" customHeight="1">
      <c r="A1213" s="290"/>
      <c r="C1213" s="16">
        <v>86</v>
      </c>
      <c r="D1213" s="2">
        <v>21412</v>
      </c>
      <c r="E1213" s="2" t="s">
        <v>29</v>
      </c>
      <c r="F1213" s="3">
        <v>29310088800107</v>
      </c>
      <c r="G1213" s="16" t="s">
        <v>34</v>
      </c>
      <c r="H1213" s="2" t="s">
        <v>45</v>
      </c>
      <c r="I1213" s="2" t="s">
        <v>66</v>
      </c>
      <c r="J1213" s="7">
        <v>43316</v>
      </c>
      <c r="K1213" s="16" t="s">
        <v>8</v>
      </c>
      <c r="L1213" s="16" t="s">
        <v>12</v>
      </c>
      <c r="M1213" s="2" t="s">
        <v>57</v>
      </c>
      <c r="W1213" s="16" t="s">
        <v>62</v>
      </c>
      <c r="X1213" s="16"/>
      <c r="Y1213" s="7">
        <v>43345</v>
      </c>
      <c r="Z1213" s="16" t="s">
        <v>66</v>
      </c>
      <c r="AA1213" s="7">
        <v>43360</v>
      </c>
    </row>
    <row r="1214" spans="1:28" ht="15" customHeight="1">
      <c r="A1214" s="290"/>
      <c r="C1214" s="16">
        <v>86</v>
      </c>
      <c r="D1214" s="16">
        <v>21413</v>
      </c>
      <c r="E1214" s="16" t="s">
        <v>30</v>
      </c>
      <c r="F1214" s="3">
        <v>29209240102957</v>
      </c>
      <c r="G1214" s="16" t="s">
        <v>34</v>
      </c>
      <c r="H1214" s="16" t="s">
        <v>46</v>
      </c>
      <c r="I1214" s="16" t="s">
        <v>66</v>
      </c>
      <c r="J1214" s="45">
        <v>43316</v>
      </c>
      <c r="K1214" s="16" t="s">
        <v>8</v>
      </c>
      <c r="L1214" s="16" t="s">
        <v>12</v>
      </c>
      <c r="M1214" s="16" t="s">
        <v>58</v>
      </c>
      <c r="N1214" s="16"/>
      <c r="W1214" s="16" t="s">
        <v>63</v>
      </c>
      <c r="X1214" s="5"/>
      <c r="Y1214" s="45"/>
      <c r="Z1214" s="16" t="str">
        <f>IF(OR(W1214="Dismissed", W1214="Resigned"),"No","")</f>
        <v>No</v>
      </c>
      <c r="AA1214" s="45"/>
      <c r="AB1214" s="16"/>
    </row>
    <row r="1215" spans="1:28" ht="15" customHeight="1">
      <c r="A1215" s="290"/>
      <c r="C1215" s="16">
        <v>86</v>
      </c>
      <c r="D1215" s="2">
        <v>21414</v>
      </c>
      <c r="E1215" s="2" t="s">
        <v>31</v>
      </c>
      <c r="F1215" s="3">
        <v>29502120101174</v>
      </c>
      <c r="G1215" s="16" t="s">
        <v>34</v>
      </c>
      <c r="H1215" s="2" t="s">
        <v>47</v>
      </c>
      <c r="I1215" s="2" t="s">
        <v>66</v>
      </c>
      <c r="J1215" s="7">
        <v>43316</v>
      </c>
      <c r="K1215" s="16" t="s">
        <v>8</v>
      </c>
      <c r="L1215" s="16" t="s">
        <v>12</v>
      </c>
      <c r="M1215" s="2" t="s">
        <v>57</v>
      </c>
      <c r="W1215" s="16" t="s">
        <v>64</v>
      </c>
      <c r="X1215" s="5"/>
      <c r="Z1215" s="16" t="str">
        <f>IF(OR(W1215="Dismissed", W1215="Resigned"),"No","")</f>
        <v>No</v>
      </c>
    </row>
    <row r="1216" spans="1:28" ht="15" customHeight="1">
      <c r="A1216" s="290"/>
      <c r="C1216" s="16">
        <v>86</v>
      </c>
      <c r="D1216" s="2">
        <v>21415</v>
      </c>
      <c r="E1216" s="2" t="s">
        <v>32</v>
      </c>
      <c r="F1216" s="3">
        <v>27901248800274</v>
      </c>
      <c r="G1216" s="16" t="s">
        <v>34</v>
      </c>
      <c r="H1216" s="2" t="s">
        <v>48</v>
      </c>
      <c r="I1216" s="2" t="s">
        <v>66</v>
      </c>
      <c r="J1216" s="7">
        <v>43316</v>
      </c>
      <c r="K1216" s="16" t="s">
        <v>8</v>
      </c>
      <c r="L1216" s="16" t="s">
        <v>12</v>
      </c>
      <c r="M1216" s="2" t="s">
        <v>15</v>
      </c>
      <c r="W1216" s="16" t="s">
        <v>64</v>
      </c>
      <c r="X1216" s="5"/>
      <c r="Z1216" s="16" t="str">
        <f>IF(OR(W1216="Dismissed", W1216="Resigned"),"No","")</f>
        <v>No</v>
      </c>
    </row>
    <row r="1217" spans="1:28" ht="15.75" customHeight="1" thickBot="1">
      <c r="A1217" s="291"/>
      <c r="C1217" s="28">
        <v>86</v>
      </c>
      <c r="D1217" s="28">
        <v>18907</v>
      </c>
      <c r="E1217" s="28" t="s">
        <v>33</v>
      </c>
      <c r="F1217" s="29">
        <v>29302020104991</v>
      </c>
      <c r="G1217" s="28" t="s">
        <v>3663</v>
      </c>
      <c r="H1217" s="28" t="s">
        <v>49</v>
      </c>
      <c r="I1217" s="28" t="s">
        <v>67</v>
      </c>
      <c r="J1217" s="30">
        <v>43316</v>
      </c>
      <c r="K1217" s="28" t="s">
        <v>8</v>
      </c>
      <c r="L1217" s="28" t="s">
        <v>12</v>
      </c>
      <c r="M1217" s="28" t="s">
        <v>55</v>
      </c>
      <c r="N1217" s="28"/>
      <c r="O1217" s="226"/>
      <c r="P1217" s="28"/>
      <c r="Q1217" s="226"/>
      <c r="R1217" s="28"/>
      <c r="S1217" s="28"/>
      <c r="T1217" s="28"/>
      <c r="U1217" s="28"/>
      <c r="V1217" s="28"/>
      <c r="W1217" s="28" t="s">
        <v>61</v>
      </c>
      <c r="X1217" s="28"/>
      <c r="Y1217" s="30">
        <v>43345</v>
      </c>
      <c r="Z1217" s="28" t="s">
        <v>66</v>
      </c>
      <c r="AA1217" s="30">
        <v>43352</v>
      </c>
      <c r="AB1217" s="28"/>
    </row>
    <row r="1218" spans="1:28" ht="15.75" customHeight="1" thickTop="1">
      <c r="A1218" s="289" t="s">
        <v>3129</v>
      </c>
      <c r="C1218" s="16">
        <v>87</v>
      </c>
      <c r="D1218" s="2">
        <v>21425</v>
      </c>
      <c r="E1218" s="2" t="s">
        <v>68</v>
      </c>
      <c r="F1218" s="3">
        <v>29603010104527</v>
      </c>
      <c r="G1218" s="16" t="s">
        <v>34</v>
      </c>
      <c r="H1218" s="2" t="s">
        <v>84</v>
      </c>
      <c r="I1218" s="2" t="s">
        <v>66</v>
      </c>
      <c r="J1218" s="7">
        <v>43316</v>
      </c>
      <c r="K1218" s="16" t="s">
        <v>8</v>
      </c>
      <c r="L1218" s="16" t="s">
        <v>12</v>
      </c>
      <c r="M1218" s="2" t="s">
        <v>100</v>
      </c>
      <c r="W1218" s="16" t="s">
        <v>110</v>
      </c>
      <c r="Y1218" s="7">
        <v>43346</v>
      </c>
      <c r="Z1218" s="16" t="s">
        <v>66</v>
      </c>
      <c r="AA1218" s="7">
        <v>43367</v>
      </c>
    </row>
    <row r="1219" spans="1:28" ht="15" customHeight="1">
      <c r="A1219" s="290"/>
      <c r="C1219" s="2">
        <v>87</v>
      </c>
      <c r="D1219" s="2">
        <v>21426</v>
      </c>
      <c r="E1219" s="2" t="s">
        <v>69</v>
      </c>
      <c r="F1219" s="3">
        <v>29609080101752</v>
      </c>
      <c r="G1219" s="16" t="s">
        <v>34</v>
      </c>
      <c r="H1219" s="2" t="s">
        <v>85</v>
      </c>
      <c r="I1219" s="16" t="s">
        <v>66</v>
      </c>
      <c r="J1219" s="4">
        <v>43316</v>
      </c>
      <c r="K1219" s="16" t="s">
        <v>8</v>
      </c>
      <c r="L1219" s="16" t="s">
        <v>12</v>
      </c>
      <c r="M1219" s="2" t="s">
        <v>101</v>
      </c>
      <c r="W1219" s="16" t="s">
        <v>110</v>
      </c>
      <c r="X1219" s="16"/>
      <c r="Y1219" s="7">
        <v>43346</v>
      </c>
      <c r="Z1219" s="16" t="s">
        <v>66</v>
      </c>
      <c r="AA1219" s="7">
        <v>43367</v>
      </c>
    </row>
    <row r="1220" spans="1:28" ht="15" customHeight="1">
      <c r="A1220" s="290"/>
      <c r="C1220" s="16">
        <v>87</v>
      </c>
      <c r="D1220" s="2">
        <v>21427</v>
      </c>
      <c r="E1220" s="2" t="s">
        <v>70</v>
      </c>
      <c r="F1220" s="3">
        <v>28809231300961</v>
      </c>
      <c r="G1220" s="16" t="s">
        <v>34</v>
      </c>
      <c r="H1220" s="2" t="s">
        <v>86</v>
      </c>
      <c r="I1220" s="16" t="s">
        <v>66</v>
      </c>
      <c r="J1220" s="4">
        <v>43316</v>
      </c>
      <c r="K1220" s="16" t="s">
        <v>8</v>
      </c>
      <c r="L1220" s="16" t="s">
        <v>12</v>
      </c>
      <c r="M1220" s="2" t="s">
        <v>102</v>
      </c>
      <c r="W1220" s="16" t="s">
        <v>111</v>
      </c>
      <c r="Y1220" s="7">
        <v>43346</v>
      </c>
      <c r="Z1220" s="16" t="s">
        <v>66</v>
      </c>
      <c r="AA1220" s="7">
        <v>43360</v>
      </c>
    </row>
    <row r="1221" spans="1:28" ht="15" customHeight="1">
      <c r="A1221" s="290"/>
      <c r="C1221" s="16">
        <v>87</v>
      </c>
      <c r="D1221" s="2">
        <v>21428</v>
      </c>
      <c r="E1221" s="2" t="s">
        <v>71</v>
      </c>
      <c r="F1221" s="3">
        <v>29705128800258</v>
      </c>
      <c r="G1221" s="16" t="s">
        <v>83</v>
      </c>
      <c r="H1221" s="2" t="s">
        <v>87</v>
      </c>
      <c r="I1221" s="16" t="s">
        <v>66</v>
      </c>
      <c r="J1221" s="4">
        <v>43316</v>
      </c>
      <c r="K1221" s="16" t="s">
        <v>8</v>
      </c>
      <c r="L1221" s="16" t="s">
        <v>12</v>
      </c>
      <c r="M1221" s="2" t="s">
        <v>103</v>
      </c>
      <c r="W1221" s="16" t="s">
        <v>110</v>
      </c>
      <c r="Y1221" s="7">
        <v>43346</v>
      </c>
      <c r="Z1221" s="16" t="s">
        <v>66</v>
      </c>
    </row>
    <row r="1222" spans="1:28" ht="15" customHeight="1">
      <c r="A1222" s="290"/>
      <c r="C1222" s="16">
        <v>87</v>
      </c>
      <c r="D1222" s="2">
        <v>21429</v>
      </c>
      <c r="E1222" s="2" t="s">
        <v>72</v>
      </c>
      <c r="F1222" s="3">
        <v>29904160100945</v>
      </c>
      <c r="G1222" s="16" t="s">
        <v>4</v>
      </c>
      <c r="H1222" s="2" t="s">
        <v>88</v>
      </c>
      <c r="I1222" s="16" t="s">
        <v>66</v>
      </c>
      <c r="J1222" s="4">
        <v>43316</v>
      </c>
      <c r="K1222" s="16" t="s">
        <v>8</v>
      </c>
      <c r="L1222" s="16" t="s">
        <v>12</v>
      </c>
      <c r="M1222" s="2" t="s">
        <v>103</v>
      </c>
      <c r="W1222" s="16" t="s">
        <v>110</v>
      </c>
      <c r="Y1222" s="7">
        <v>43346</v>
      </c>
      <c r="Z1222" s="16" t="s">
        <v>66</v>
      </c>
      <c r="AA1222" s="7">
        <v>43367</v>
      </c>
    </row>
    <row r="1223" spans="1:28" ht="15" customHeight="1">
      <c r="A1223" s="290"/>
      <c r="C1223" s="16">
        <v>87</v>
      </c>
      <c r="D1223" s="2">
        <v>21430</v>
      </c>
      <c r="E1223" s="2" t="s">
        <v>73</v>
      </c>
      <c r="F1223" s="3">
        <v>29501012129163</v>
      </c>
      <c r="G1223" s="16" t="s">
        <v>34</v>
      </c>
      <c r="H1223" s="2" t="s">
        <v>89</v>
      </c>
      <c r="I1223" s="16" t="s">
        <v>66</v>
      </c>
      <c r="J1223" s="4">
        <v>43316</v>
      </c>
      <c r="K1223" s="16" t="s">
        <v>8</v>
      </c>
      <c r="L1223" s="16" t="s">
        <v>12</v>
      </c>
      <c r="M1223" s="2" t="s">
        <v>104</v>
      </c>
      <c r="W1223" s="16" t="s">
        <v>64</v>
      </c>
      <c r="X1223" s="5"/>
      <c r="Z1223" s="16" t="s">
        <v>67</v>
      </c>
    </row>
    <row r="1224" spans="1:28" ht="15" customHeight="1">
      <c r="A1224" s="290"/>
      <c r="C1224" s="16">
        <v>87</v>
      </c>
      <c r="D1224" s="2">
        <v>21431</v>
      </c>
      <c r="E1224" s="2" t="s">
        <v>74</v>
      </c>
      <c r="F1224" s="3">
        <v>29510280100932</v>
      </c>
      <c r="G1224" s="16" t="s">
        <v>34</v>
      </c>
      <c r="H1224" s="2" t="s">
        <v>90</v>
      </c>
      <c r="I1224" s="16" t="s">
        <v>66</v>
      </c>
      <c r="J1224" s="4">
        <v>43316</v>
      </c>
      <c r="K1224" s="16" t="s">
        <v>8</v>
      </c>
      <c r="L1224" s="16" t="s">
        <v>12</v>
      </c>
      <c r="M1224" s="2" t="s">
        <v>105</v>
      </c>
      <c r="W1224" s="16" t="s">
        <v>111</v>
      </c>
      <c r="X1224" s="16"/>
      <c r="Y1224" s="7">
        <v>43346</v>
      </c>
      <c r="Z1224" s="16" t="s">
        <v>67</v>
      </c>
    </row>
    <row r="1225" spans="1:28" ht="15" customHeight="1">
      <c r="A1225" s="290"/>
      <c r="C1225" s="16">
        <v>87</v>
      </c>
      <c r="D1225" s="2">
        <v>21432</v>
      </c>
      <c r="E1225" s="2" t="s">
        <v>75</v>
      </c>
      <c r="F1225" s="3">
        <v>28506010111125</v>
      </c>
      <c r="G1225" s="16" t="s">
        <v>34</v>
      </c>
      <c r="H1225" s="2" t="s">
        <v>91</v>
      </c>
      <c r="I1225" s="16" t="s">
        <v>66</v>
      </c>
      <c r="J1225" s="4">
        <v>43316</v>
      </c>
      <c r="K1225" s="16" t="s">
        <v>8</v>
      </c>
      <c r="L1225" s="16" t="s">
        <v>12</v>
      </c>
      <c r="M1225" s="2" t="s">
        <v>109</v>
      </c>
      <c r="W1225" s="16" t="s">
        <v>111</v>
      </c>
      <c r="Y1225" s="7">
        <v>43346</v>
      </c>
      <c r="Z1225" s="16" t="s">
        <v>66</v>
      </c>
      <c r="AA1225" s="7">
        <v>43360</v>
      </c>
    </row>
    <row r="1226" spans="1:28" ht="15" customHeight="1">
      <c r="A1226" s="290"/>
      <c r="C1226" s="16">
        <v>87</v>
      </c>
      <c r="D1226" s="2">
        <v>21433</v>
      </c>
      <c r="E1226" s="2" t="s">
        <v>76</v>
      </c>
      <c r="F1226" s="3">
        <v>29410292101549</v>
      </c>
      <c r="G1226" s="16" t="s">
        <v>34</v>
      </c>
      <c r="H1226" s="2" t="s">
        <v>92</v>
      </c>
      <c r="I1226" s="16" t="s">
        <v>66</v>
      </c>
      <c r="J1226" s="4">
        <v>43316</v>
      </c>
      <c r="K1226" s="16" t="s">
        <v>8</v>
      </c>
      <c r="L1226" s="16" t="s">
        <v>12</v>
      </c>
      <c r="M1226" s="2" t="s">
        <v>109</v>
      </c>
      <c r="W1226" s="16" t="s">
        <v>61</v>
      </c>
      <c r="Y1226" s="7">
        <v>43346</v>
      </c>
      <c r="Z1226" s="16" t="s">
        <v>66</v>
      </c>
      <c r="AA1226" s="7">
        <v>43352</v>
      </c>
    </row>
    <row r="1227" spans="1:28" ht="15" customHeight="1">
      <c r="A1227" s="290"/>
      <c r="C1227" s="16">
        <v>87</v>
      </c>
      <c r="D1227" s="2">
        <v>21434</v>
      </c>
      <c r="E1227" s="2" t="s">
        <v>77</v>
      </c>
      <c r="F1227" s="3">
        <v>29601020101574</v>
      </c>
      <c r="G1227" s="16" t="s">
        <v>34</v>
      </c>
      <c r="H1227" s="2" t="s">
        <v>93</v>
      </c>
      <c r="I1227" s="16" t="s">
        <v>66</v>
      </c>
      <c r="J1227" s="4">
        <v>43316</v>
      </c>
      <c r="K1227" s="16" t="s">
        <v>8</v>
      </c>
      <c r="L1227" s="16" t="s">
        <v>12</v>
      </c>
      <c r="M1227" s="2" t="s">
        <v>106</v>
      </c>
      <c r="W1227" s="16" t="s">
        <v>61</v>
      </c>
      <c r="Y1227" s="7">
        <v>43346</v>
      </c>
      <c r="Z1227" s="16" t="s">
        <v>66</v>
      </c>
      <c r="AA1227" s="7">
        <v>43352</v>
      </c>
    </row>
    <row r="1228" spans="1:28" ht="15" customHeight="1">
      <c r="A1228" s="290"/>
      <c r="C1228" s="16">
        <v>87</v>
      </c>
      <c r="D1228" s="2">
        <v>21435</v>
      </c>
      <c r="E1228" s="2" t="s">
        <v>78</v>
      </c>
      <c r="F1228" s="3">
        <v>29809252103751</v>
      </c>
      <c r="G1228" s="16" t="s">
        <v>3663</v>
      </c>
      <c r="H1228" s="2" t="s">
        <v>94</v>
      </c>
      <c r="I1228" s="16" t="s">
        <v>66</v>
      </c>
      <c r="J1228" s="4">
        <v>43316</v>
      </c>
      <c r="K1228" s="16" t="s">
        <v>8</v>
      </c>
      <c r="L1228" s="16" t="s">
        <v>12</v>
      </c>
      <c r="M1228" s="2" t="s">
        <v>103</v>
      </c>
      <c r="W1228" s="16" t="s">
        <v>64</v>
      </c>
      <c r="X1228" s="5"/>
      <c r="Z1228" s="16" t="s">
        <v>67</v>
      </c>
    </row>
    <row r="1229" spans="1:28" ht="15" customHeight="1">
      <c r="A1229" s="290"/>
      <c r="C1229" s="16">
        <v>87</v>
      </c>
      <c r="D1229" s="16">
        <v>21436</v>
      </c>
      <c r="E1229" s="16" t="s">
        <v>79</v>
      </c>
      <c r="F1229" s="3">
        <v>29410270100328</v>
      </c>
      <c r="G1229" s="16" t="s">
        <v>34</v>
      </c>
      <c r="H1229" s="16" t="s">
        <v>95</v>
      </c>
      <c r="I1229" s="16" t="s">
        <v>66</v>
      </c>
      <c r="J1229" s="45">
        <v>43316</v>
      </c>
      <c r="K1229" s="16" t="s">
        <v>8</v>
      </c>
      <c r="L1229" s="16" t="s">
        <v>12</v>
      </c>
      <c r="M1229" s="16" t="s">
        <v>107</v>
      </c>
      <c r="N1229" s="16"/>
      <c r="W1229" s="16" t="s">
        <v>111</v>
      </c>
      <c r="X1229" s="16"/>
      <c r="Y1229" s="45">
        <v>43346</v>
      </c>
      <c r="Z1229" s="16" t="s">
        <v>66</v>
      </c>
      <c r="AA1229" s="45">
        <v>43360</v>
      </c>
      <c r="AB1229" s="16"/>
    </row>
    <row r="1230" spans="1:28" ht="15" customHeight="1">
      <c r="A1230" s="290"/>
      <c r="C1230" s="16">
        <v>87</v>
      </c>
      <c r="D1230" s="2">
        <v>21438</v>
      </c>
      <c r="E1230" s="2" t="s">
        <v>80</v>
      </c>
      <c r="F1230" s="3">
        <v>29510140101858</v>
      </c>
      <c r="G1230" s="16" t="s">
        <v>34</v>
      </c>
      <c r="H1230" s="2" t="s">
        <v>96</v>
      </c>
      <c r="I1230" s="16" t="s">
        <v>99</v>
      </c>
      <c r="J1230" s="4">
        <v>43316</v>
      </c>
      <c r="K1230" s="16" t="s">
        <v>8</v>
      </c>
      <c r="L1230" s="16" t="s">
        <v>12</v>
      </c>
      <c r="M1230" s="2" t="s">
        <v>54</v>
      </c>
      <c r="W1230" s="16" t="s">
        <v>110</v>
      </c>
      <c r="Y1230" s="7">
        <v>43346</v>
      </c>
    </row>
    <row r="1231" spans="1:28" ht="15" customHeight="1">
      <c r="A1231" s="290"/>
      <c r="C1231" s="16">
        <v>87</v>
      </c>
      <c r="D1231" s="2">
        <v>21439</v>
      </c>
      <c r="E1231" s="2" t="s">
        <v>81</v>
      </c>
      <c r="F1231" s="3">
        <v>29204282800971</v>
      </c>
      <c r="G1231" s="16" t="s">
        <v>34</v>
      </c>
      <c r="H1231" s="2" t="s">
        <v>97</v>
      </c>
      <c r="I1231" s="16" t="s">
        <v>66</v>
      </c>
      <c r="J1231" s="4">
        <v>43316</v>
      </c>
      <c r="K1231" s="16" t="s">
        <v>8</v>
      </c>
      <c r="L1231" s="16" t="s">
        <v>12</v>
      </c>
      <c r="M1231" s="2" t="s">
        <v>52</v>
      </c>
      <c r="W1231" s="16" t="s">
        <v>62</v>
      </c>
      <c r="X1231" s="2" t="s">
        <v>66</v>
      </c>
      <c r="Y1231" s="7">
        <v>43361</v>
      </c>
      <c r="Z1231" s="16" t="s">
        <v>66</v>
      </c>
      <c r="AA1231" s="7">
        <v>43667</v>
      </c>
      <c r="AB1231" s="2" t="s">
        <v>4821</v>
      </c>
    </row>
    <row r="1232" spans="1:28" ht="15.75" customHeight="1" thickBot="1">
      <c r="A1232" s="291"/>
      <c r="C1232" s="28">
        <v>87</v>
      </c>
      <c r="D1232" s="28">
        <v>17652</v>
      </c>
      <c r="E1232" s="28" t="s">
        <v>82</v>
      </c>
      <c r="F1232" s="29">
        <v>29601222102394</v>
      </c>
      <c r="G1232" s="28" t="s">
        <v>34</v>
      </c>
      <c r="H1232" s="28" t="s">
        <v>98</v>
      </c>
      <c r="I1232" s="28" t="s">
        <v>67</v>
      </c>
      <c r="J1232" s="30">
        <v>43316</v>
      </c>
      <c r="K1232" s="28" t="s">
        <v>8</v>
      </c>
      <c r="L1232" s="28" t="s">
        <v>12</v>
      </c>
      <c r="M1232" s="28" t="s">
        <v>109</v>
      </c>
      <c r="N1232" s="28"/>
      <c r="O1232" s="226"/>
      <c r="P1232" s="28"/>
      <c r="Q1232" s="226"/>
      <c r="R1232" s="28"/>
      <c r="S1232" s="28"/>
      <c r="T1232" s="28"/>
      <c r="U1232" s="28"/>
      <c r="V1232" s="28"/>
      <c r="W1232" s="28" t="s">
        <v>60</v>
      </c>
      <c r="X1232" s="28"/>
      <c r="Y1232" s="30">
        <v>43346</v>
      </c>
      <c r="Z1232" s="28" t="s">
        <v>66</v>
      </c>
      <c r="AA1232" s="30">
        <v>43346</v>
      </c>
      <c r="AB1232" s="28"/>
    </row>
    <row r="1233" spans="1:28" ht="15.75" customHeight="1" thickTop="1">
      <c r="A1233" s="289" t="s">
        <v>3122</v>
      </c>
      <c r="C1233" s="16">
        <v>88</v>
      </c>
      <c r="D1233" s="2">
        <v>21546</v>
      </c>
      <c r="E1233" s="2" t="s">
        <v>112</v>
      </c>
      <c r="F1233" s="3">
        <v>28502062502313</v>
      </c>
      <c r="G1233" s="16" t="s">
        <v>129</v>
      </c>
      <c r="H1233" s="2" t="s">
        <v>130</v>
      </c>
      <c r="I1233" s="16" t="s">
        <v>66</v>
      </c>
      <c r="J1233" s="4">
        <v>43323</v>
      </c>
      <c r="K1233" s="16" t="s">
        <v>8</v>
      </c>
      <c r="L1233" s="16" t="s">
        <v>12</v>
      </c>
      <c r="M1233" s="2" t="s">
        <v>104</v>
      </c>
      <c r="W1233" s="16" t="s">
        <v>63</v>
      </c>
      <c r="X1233" s="5"/>
      <c r="Z1233" s="16" t="s">
        <v>67</v>
      </c>
    </row>
    <row r="1234" spans="1:28" ht="15" customHeight="1">
      <c r="A1234" s="290"/>
      <c r="C1234" s="16">
        <v>88</v>
      </c>
      <c r="D1234" s="2">
        <v>21547</v>
      </c>
      <c r="E1234" s="2" t="s">
        <v>113</v>
      </c>
      <c r="F1234" s="3">
        <v>28611292103497</v>
      </c>
      <c r="G1234" s="16" t="s">
        <v>129</v>
      </c>
      <c r="H1234" s="2" t="s">
        <v>131</v>
      </c>
      <c r="I1234" s="16" t="s">
        <v>66</v>
      </c>
      <c r="J1234" s="4">
        <v>43323</v>
      </c>
      <c r="K1234" s="16" t="s">
        <v>8</v>
      </c>
      <c r="L1234" s="16" t="s">
        <v>12</v>
      </c>
      <c r="M1234" s="2" t="s">
        <v>146</v>
      </c>
      <c r="W1234" s="16" t="s">
        <v>60</v>
      </c>
      <c r="Y1234" s="7">
        <v>43352</v>
      </c>
      <c r="Z1234" s="16" t="s">
        <v>66</v>
      </c>
      <c r="AA1234" s="7">
        <v>43367</v>
      </c>
    </row>
    <row r="1235" spans="1:28" ht="15" customHeight="1">
      <c r="A1235" s="290"/>
      <c r="C1235" s="16">
        <v>88</v>
      </c>
      <c r="D1235" s="2">
        <v>21548</v>
      </c>
      <c r="E1235" s="2" t="s">
        <v>114</v>
      </c>
      <c r="F1235" s="3">
        <v>28109292800727</v>
      </c>
      <c r="G1235" s="16" t="s">
        <v>129</v>
      </c>
      <c r="H1235" s="2" t="s">
        <v>132</v>
      </c>
      <c r="I1235" s="16" t="s">
        <v>66</v>
      </c>
      <c r="J1235" s="4">
        <v>43323</v>
      </c>
      <c r="K1235" s="16" t="s">
        <v>8</v>
      </c>
      <c r="L1235" s="16" t="s">
        <v>12</v>
      </c>
      <c r="M1235" s="2" t="s">
        <v>13</v>
      </c>
      <c r="W1235" s="16" t="s">
        <v>61</v>
      </c>
      <c r="Y1235" s="7">
        <v>43352</v>
      </c>
      <c r="Z1235" s="16" t="s">
        <v>66</v>
      </c>
      <c r="AA1235" s="7">
        <v>43370</v>
      </c>
    </row>
    <row r="1236" spans="1:28" ht="15" customHeight="1">
      <c r="A1236" s="290"/>
      <c r="C1236" s="16">
        <v>88</v>
      </c>
      <c r="D1236" s="2">
        <v>21549</v>
      </c>
      <c r="E1236" s="2" t="s">
        <v>115</v>
      </c>
      <c r="F1236" s="3">
        <v>29609252100427</v>
      </c>
      <c r="G1236" s="16" t="s">
        <v>129</v>
      </c>
      <c r="H1236" s="2" t="s">
        <v>133</v>
      </c>
      <c r="I1236" s="16" t="s">
        <v>66</v>
      </c>
      <c r="J1236" s="4">
        <v>43323</v>
      </c>
      <c r="K1236" s="16" t="s">
        <v>8</v>
      </c>
      <c r="L1236" s="16" t="s">
        <v>12</v>
      </c>
      <c r="M1236" s="2" t="s">
        <v>147</v>
      </c>
      <c r="W1236" s="16" t="s">
        <v>61</v>
      </c>
      <c r="Y1236" s="7">
        <v>43352</v>
      </c>
      <c r="Z1236" s="16" t="s">
        <v>66</v>
      </c>
      <c r="AA1236" s="7">
        <v>43370</v>
      </c>
    </row>
    <row r="1237" spans="1:28" ht="15" customHeight="1">
      <c r="A1237" s="290"/>
      <c r="C1237" s="16">
        <v>88</v>
      </c>
      <c r="D1237" s="2">
        <v>21550</v>
      </c>
      <c r="E1237" s="2" t="s">
        <v>116</v>
      </c>
      <c r="F1237" s="3">
        <v>29606151502126</v>
      </c>
      <c r="G1237" s="2" t="s">
        <v>129</v>
      </c>
      <c r="H1237" s="2" t="s">
        <v>134</v>
      </c>
      <c r="I1237" s="16" t="s">
        <v>66</v>
      </c>
      <c r="J1237" s="4">
        <v>43323</v>
      </c>
      <c r="K1237" s="16" t="s">
        <v>8</v>
      </c>
      <c r="L1237" s="16" t="s">
        <v>12</v>
      </c>
      <c r="M1237" s="2" t="s">
        <v>16</v>
      </c>
      <c r="W1237" s="16" t="s">
        <v>61</v>
      </c>
      <c r="Y1237" s="7">
        <v>43352</v>
      </c>
      <c r="Z1237" s="16" t="s">
        <v>66</v>
      </c>
      <c r="AA1237" s="7">
        <v>43370</v>
      </c>
    </row>
    <row r="1238" spans="1:28" ht="15" customHeight="1">
      <c r="A1238" s="290"/>
      <c r="C1238" s="2">
        <v>88</v>
      </c>
      <c r="D1238" s="2">
        <v>21551</v>
      </c>
      <c r="E1238" s="2" t="s">
        <v>117</v>
      </c>
      <c r="F1238" s="3">
        <v>29303071701745</v>
      </c>
      <c r="G1238" s="2" t="s">
        <v>129</v>
      </c>
      <c r="H1238" s="2" t="s">
        <v>135</v>
      </c>
      <c r="I1238" s="2" t="s">
        <v>66</v>
      </c>
      <c r="J1238" s="4">
        <v>43323</v>
      </c>
      <c r="K1238" s="16" t="s">
        <v>8</v>
      </c>
      <c r="L1238" s="16" t="s">
        <v>12</v>
      </c>
      <c r="M1238" s="2" t="s">
        <v>58</v>
      </c>
      <c r="W1238" s="16" t="s">
        <v>61</v>
      </c>
      <c r="X1238" s="2" t="s">
        <v>66</v>
      </c>
      <c r="Y1238" s="7">
        <v>43380</v>
      </c>
      <c r="Z1238" s="16" t="s">
        <v>67</v>
      </c>
    </row>
    <row r="1239" spans="1:28" ht="15" customHeight="1">
      <c r="A1239" s="290"/>
      <c r="C1239" s="16">
        <v>88</v>
      </c>
      <c r="D1239" s="2">
        <v>21552</v>
      </c>
      <c r="E1239" s="2" t="s">
        <v>118</v>
      </c>
      <c r="F1239" s="3">
        <v>29409080103136</v>
      </c>
      <c r="G1239" s="2" t="s">
        <v>129</v>
      </c>
      <c r="H1239" s="2" t="s">
        <v>136</v>
      </c>
      <c r="I1239" s="2" t="s">
        <v>66</v>
      </c>
      <c r="J1239" s="4">
        <v>43323</v>
      </c>
      <c r="K1239" s="16" t="s">
        <v>8</v>
      </c>
      <c r="L1239" s="16" t="s">
        <v>12</v>
      </c>
      <c r="M1239" s="2" t="s">
        <v>14</v>
      </c>
      <c r="W1239" s="16" t="s">
        <v>61</v>
      </c>
      <c r="Y1239" s="7">
        <v>43352</v>
      </c>
      <c r="Z1239" s="16" t="s">
        <v>66</v>
      </c>
      <c r="AA1239" s="7">
        <v>43370</v>
      </c>
    </row>
    <row r="1240" spans="1:28" ht="15" customHeight="1">
      <c r="A1240" s="290"/>
      <c r="C1240" s="16">
        <v>88</v>
      </c>
      <c r="D1240" s="2">
        <v>21553</v>
      </c>
      <c r="E1240" s="2" t="s">
        <v>119</v>
      </c>
      <c r="F1240" s="3">
        <v>29604092103066</v>
      </c>
      <c r="G1240" s="16" t="s">
        <v>129</v>
      </c>
      <c r="H1240" s="2" t="s">
        <v>137</v>
      </c>
      <c r="I1240" s="2" t="s">
        <v>66</v>
      </c>
      <c r="J1240" s="4">
        <v>43323</v>
      </c>
      <c r="K1240" s="16" t="s">
        <v>8</v>
      </c>
      <c r="L1240" s="16" t="s">
        <v>12</v>
      </c>
      <c r="M1240" s="2" t="s">
        <v>14</v>
      </c>
      <c r="W1240" s="16" t="s">
        <v>60</v>
      </c>
      <c r="X1240" s="2" t="s">
        <v>66</v>
      </c>
      <c r="Y1240" s="7">
        <v>43380</v>
      </c>
      <c r="Z1240" s="16" t="s">
        <v>66</v>
      </c>
      <c r="AA1240" s="7">
        <v>43395</v>
      </c>
    </row>
    <row r="1241" spans="1:28" ht="15" customHeight="1">
      <c r="A1241" s="290"/>
      <c r="C1241" s="16">
        <v>88</v>
      </c>
      <c r="D1241" s="16">
        <v>21554</v>
      </c>
      <c r="E1241" s="16" t="s">
        <v>120</v>
      </c>
      <c r="F1241" s="3">
        <v>29506012100621</v>
      </c>
      <c r="G1241" s="16" t="s">
        <v>129</v>
      </c>
      <c r="H1241" s="16" t="s">
        <v>138</v>
      </c>
      <c r="I1241" s="16" t="s">
        <v>66</v>
      </c>
      <c r="J1241" s="45">
        <v>43323</v>
      </c>
      <c r="K1241" s="16" t="s">
        <v>8</v>
      </c>
      <c r="L1241" s="16" t="s">
        <v>12</v>
      </c>
      <c r="M1241" s="16" t="s">
        <v>14</v>
      </c>
      <c r="N1241" s="16"/>
      <c r="W1241" s="16" t="s">
        <v>60</v>
      </c>
      <c r="X1241" s="16"/>
      <c r="Y1241" s="45">
        <v>43352</v>
      </c>
      <c r="Z1241" s="16" t="s">
        <v>66</v>
      </c>
      <c r="AA1241" s="45">
        <v>43367</v>
      </c>
      <c r="AB1241" s="16"/>
    </row>
    <row r="1242" spans="1:28" ht="15" customHeight="1">
      <c r="A1242" s="290"/>
      <c r="C1242" s="16">
        <v>88</v>
      </c>
      <c r="D1242" s="2">
        <v>21555</v>
      </c>
      <c r="E1242" s="2" t="s">
        <v>121</v>
      </c>
      <c r="F1242" s="3" t="s">
        <v>128</v>
      </c>
      <c r="G1242" s="2" t="s">
        <v>129</v>
      </c>
      <c r="H1242" s="2" t="s">
        <v>139</v>
      </c>
      <c r="I1242" s="2" t="s">
        <v>66</v>
      </c>
      <c r="J1242" s="4">
        <v>43323</v>
      </c>
      <c r="K1242" s="16" t="s">
        <v>8</v>
      </c>
      <c r="L1242" s="16" t="s">
        <v>12</v>
      </c>
      <c r="M1242" s="2" t="s">
        <v>55</v>
      </c>
      <c r="W1242" s="16" t="s">
        <v>170</v>
      </c>
      <c r="X1242" s="2" t="s">
        <v>66</v>
      </c>
      <c r="Y1242" s="7">
        <v>43380</v>
      </c>
      <c r="Z1242" s="16" t="s">
        <v>66</v>
      </c>
      <c r="AA1242" s="7">
        <v>43395</v>
      </c>
    </row>
    <row r="1243" spans="1:28" ht="15" customHeight="1">
      <c r="A1243" s="290"/>
      <c r="C1243" s="16">
        <v>88</v>
      </c>
      <c r="D1243" s="2">
        <v>21556</v>
      </c>
      <c r="E1243" s="2" t="s">
        <v>122</v>
      </c>
      <c r="F1243" s="3">
        <v>29109241601219</v>
      </c>
      <c r="G1243" s="2" t="s">
        <v>129</v>
      </c>
      <c r="H1243" s="2" t="s">
        <v>140</v>
      </c>
      <c r="I1243" s="2" t="s">
        <v>66</v>
      </c>
      <c r="J1243" s="4">
        <v>43323</v>
      </c>
      <c r="K1243" s="16" t="s">
        <v>8</v>
      </c>
      <c r="L1243" s="16" t="s">
        <v>12</v>
      </c>
      <c r="M1243" s="2" t="s">
        <v>148</v>
      </c>
      <c r="W1243" s="16" t="s">
        <v>62</v>
      </c>
      <c r="Y1243" s="7">
        <v>43352</v>
      </c>
      <c r="Z1243" s="16" t="s">
        <v>66</v>
      </c>
      <c r="AA1243" s="7">
        <v>43360</v>
      </c>
    </row>
    <row r="1244" spans="1:28" ht="15" customHeight="1">
      <c r="A1244" s="290"/>
      <c r="C1244" s="16">
        <v>88</v>
      </c>
      <c r="D1244" s="2">
        <v>21557</v>
      </c>
      <c r="E1244" s="2" t="s">
        <v>123</v>
      </c>
      <c r="F1244" s="3">
        <v>29510012424113</v>
      </c>
      <c r="G1244" s="2" t="s">
        <v>34</v>
      </c>
      <c r="H1244" s="2" t="s">
        <v>141</v>
      </c>
      <c r="I1244" s="2" t="s">
        <v>66</v>
      </c>
      <c r="J1244" s="4">
        <v>43323</v>
      </c>
      <c r="K1244" s="16" t="s">
        <v>8</v>
      </c>
      <c r="L1244" s="16" t="s">
        <v>12</v>
      </c>
      <c r="M1244" s="2" t="s">
        <v>101</v>
      </c>
      <c r="W1244" s="16" t="s">
        <v>61</v>
      </c>
      <c r="Y1244" s="7">
        <v>43352</v>
      </c>
      <c r="Z1244" s="16" t="s">
        <v>66</v>
      </c>
      <c r="AA1244" s="7">
        <v>43370</v>
      </c>
    </row>
    <row r="1245" spans="1:28" ht="15" customHeight="1">
      <c r="A1245" s="290"/>
      <c r="C1245" s="16">
        <v>88</v>
      </c>
      <c r="D1245" s="2">
        <v>21558</v>
      </c>
      <c r="E1245" s="2" t="s">
        <v>124</v>
      </c>
      <c r="F1245" s="3">
        <v>29605262501629</v>
      </c>
      <c r="G1245" s="2" t="s">
        <v>129</v>
      </c>
      <c r="H1245" s="2" t="s">
        <v>142</v>
      </c>
      <c r="I1245" s="2" t="s">
        <v>66</v>
      </c>
      <c r="J1245" s="4">
        <v>43323</v>
      </c>
      <c r="K1245" s="16" t="s">
        <v>8</v>
      </c>
      <c r="L1245" s="16" t="s">
        <v>12</v>
      </c>
      <c r="M1245" s="2" t="s">
        <v>58</v>
      </c>
      <c r="W1245" s="16" t="s">
        <v>60</v>
      </c>
      <c r="Y1245" s="7">
        <v>43352</v>
      </c>
      <c r="Z1245" s="16" t="s">
        <v>66</v>
      </c>
      <c r="AA1245" s="7">
        <v>43367</v>
      </c>
    </row>
    <row r="1246" spans="1:28" ht="15" customHeight="1">
      <c r="A1246" s="290"/>
      <c r="C1246" s="16">
        <v>88</v>
      </c>
      <c r="D1246" s="2">
        <v>21559</v>
      </c>
      <c r="E1246" s="2" t="s">
        <v>125</v>
      </c>
      <c r="F1246" s="3">
        <v>29512240103061</v>
      </c>
      <c r="G1246" s="16" t="s">
        <v>129</v>
      </c>
      <c r="H1246" s="2" t="s">
        <v>143</v>
      </c>
      <c r="I1246" s="2" t="s">
        <v>66</v>
      </c>
      <c r="J1246" s="4">
        <v>43323</v>
      </c>
      <c r="K1246" s="16" t="s">
        <v>8</v>
      </c>
      <c r="L1246" s="16" t="s">
        <v>12</v>
      </c>
      <c r="M1246" s="2" t="s">
        <v>55</v>
      </c>
      <c r="W1246" s="16" t="s">
        <v>61</v>
      </c>
      <c r="X1246" s="2" t="s">
        <v>66</v>
      </c>
      <c r="Y1246" s="7">
        <v>43380</v>
      </c>
      <c r="Z1246" s="16" t="s">
        <v>66</v>
      </c>
      <c r="AA1246" s="7">
        <v>43390</v>
      </c>
    </row>
    <row r="1247" spans="1:28" ht="15" customHeight="1">
      <c r="A1247" s="290"/>
      <c r="C1247" s="16">
        <v>88</v>
      </c>
      <c r="D1247" s="16">
        <v>21560</v>
      </c>
      <c r="E1247" s="16" t="s">
        <v>126</v>
      </c>
      <c r="F1247" s="3">
        <v>29308102102472</v>
      </c>
      <c r="G1247" s="16" t="s">
        <v>129</v>
      </c>
      <c r="H1247" s="16" t="s">
        <v>144</v>
      </c>
      <c r="I1247" s="16" t="s">
        <v>66</v>
      </c>
      <c r="J1247" s="45">
        <v>43323</v>
      </c>
      <c r="K1247" s="16" t="s">
        <v>8</v>
      </c>
      <c r="L1247" s="16" t="s">
        <v>12</v>
      </c>
      <c r="M1247" s="16" t="s">
        <v>149</v>
      </c>
      <c r="N1247" s="16"/>
      <c r="W1247" s="16" t="s">
        <v>62</v>
      </c>
      <c r="X1247" s="16"/>
      <c r="Y1247" s="45">
        <v>43352</v>
      </c>
      <c r="Z1247" s="16" t="s">
        <v>67</v>
      </c>
      <c r="AA1247" s="45"/>
      <c r="AB1247" s="16"/>
    </row>
    <row r="1248" spans="1:28" ht="15.75" customHeight="1" thickBot="1">
      <c r="A1248" s="291"/>
      <c r="C1248" s="28">
        <v>88</v>
      </c>
      <c r="D1248" s="28">
        <v>21562</v>
      </c>
      <c r="E1248" s="28" t="s">
        <v>127</v>
      </c>
      <c r="F1248" s="29">
        <v>29503222102724</v>
      </c>
      <c r="G1248" s="28" t="s">
        <v>129</v>
      </c>
      <c r="H1248" s="28" t="s">
        <v>145</v>
      </c>
      <c r="I1248" s="28" t="s">
        <v>66</v>
      </c>
      <c r="J1248" s="30">
        <v>43323</v>
      </c>
      <c r="K1248" s="28" t="s">
        <v>8</v>
      </c>
      <c r="L1248" s="28" t="s">
        <v>12</v>
      </c>
      <c r="M1248" s="28" t="s">
        <v>109</v>
      </c>
      <c r="N1248" s="28"/>
      <c r="O1248" s="226"/>
      <c r="P1248" s="28"/>
      <c r="Q1248" s="226"/>
      <c r="R1248" s="28"/>
      <c r="S1248" s="28"/>
      <c r="T1248" s="28"/>
      <c r="U1248" s="28"/>
      <c r="V1248" s="28"/>
      <c r="W1248" s="28" t="s">
        <v>62</v>
      </c>
      <c r="X1248" s="28" t="s">
        <v>66</v>
      </c>
      <c r="Y1248" s="30">
        <v>43380</v>
      </c>
      <c r="Z1248" s="28" t="s">
        <v>66</v>
      </c>
      <c r="AA1248" s="30">
        <v>43387</v>
      </c>
      <c r="AB1248" s="28"/>
    </row>
    <row r="1249" spans="1:28" ht="15.75" customHeight="1" thickTop="1">
      <c r="A1249" s="289" t="s">
        <v>3127</v>
      </c>
      <c r="C1249" s="16">
        <v>89</v>
      </c>
      <c r="D1249" s="2">
        <v>21624</v>
      </c>
      <c r="E1249" s="2" t="s">
        <v>172</v>
      </c>
      <c r="F1249" s="3">
        <v>29509201800926</v>
      </c>
      <c r="G1249" s="2" t="s">
        <v>34</v>
      </c>
      <c r="H1249" s="2" t="s">
        <v>185</v>
      </c>
      <c r="I1249" s="2" t="s">
        <v>66</v>
      </c>
      <c r="J1249" s="4">
        <v>43334</v>
      </c>
      <c r="K1249" s="16" t="s">
        <v>8</v>
      </c>
      <c r="L1249" s="16" t="s">
        <v>12</v>
      </c>
      <c r="M1249" s="2" t="s">
        <v>104</v>
      </c>
      <c r="W1249" s="16" t="s">
        <v>171</v>
      </c>
      <c r="X1249" s="2" t="s">
        <v>66</v>
      </c>
      <c r="Y1249" s="7">
        <v>43380</v>
      </c>
      <c r="Z1249" s="16" t="s">
        <v>67</v>
      </c>
    </row>
    <row r="1250" spans="1:28" ht="15" customHeight="1">
      <c r="A1250" s="290"/>
      <c r="C1250" s="16">
        <v>89</v>
      </c>
      <c r="D1250" s="2">
        <v>21625</v>
      </c>
      <c r="E1250" s="2" t="s">
        <v>173</v>
      </c>
      <c r="F1250" s="3">
        <v>29702222103863</v>
      </c>
      <c r="G1250" s="2" t="s">
        <v>34</v>
      </c>
      <c r="H1250" s="2" t="s">
        <v>186</v>
      </c>
      <c r="I1250" s="2" t="s">
        <v>66</v>
      </c>
      <c r="J1250" s="4">
        <v>43334</v>
      </c>
      <c r="K1250" s="16" t="s">
        <v>8</v>
      </c>
      <c r="L1250" s="16" t="s">
        <v>12</v>
      </c>
      <c r="M1250" s="2" t="s">
        <v>53</v>
      </c>
      <c r="W1250" s="16" t="s">
        <v>110</v>
      </c>
      <c r="Y1250" s="7">
        <v>43363</v>
      </c>
      <c r="Z1250" s="16" t="s">
        <v>66</v>
      </c>
      <c r="AA1250" s="7">
        <v>43375</v>
      </c>
    </row>
    <row r="1251" spans="1:28" ht="15" customHeight="1">
      <c r="A1251" s="290"/>
      <c r="C1251" s="16">
        <v>89</v>
      </c>
      <c r="D1251" s="2">
        <v>21626</v>
      </c>
      <c r="E1251" s="2" t="s">
        <v>174</v>
      </c>
      <c r="F1251" s="3">
        <v>29411130100707</v>
      </c>
      <c r="G1251" s="2" t="s">
        <v>34</v>
      </c>
      <c r="H1251" s="2" t="s">
        <v>187</v>
      </c>
      <c r="I1251" s="2" t="s">
        <v>66</v>
      </c>
      <c r="J1251" s="4">
        <v>43334</v>
      </c>
      <c r="K1251" s="16" t="s">
        <v>8</v>
      </c>
      <c r="L1251" s="16" t="s">
        <v>12</v>
      </c>
      <c r="M1251" s="2" t="s">
        <v>52</v>
      </c>
      <c r="W1251" s="16" t="s">
        <v>169</v>
      </c>
      <c r="Y1251" s="7">
        <v>43363</v>
      </c>
      <c r="Z1251" s="16" t="s">
        <v>66</v>
      </c>
      <c r="AA1251" s="7">
        <v>43370</v>
      </c>
    </row>
    <row r="1252" spans="1:28" ht="15" customHeight="1">
      <c r="A1252" s="290"/>
      <c r="C1252" s="16">
        <v>89</v>
      </c>
      <c r="D1252" s="2">
        <v>21627</v>
      </c>
      <c r="E1252" s="2" t="s">
        <v>175</v>
      </c>
      <c r="F1252" s="3">
        <v>29703012109318</v>
      </c>
      <c r="G1252" s="2" t="s">
        <v>34</v>
      </c>
      <c r="H1252" s="2" t="s">
        <v>188</v>
      </c>
      <c r="I1252" s="2" t="s">
        <v>66</v>
      </c>
      <c r="J1252" s="4">
        <v>43334</v>
      </c>
      <c r="K1252" s="16" t="s">
        <v>8</v>
      </c>
      <c r="L1252" s="16" t="s">
        <v>12</v>
      </c>
      <c r="M1252" s="2" t="s">
        <v>52</v>
      </c>
      <c r="W1252" s="16" t="s">
        <v>110</v>
      </c>
      <c r="Y1252" s="7">
        <v>43363</v>
      </c>
      <c r="Z1252" s="16" t="s">
        <v>66</v>
      </c>
      <c r="AA1252" s="7">
        <v>43410</v>
      </c>
    </row>
    <row r="1253" spans="1:28" ht="15" customHeight="1">
      <c r="A1253" s="290"/>
      <c r="C1253" s="16">
        <v>89</v>
      </c>
      <c r="D1253" s="16">
        <v>21628</v>
      </c>
      <c r="E1253" s="16" t="s">
        <v>176</v>
      </c>
      <c r="F1253" s="3">
        <v>29811050100356</v>
      </c>
      <c r="G1253" s="16" t="s">
        <v>184</v>
      </c>
      <c r="H1253" s="16" t="s">
        <v>189</v>
      </c>
      <c r="I1253" s="16" t="s">
        <v>66</v>
      </c>
      <c r="J1253" s="45">
        <v>43334</v>
      </c>
      <c r="K1253" s="16" t="s">
        <v>8</v>
      </c>
      <c r="L1253" s="16" t="s">
        <v>12</v>
      </c>
      <c r="M1253" s="16" t="s">
        <v>197</v>
      </c>
      <c r="N1253" s="16"/>
      <c r="W1253" s="16" t="s">
        <v>110</v>
      </c>
      <c r="X1253" s="16"/>
      <c r="Y1253" s="45">
        <v>43363</v>
      </c>
      <c r="Z1253" s="16" t="s">
        <v>66</v>
      </c>
      <c r="AA1253" s="45">
        <v>43375</v>
      </c>
      <c r="AB1253" s="16"/>
    </row>
    <row r="1254" spans="1:28" ht="15" customHeight="1">
      <c r="A1254" s="290"/>
      <c r="C1254" s="16">
        <v>89</v>
      </c>
      <c r="D1254" s="2">
        <v>21629</v>
      </c>
      <c r="E1254" s="2" t="s">
        <v>177</v>
      </c>
      <c r="F1254" s="3">
        <v>29904161200455</v>
      </c>
      <c r="G1254" s="16" t="s">
        <v>4</v>
      </c>
      <c r="H1254" s="2" t="s">
        <v>190</v>
      </c>
      <c r="I1254" s="2" t="s">
        <v>66</v>
      </c>
      <c r="J1254" s="4">
        <v>43334</v>
      </c>
      <c r="K1254" s="16" t="s">
        <v>8</v>
      </c>
      <c r="L1254" s="16" t="s">
        <v>12</v>
      </c>
      <c r="M1254" s="2" t="s">
        <v>103</v>
      </c>
      <c r="W1254" s="16" t="s">
        <v>169</v>
      </c>
      <c r="Y1254" s="7">
        <v>43363</v>
      </c>
      <c r="Z1254" s="16" t="s">
        <v>67</v>
      </c>
    </row>
    <row r="1255" spans="1:28" ht="15" customHeight="1">
      <c r="A1255" s="290"/>
      <c r="C1255" s="16">
        <v>89</v>
      </c>
      <c r="D1255" s="2">
        <v>21630</v>
      </c>
      <c r="E1255" s="2" t="s">
        <v>178</v>
      </c>
      <c r="F1255" s="3">
        <v>28907291100164</v>
      </c>
      <c r="G1255" s="2" t="s">
        <v>34</v>
      </c>
      <c r="H1255" s="2" t="s">
        <v>191</v>
      </c>
      <c r="I1255" s="2" t="s">
        <v>66</v>
      </c>
      <c r="J1255" s="4">
        <v>43334</v>
      </c>
      <c r="K1255" s="16" t="s">
        <v>8</v>
      </c>
      <c r="L1255" s="16" t="s">
        <v>12</v>
      </c>
      <c r="M1255" s="2" t="s">
        <v>103</v>
      </c>
      <c r="W1255" s="16" t="s">
        <v>111</v>
      </c>
      <c r="Y1255" s="7">
        <v>43363</v>
      </c>
      <c r="Z1255" s="16" t="s">
        <v>66</v>
      </c>
      <c r="AA1255" s="7">
        <v>43382</v>
      </c>
    </row>
    <row r="1256" spans="1:28" ht="15" customHeight="1">
      <c r="A1256" s="290"/>
      <c r="C1256" s="16">
        <v>89</v>
      </c>
      <c r="D1256" s="2">
        <v>21631</v>
      </c>
      <c r="E1256" s="2" t="s">
        <v>179</v>
      </c>
      <c r="F1256" s="3">
        <v>29404161300554</v>
      </c>
      <c r="G1256" s="2" t="s">
        <v>34</v>
      </c>
      <c r="H1256" s="2" t="s">
        <v>192</v>
      </c>
      <c r="I1256" s="2" t="s">
        <v>66</v>
      </c>
      <c r="J1256" s="4">
        <v>43334</v>
      </c>
      <c r="K1256" s="16" t="s">
        <v>8</v>
      </c>
      <c r="L1256" s="16" t="s">
        <v>12</v>
      </c>
      <c r="M1256" s="2" t="s">
        <v>106</v>
      </c>
      <c r="W1256" s="16" t="s">
        <v>111</v>
      </c>
      <c r="Z1256" s="16" t="s">
        <v>66</v>
      </c>
      <c r="AA1256" s="7">
        <v>43346</v>
      </c>
      <c r="AB1256" s="2" t="s">
        <v>698</v>
      </c>
    </row>
    <row r="1257" spans="1:28" ht="15" customHeight="1">
      <c r="A1257" s="290"/>
      <c r="C1257" s="2">
        <v>89</v>
      </c>
      <c r="D1257" s="2">
        <v>21632</v>
      </c>
      <c r="E1257" s="2" t="s">
        <v>180</v>
      </c>
      <c r="F1257" s="3">
        <v>29509032100138</v>
      </c>
      <c r="G1257" s="16" t="s">
        <v>34</v>
      </c>
      <c r="H1257" s="2" t="s">
        <v>193</v>
      </c>
      <c r="I1257" s="2" t="s">
        <v>66</v>
      </c>
      <c r="J1257" s="4">
        <v>43334</v>
      </c>
      <c r="K1257" s="16" t="s">
        <v>8</v>
      </c>
      <c r="L1257" s="16" t="s">
        <v>12</v>
      </c>
      <c r="M1257" s="2" t="s">
        <v>104</v>
      </c>
      <c r="W1257" s="16" t="s">
        <v>111</v>
      </c>
      <c r="Y1257" s="7">
        <v>43363</v>
      </c>
      <c r="Z1257" s="16" t="s">
        <v>66</v>
      </c>
      <c r="AA1257" s="7">
        <v>43382</v>
      </c>
    </row>
    <row r="1258" spans="1:28" ht="15" customHeight="1">
      <c r="A1258" s="290"/>
      <c r="C1258" s="16">
        <v>89</v>
      </c>
      <c r="D1258" s="2">
        <v>21633</v>
      </c>
      <c r="E1258" s="2" t="s">
        <v>181</v>
      </c>
      <c r="F1258" s="3">
        <v>29512162100076</v>
      </c>
      <c r="G1258" s="2" t="s">
        <v>34</v>
      </c>
      <c r="H1258" s="2" t="s">
        <v>194</v>
      </c>
      <c r="I1258" s="2" t="s">
        <v>66</v>
      </c>
      <c r="J1258" s="4">
        <v>43334</v>
      </c>
      <c r="K1258" s="16" t="s">
        <v>8</v>
      </c>
      <c r="L1258" s="16" t="s">
        <v>12</v>
      </c>
      <c r="M1258" s="2" t="s">
        <v>103</v>
      </c>
      <c r="W1258" s="16" t="s">
        <v>111</v>
      </c>
      <c r="Y1258" s="7">
        <v>43363</v>
      </c>
      <c r="Z1258" s="16" t="s">
        <v>67</v>
      </c>
    </row>
    <row r="1259" spans="1:28" ht="15" customHeight="1">
      <c r="A1259" s="290"/>
      <c r="C1259" s="16">
        <v>89</v>
      </c>
      <c r="D1259" s="2">
        <v>21634</v>
      </c>
      <c r="E1259" s="2" t="s">
        <v>182</v>
      </c>
      <c r="F1259" s="3">
        <v>29108092100914</v>
      </c>
      <c r="G1259" s="2" t="s">
        <v>34</v>
      </c>
      <c r="H1259" s="2" t="s">
        <v>195</v>
      </c>
      <c r="I1259" s="2" t="s">
        <v>66</v>
      </c>
      <c r="J1259" s="4">
        <v>43334</v>
      </c>
      <c r="K1259" s="16" t="s">
        <v>8</v>
      </c>
      <c r="L1259" s="16" t="s">
        <v>12</v>
      </c>
      <c r="M1259" s="2" t="s">
        <v>103</v>
      </c>
      <c r="W1259" s="16" t="s">
        <v>169</v>
      </c>
      <c r="Y1259" s="7">
        <v>43363</v>
      </c>
      <c r="Z1259" s="16" t="s">
        <v>66</v>
      </c>
      <c r="AA1259" s="7">
        <v>43370</v>
      </c>
    </row>
    <row r="1260" spans="1:28" ht="15.75" customHeight="1" thickBot="1">
      <c r="A1260" s="291"/>
      <c r="C1260" s="28">
        <v>89</v>
      </c>
      <c r="D1260" s="28">
        <v>21648</v>
      </c>
      <c r="E1260" s="28" t="s">
        <v>183</v>
      </c>
      <c r="F1260" s="29">
        <v>29608052300891</v>
      </c>
      <c r="G1260" s="28" t="s">
        <v>34</v>
      </c>
      <c r="H1260" s="28" t="s">
        <v>196</v>
      </c>
      <c r="I1260" s="28" t="s">
        <v>66</v>
      </c>
      <c r="J1260" s="30">
        <v>43334</v>
      </c>
      <c r="K1260" s="28" t="s">
        <v>8</v>
      </c>
      <c r="L1260" s="28" t="s">
        <v>12</v>
      </c>
      <c r="M1260" s="28" t="s">
        <v>104</v>
      </c>
      <c r="N1260" s="28"/>
      <c r="O1260" s="226"/>
      <c r="P1260" s="28"/>
      <c r="Q1260" s="226"/>
      <c r="R1260" s="28"/>
      <c r="S1260" s="28"/>
      <c r="T1260" s="28"/>
      <c r="U1260" s="28"/>
      <c r="V1260" s="28"/>
      <c r="W1260" s="28" t="s">
        <v>61</v>
      </c>
      <c r="X1260" s="28" t="s">
        <v>66</v>
      </c>
      <c r="Y1260" s="30">
        <v>43380</v>
      </c>
      <c r="Z1260" s="28" t="s">
        <v>66</v>
      </c>
      <c r="AA1260" s="30">
        <v>43390</v>
      </c>
      <c r="AB1260" s="28"/>
    </row>
    <row r="1261" spans="1:28" ht="15.75" customHeight="1" thickTop="1">
      <c r="A1261" s="289" t="s">
        <v>3124</v>
      </c>
      <c r="C1261" s="16">
        <v>90</v>
      </c>
      <c r="D1261" s="2">
        <v>21635</v>
      </c>
      <c r="E1261" s="2" t="s">
        <v>198</v>
      </c>
      <c r="F1261" s="3">
        <v>30004128800921</v>
      </c>
      <c r="G1261" s="2" t="s">
        <v>34</v>
      </c>
      <c r="H1261" s="2" t="s">
        <v>212</v>
      </c>
      <c r="I1261" s="2" t="s">
        <v>66</v>
      </c>
      <c r="J1261" s="4">
        <v>43334</v>
      </c>
      <c r="K1261" s="16" t="s">
        <v>8</v>
      </c>
      <c r="L1261" s="16" t="s">
        <v>12</v>
      </c>
      <c r="M1261" s="2" t="s">
        <v>226</v>
      </c>
      <c r="W1261" s="16" t="s">
        <v>110</v>
      </c>
      <c r="Y1261" s="7">
        <v>43362</v>
      </c>
      <c r="Z1261" s="16" t="s">
        <v>66</v>
      </c>
      <c r="AA1261" s="7">
        <v>43375</v>
      </c>
    </row>
    <row r="1262" spans="1:28" ht="15" customHeight="1">
      <c r="A1262" s="290"/>
      <c r="C1262" s="16">
        <v>90</v>
      </c>
      <c r="D1262" s="2">
        <v>21636</v>
      </c>
      <c r="E1262" s="2" t="s">
        <v>199</v>
      </c>
      <c r="F1262" s="3">
        <v>29201231401894</v>
      </c>
      <c r="G1262" s="2" t="s">
        <v>34</v>
      </c>
      <c r="H1262" s="2" t="s">
        <v>213</v>
      </c>
      <c r="I1262" s="2" t="s">
        <v>66</v>
      </c>
      <c r="J1262" s="4">
        <v>43334</v>
      </c>
      <c r="K1262" s="16" t="s">
        <v>8</v>
      </c>
      <c r="L1262" s="16" t="s">
        <v>12</v>
      </c>
      <c r="M1262" s="2" t="s">
        <v>227</v>
      </c>
      <c r="W1262" s="16" t="s">
        <v>111</v>
      </c>
      <c r="Y1262" s="7">
        <v>43362</v>
      </c>
      <c r="Z1262" s="16" t="s">
        <v>66</v>
      </c>
      <c r="AA1262" s="7">
        <v>43382</v>
      </c>
    </row>
    <row r="1263" spans="1:28" ht="15" customHeight="1">
      <c r="A1263" s="290"/>
      <c r="C1263" s="16">
        <v>90</v>
      </c>
      <c r="D1263" s="2">
        <v>21637</v>
      </c>
      <c r="E1263" s="2" t="s">
        <v>200</v>
      </c>
      <c r="F1263" s="3">
        <v>29605291400289</v>
      </c>
      <c r="G1263" s="16" t="s">
        <v>34</v>
      </c>
      <c r="H1263" s="2" t="s">
        <v>214</v>
      </c>
      <c r="I1263" s="2" t="s">
        <v>66</v>
      </c>
      <c r="J1263" s="4">
        <v>43334</v>
      </c>
      <c r="K1263" s="16" t="s">
        <v>8</v>
      </c>
      <c r="L1263" s="16" t="s">
        <v>12</v>
      </c>
      <c r="M1263" s="2" t="s">
        <v>226</v>
      </c>
      <c r="W1263" s="16" t="s">
        <v>60</v>
      </c>
      <c r="X1263" s="2" t="s">
        <v>66</v>
      </c>
      <c r="Y1263" s="7">
        <v>43380</v>
      </c>
      <c r="Z1263" s="16" t="s">
        <v>66</v>
      </c>
      <c r="AA1263" s="7">
        <v>43389</v>
      </c>
    </row>
    <row r="1264" spans="1:28" ht="15" customHeight="1">
      <c r="A1264" s="290"/>
      <c r="C1264" s="16">
        <v>90</v>
      </c>
      <c r="D1264" s="2">
        <v>21638</v>
      </c>
      <c r="E1264" s="2" t="s">
        <v>201</v>
      </c>
      <c r="F1264" s="3">
        <v>29606150102027</v>
      </c>
      <c r="G1264" s="2" t="s">
        <v>34</v>
      </c>
      <c r="H1264" s="2" t="s">
        <v>215</v>
      </c>
      <c r="I1264" s="2" t="s">
        <v>66</v>
      </c>
      <c r="J1264" s="4">
        <v>43334</v>
      </c>
      <c r="K1264" s="16" t="s">
        <v>8</v>
      </c>
      <c r="L1264" s="16" t="s">
        <v>12</v>
      </c>
      <c r="M1264" s="2" t="s">
        <v>197</v>
      </c>
      <c r="W1264" s="16" t="s">
        <v>60</v>
      </c>
      <c r="X1264" s="2" t="s">
        <v>66</v>
      </c>
      <c r="Y1264" s="7">
        <v>43380</v>
      </c>
      <c r="Z1264" s="16" t="s">
        <v>66</v>
      </c>
      <c r="AA1264" s="7">
        <v>43389</v>
      </c>
    </row>
    <row r="1265" spans="1:28" ht="15" customHeight="1">
      <c r="A1265" s="290"/>
      <c r="C1265" s="16">
        <v>90</v>
      </c>
      <c r="D1265" s="16">
        <v>21639</v>
      </c>
      <c r="E1265" s="16" t="s">
        <v>202</v>
      </c>
      <c r="F1265" s="3">
        <v>29612168800163</v>
      </c>
      <c r="G1265" s="16" t="s">
        <v>34</v>
      </c>
      <c r="H1265" s="16" t="s">
        <v>216</v>
      </c>
      <c r="I1265" s="16" t="s">
        <v>66</v>
      </c>
      <c r="J1265" s="45">
        <v>43334</v>
      </c>
      <c r="K1265" s="16" t="s">
        <v>8</v>
      </c>
      <c r="L1265" s="16" t="s">
        <v>12</v>
      </c>
      <c r="M1265" s="16" t="s">
        <v>104</v>
      </c>
      <c r="N1265" s="16"/>
      <c r="W1265" s="16" t="s">
        <v>169</v>
      </c>
      <c r="X1265" s="16" t="s">
        <v>66</v>
      </c>
      <c r="Y1265" s="45">
        <v>43380</v>
      </c>
      <c r="Z1265" s="16" t="s">
        <v>66</v>
      </c>
      <c r="AA1265" s="45">
        <v>43390</v>
      </c>
      <c r="AB1265" s="16"/>
    </row>
    <row r="1266" spans="1:28" ht="15" customHeight="1">
      <c r="A1266" s="290"/>
      <c r="C1266" s="16">
        <v>90</v>
      </c>
      <c r="D1266" s="2">
        <v>21640</v>
      </c>
      <c r="E1266" s="2" t="s">
        <v>203</v>
      </c>
      <c r="F1266" s="3">
        <v>28709010205675</v>
      </c>
      <c r="G1266" s="2" t="s">
        <v>34</v>
      </c>
      <c r="H1266" s="2" t="s">
        <v>217</v>
      </c>
      <c r="I1266" s="2" t="s">
        <v>66</v>
      </c>
      <c r="J1266" s="4">
        <v>43334</v>
      </c>
      <c r="K1266" s="16" t="s">
        <v>8</v>
      </c>
      <c r="L1266" s="16" t="s">
        <v>12</v>
      </c>
      <c r="M1266" s="2" t="s">
        <v>103</v>
      </c>
      <c r="W1266" s="16" t="s">
        <v>63</v>
      </c>
      <c r="Z1266" s="16" t="s">
        <v>67</v>
      </c>
    </row>
    <row r="1267" spans="1:28" ht="15" customHeight="1">
      <c r="A1267" s="290"/>
      <c r="C1267" s="16">
        <v>90</v>
      </c>
      <c r="D1267" s="2">
        <v>21641</v>
      </c>
      <c r="E1267" s="2" t="s">
        <v>204</v>
      </c>
      <c r="F1267" s="3">
        <v>29408248800613</v>
      </c>
      <c r="G1267" s="2" t="s">
        <v>184</v>
      </c>
      <c r="H1267" s="2" t="s">
        <v>218</v>
      </c>
      <c r="I1267" s="2" t="s">
        <v>66</v>
      </c>
      <c r="J1267" s="4">
        <v>43334</v>
      </c>
      <c r="K1267" s="16" t="s">
        <v>8</v>
      </c>
      <c r="L1267" s="16" t="s">
        <v>12</v>
      </c>
      <c r="M1267" s="2" t="s">
        <v>197</v>
      </c>
      <c r="W1267" s="16" t="s">
        <v>110</v>
      </c>
      <c r="Y1267" s="7">
        <v>43362</v>
      </c>
      <c r="Z1267" s="16" t="s">
        <v>66</v>
      </c>
      <c r="AA1267" s="7">
        <v>43375</v>
      </c>
    </row>
    <row r="1268" spans="1:28" ht="15" customHeight="1">
      <c r="A1268" s="290"/>
      <c r="C1268" s="16">
        <v>90</v>
      </c>
      <c r="D1268" s="2">
        <v>21642</v>
      </c>
      <c r="E1268" s="2" t="s">
        <v>205</v>
      </c>
      <c r="F1268" s="3">
        <v>29309192101611</v>
      </c>
      <c r="G1268" s="16" t="s">
        <v>34</v>
      </c>
      <c r="H1268" s="2" t="s">
        <v>219</v>
      </c>
      <c r="I1268" s="2" t="s">
        <v>66</v>
      </c>
      <c r="J1268" s="4">
        <v>43334</v>
      </c>
      <c r="K1268" s="16" t="s">
        <v>8</v>
      </c>
      <c r="L1268" s="16" t="s">
        <v>12</v>
      </c>
      <c r="M1268" s="2" t="s">
        <v>197</v>
      </c>
      <c r="W1268" s="16" t="s">
        <v>110</v>
      </c>
      <c r="Y1268" s="7">
        <v>43362</v>
      </c>
      <c r="Z1268" s="16" t="s">
        <v>66</v>
      </c>
      <c r="AA1268" s="7">
        <v>43375</v>
      </c>
    </row>
    <row r="1269" spans="1:28" ht="15" customHeight="1">
      <c r="A1269" s="290"/>
      <c r="C1269" s="16">
        <v>90</v>
      </c>
      <c r="D1269" s="2">
        <v>21643</v>
      </c>
      <c r="E1269" s="2" t="s">
        <v>206</v>
      </c>
      <c r="F1269" s="3">
        <v>29304110102516</v>
      </c>
      <c r="G1269" s="2" t="s">
        <v>34</v>
      </c>
      <c r="H1269" s="2" t="s">
        <v>220</v>
      </c>
      <c r="I1269" s="2" t="s">
        <v>66</v>
      </c>
      <c r="J1269" s="4">
        <v>43334</v>
      </c>
      <c r="K1269" s="16" t="s">
        <v>8</v>
      </c>
      <c r="L1269" s="16" t="s">
        <v>12</v>
      </c>
      <c r="M1269" s="2" t="s">
        <v>104</v>
      </c>
      <c r="W1269" s="16" t="s">
        <v>150</v>
      </c>
      <c r="Y1269" s="7">
        <v>43362</v>
      </c>
      <c r="Z1269" s="16" t="s">
        <v>66</v>
      </c>
      <c r="AA1269" s="7">
        <v>43410</v>
      </c>
    </row>
    <row r="1270" spans="1:28" ht="15" customHeight="1">
      <c r="A1270" s="290"/>
      <c r="C1270" s="16">
        <v>90</v>
      </c>
      <c r="D1270" s="2">
        <v>21644</v>
      </c>
      <c r="E1270" s="2" t="s">
        <v>207</v>
      </c>
      <c r="F1270" s="3">
        <v>28908262103355</v>
      </c>
      <c r="G1270" s="16" t="s">
        <v>34</v>
      </c>
      <c r="H1270" s="2" t="s">
        <v>221</v>
      </c>
      <c r="I1270" s="2" t="s">
        <v>66</v>
      </c>
      <c r="J1270" s="4">
        <v>43334</v>
      </c>
      <c r="K1270" s="16" t="s">
        <v>8</v>
      </c>
      <c r="L1270" s="16" t="s">
        <v>12</v>
      </c>
      <c r="M1270" s="2" t="s">
        <v>104</v>
      </c>
      <c r="W1270" s="16" t="s">
        <v>63</v>
      </c>
      <c r="Z1270" s="16" t="s">
        <v>67</v>
      </c>
    </row>
    <row r="1271" spans="1:28" ht="15" customHeight="1">
      <c r="A1271" s="290"/>
      <c r="C1271" s="16">
        <v>90</v>
      </c>
      <c r="D1271" s="2">
        <v>21645</v>
      </c>
      <c r="E1271" s="2" t="s">
        <v>208</v>
      </c>
      <c r="F1271" s="3">
        <v>29505150105424</v>
      </c>
      <c r="G1271" s="2" t="s">
        <v>34</v>
      </c>
      <c r="H1271" s="2" t="s">
        <v>222</v>
      </c>
      <c r="I1271" s="2" t="s">
        <v>66</v>
      </c>
      <c r="J1271" s="4">
        <v>43334</v>
      </c>
      <c r="K1271" s="16" t="s">
        <v>8</v>
      </c>
      <c r="L1271" s="16" t="s">
        <v>12</v>
      </c>
      <c r="M1271" s="2" t="s">
        <v>105</v>
      </c>
      <c r="W1271" s="16" t="s">
        <v>111</v>
      </c>
      <c r="Y1271" s="7">
        <v>43362</v>
      </c>
      <c r="Z1271" s="16" t="s">
        <v>66</v>
      </c>
      <c r="AA1271" s="7">
        <v>43382</v>
      </c>
    </row>
    <row r="1272" spans="1:28" ht="15" customHeight="1">
      <c r="A1272" s="290"/>
      <c r="C1272" s="16">
        <v>90</v>
      </c>
      <c r="D1272" s="2">
        <v>21646</v>
      </c>
      <c r="E1272" s="2" t="s">
        <v>209</v>
      </c>
      <c r="F1272" s="3">
        <v>29810121600294</v>
      </c>
      <c r="G1272" s="16" t="s">
        <v>4</v>
      </c>
      <c r="H1272" s="2" t="s">
        <v>223</v>
      </c>
      <c r="I1272" s="2" t="s">
        <v>66</v>
      </c>
      <c r="J1272" s="4">
        <v>43334</v>
      </c>
      <c r="K1272" s="16" t="s">
        <v>8</v>
      </c>
      <c r="L1272" s="16" t="s">
        <v>12</v>
      </c>
      <c r="M1272" s="2" t="s">
        <v>103</v>
      </c>
      <c r="W1272" s="16" t="s">
        <v>63</v>
      </c>
      <c r="X1272" s="2" t="s">
        <v>66</v>
      </c>
      <c r="Z1272" s="16" t="s">
        <v>67</v>
      </c>
      <c r="AB1272" s="2" t="s">
        <v>701</v>
      </c>
    </row>
    <row r="1273" spans="1:28" ht="15" customHeight="1">
      <c r="A1273" s="290"/>
      <c r="C1273" s="2">
        <v>90</v>
      </c>
      <c r="D1273" s="2">
        <v>21647</v>
      </c>
      <c r="E1273" s="2" t="s">
        <v>210</v>
      </c>
      <c r="F1273" s="3">
        <v>28701132103414</v>
      </c>
      <c r="G1273" s="16" t="s">
        <v>34</v>
      </c>
      <c r="H1273" s="2" t="s">
        <v>224</v>
      </c>
      <c r="I1273" s="2" t="s">
        <v>66</v>
      </c>
      <c r="J1273" s="4">
        <v>43334</v>
      </c>
      <c r="K1273" s="16" t="s">
        <v>8</v>
      </c>
      <c r="L1273" s="16" t="s">
        <v>12</v>
      </c>
      <c r="M1273" s="2" t="s">
        <v>108</v>
      </c>
      <c r="W1273" s="16" t="s">
        <v>111</v>
      </c>
      <c r="Y1273" s="7">
        <v>43362</v>
      </c>
      <c r="Z1273" s="16" t="s">
        <v>67</v>
      </c>
    </row>
    <row r="1274" spans="1:28" ht="15.75" customHeight="1" thickBot="1">
      <c r="A1274" s="291"/>
      <c r="C1274" s="28">
        <v>90</v>
      </c>
      <c r="D1274" s="28">
        <v>16869</v>
      </c>
      <c r="E1274" s="28" t="s">
        <v>211</v>
      </c>
      <c r="F1274" s="29">
        <v>29909088800076</v>
      </c>
      <c r="G1274" s="28" t="s">
        <v>184</v>
      </c>
      <c r="H1274" s="28" t="s">
        <v>225</v>
      </c>
      <c r="I1274" s="28" t="s">
        <v>67</v>
      </c>
      <c r="J1274" s="30">
        <v>43334</v>
      </c>
      <c r="K1274" s="28" t="s">
        <v>8</v>
      </c>
      <c r="L1274" s="28" t="s">
        <v>12</v>
      </c>
      <c r="M1274" s="28" t="s">
        <v>104</v>
      </c>
      <c r="N1274" s="28"/>
      <c r="O1274" s="226"/>
      <c r="P1274" s="28"/>
      <c r="Q1274" s="226"/>
      <c r="R1274" s="28"/>
      <c r="S1274" s="28"/>
      <c r="T1274" s="28"/>
      <c r="U1274" s="28"/>
      <c r="V1274" s="28"/>
      <c r="W1274" s="28" t="s">
        <v>60</v>
      </c>
      <c r="X1274" s="28"/>
      <c r="Y1274" s="30"/>
      <c r="Z1274" s="28" t="s">
        <v>66</v>
      </c>
      <c r="AA1274" s="30">
        <v>43562</v>
      </c>
      <c r="AB1274" s="28" t="s">
        <v>4214</v>
      </c>
    </row>
    <row r="1275" spans="1:28" ht="15.75" customHeight="1" thickTop="1">
      <c r="A1275" s="289" t="s">
        <v>3128</v>
      </c>
      <c r="C1275" s="16">
        <v>91</v>
      </c>
      <c r="D1275" s="2">
        <v>21649</v>
      </c>
      <c r="E1275" s="2" t="s">
        <v>228</v>
      </c>
      <c r="F1275" s="3">
        <v>29201298800238</v>
      </c>
      <c r="G1275" s="16" t="s">
        <v>129</v>
      </c>
      <c r="H1275" s="2" t="s">
        <v>242</v>
      </c>
      <c r="I1275" s="2" t="s">
        <v>66</v>
      </c>
      <c r="J1275" s="4">
        <v>43339</v>
      </c>
      <c r="K1275" s="16" t="s">
        <v>8</v>
      </c>
      <c r="L1275" s="16" t="s">
        <v>12</v>
      </c>
      <c r="M1275" s="2" t="s">
        <v>104</v>
      </c>
      <c r="W1275" s="16" t="s">
        <v>64</v>
      </c>
      <c r="Z1275" s="16" t="s">
        <v>67</v>
      </c>
    </row>
    <row r="1276" spans="1:28" ht="15" customHeight="1">
      <c r="A1276" s="290"/>
      <c r="C1276" s="16">
        <v>91</v>
      </c>
      <c r="D1276" s="2">
        <v>21650</v>
      </c>
      <c r="E1276" s="2" t="s">
        <v>229</v>
      </c>
      <c r="F1276" s="3">
        <v>29509201302039</v>
      </c>
      <c r="G1276" s="16" t="s">
        <v>129</v>
      </c>
      <c r="H1276" s="2" t="s">
        <v>243</v>
      </c>
      <c r="I1276" s="2" t="s">
        <v>66</v>
      </c>
      <c r="J1276" s="4">
        <v>43339</v>
      </c>
      <c r="K1276" s="16" t="s">
        <v>8</v>
      </c>
      <c r="L1276" s="16" t="s">
        <v>12</v>
      </c>
      <c r="M1276" s="2" t="s">
        <v>53</v>
      </c>
      <c r="W1276" s="16" t="s">
        <v>60</v>
      </c>
      <c r="Y1276" s="7">
        <v>43369</v>
      </c>
      <c r="Z1276" s="16" t="s">
        <v>67</v>
      </c>
    </row>
    <row r="1277" spans="1:28" ht="15" customHeight="1">
      <c r="A1277" s="290"/>
      <c r="C1277" s="16">
        <v>91</v>
      </c>
      <c r="D1277" s="2">
        <v>21651</v>
      </c>
      <c r="E1277" s="2" t="s">
        <v>230</v>
      </c>
      <c r="F1277" s="3">
        <v>29507030104362</v>
      </c>
      <c r="G1277" s="16" t="s">
        <v>129</v>
      </c>
      <c r="H1277" s="2" t="s">
        <v>244</v>
      </c>
      <c r="I1277" s="2" t="s">
        <v>66</v>
      </c>
      <c r="J1277" s="4">
        <v>43339</v>
      </c>
      <c r="K1277" s="16" t="s">
        <v>8</v>
      </c>
      <c r="L1277" s="16" t="s">
        <v>12</v>
      </c>
      <c r="M1277" s="2" t="s">
        <v>104</v>
      </c>
      <c r="W1277" s="16" t="s">
        <v>61</v>
      </c>
      <c r="Y1277" s="7">
        <v>43369</v>
      </c>
      <c r="Z1277" s="16" t="s">
        <v>66</v>
      </c>
      <c r="AA1277" s="7">
        <v>43370</v>
      </c>
    </row>
    <row r="1278" spans="1:28" ht="15" customHeight="1">
      <c r="A1278" s="290"/>
      <c r="C1278" s="16">
        <v>91</v>
      </c>
      <c r="D1278" s="2">
        <v>21652</v>
      </c>
      <c r="E1278" s="2" t="s">
        <v>231</v>
      </c>
      <c r="F1278" s="3">
        <v>29306021300331</v>
      </c>
      <c r="G1278" s="16" t="s">
        <v>129</v>
      </c>
      <c r="H1278" s="2" t="s">
        <v>245</v>
      </c>
      <c r="I1278" s="2" t="s">
        <v>66</v>
      </c>
      <c r="J1278" s="4">
        <v>43339</v>
      </c>
      <c r="K1278" s="16" t="s">
        <v>8</v>
      </c>
      <c r="L1278" s="16" t="s">
        <v>12</v>
      </c>
      <c r="M1278" s="2" t="s">
        <v>14</v>
      </c>
      <c r="W1278" s="16" t="s">
        <v>60</v>
      </c>
      <c r="Y1278" s="7">
        <v>43369</v>
      </c>
      <c r="Z1278" s="16" t="s">
        <v>66</v>
      </c>
      <c r="AA1278" s="7">
        <v>43375</v>
      </c>
    </row>
    <row r="1279" spans="1:28" ht="15" customHeight="1">
      <c r="A1279" s="290"/>
      <c r="C1279" s="16">
        <v>91</v>
      </c>
      <c r="D1279" s="2">
        <v>21653</v>
      </c>
      <c r="E1279" s="2" t="s">
        <v>232</v>
      </c>
      <c r="F1279" s="3">
        <v>29204020102911</v>
      </c>
      <c r="G1279" s="16" t="s">
        <v>129</v>
      </c>
      <c r="H1279" s="2" t="s">
        <v>246</v>
      </c>
      <c r="I1279" s="2" t="s">
        <v>66</v>
      </c>
      <c r="J1279" s="4">
        <v>43339</v>
      </c>
      <c r="K1279" s="16" t="s">
        <v>8</v>
      </c>
      <c r="L1279" s="16" t="s">
        <v>12</v>
      </c>
      <c r="M1279" s="2" t="s">
        <v>103</v>
      </c>
      <c r="W1279" s="16" t="s">
        <v>62</v>
      </c>
      <c r="Y1279" s="7">
        <v>43369</v>
      </c>
      <c r="Z1279" s="16" t="s">
        <v>66</v>
      </c>
      <c r="AA1279" s="7">
        <v>43382</v>
      </c>
    </row>
    <row r="1280" spans="1:28" ht="15" customHeight="1">
      <c r="A1280" s="290"/>
      <c r="C1280" s="16">
        <v>91</v>
      </c>
      <c r="D1280" s="2">
        <v>21654</v>
      </c>
      <c r="E1280" s="2" t="s">
        <v>233</v>
      </c>
      <c r="F1280" s="3">
        <v>29109141600622</v>
      </c>
      <c r="G1280" s="16" t="s">
        <v>129</v>
      </c>
      <c r="H1280" s="2" t="s">
        <v>247</v>
      </c>
      <c r="I1280" s="2" t="s">
        <v>66</v>
      </c>
      <c r="J1280" s="4">
        <v>43339</v>
      </c>
      <c r="K1280" s="16" t="s">
        <v>8</v>
      </c>
      <c r="L1280" s="16" t="s">
        <v>12</v>
      </c>
      <c r="M1280" s="2" t="s">
        <v>256</v>
      </c>
      <c r="W1280" s="16" t="s">
        <v>62</v>
      </c>
      <c r="X1280" s="2" t="s">
        <v>66</v>
      </c>
      <c r="Y1280" s="7">
        <v>43395</v>
      </c>
      <c r="Z1280" s="16" t="s">
        <v>66</v>
      </c>
      <c r="AA1280" s="7">
        <v>43402</v>
      </c>
    </row>
    <row r="1281" spans="1:28" ht="15" customHeight="1">
      <c r="A1281" s="290"/>
      <c r="C1281" s="16">
        <v>91</v>
      </c>
      <c r="D1281" s="16">
        <v>21655</v>
      </c>
      <c r="E1281" s="16" t="s">
        <v>234</v>
      </c>
      <c r="F1281" s="3">
        <v>29203172500991</v>
      </c>
      <c r="G1281" s="16" t="s">
        <v>129</v>
      </c>
      <c r="H1281" s="16" t="s">
        <v>248</v>
      </c>
      <c r="I1281" s="16" t="s">
        <v>66</v>
      </c>
      <c r="J1281" s="45">
        <v>43339</v>
      </c>
      <c r="K1281" s="16" t="s">
        <v>8</v>
      </c>
      <c r="L1281" s="16" t="s">
        <v>12</v>
      </c>
      <c r="M1281" s="16" t="s">
        <v>104</v>
      </c>
      <c r="N1281" s="16"/>
      <c r="W1281" s="16" t="s">
        <v>61</v>
      </c>
      <c r="X1281" s="16"/>
      <c r="Y1281" s="45">
        <v>43369</v>
      </c>
      <c r="Z1281" s="16" t="s">
        <v>66</v>
      </c>
      <c r="AA1281" s="45">
        <v>43370</v>
      </c>
      <c r="AB1281" s="16"/>
    </row>
    <row r="1282" spans="1:28" ht="15" customHeight="1">
      <c r="A1282" s="290"/>
      <c r="C1282" s="16">
        <v>91</v>
      </c>
      <c r="D1282" s="2">
        <v>21656</v>
      </c>
      <c r="E1282" s="2" t="s">
        <v>235</v>
      </c>
      <c r="F1282" s="3">
        <v>29001201201085</v>
      </c>
      <c r="G1282" s="16" t="s">
        <v>129</v>
      </c>
      <c r="H1282" s="2" t="s">
        <v>249</v>
      </c>
      <c r="I1282" s="2" t="s">
        <v>66</v>
      </c>
      <c r="J1282" s="4">
        <v>43339</v>
      </c>
      <c r="K1282" s="16" t="s">
        <v>8</v>
      </c>
      <c r="L1282" s="16" t="s">
        <v>12</v>
      </c>
      <c r="M1282" s="2" t="s">
        <v>148</v>
      </c>
      <c r="W1282" s="16" t="s">
        <v>64</v>
      </c>
      <c r="Z1282" s="16" t="s">
        <v>67</v>
      </c>
    </row>
    <row r="1283" spans="1:28" ht="15" customHeight="1">
      <c r="A1283" s="290"/>
      <c r="C1283" s="16">
        <v>91</v>
      </c>
      <c r="D1283" s="16">
        <v>21657</v>
      </c>
      <c r="E1283" s="16" t="s">
        <v>236</v>
      </c>
      <c r="F1283" s="3">
        <v>29405292100441</v>
      </c>
      <c r="G1283" s="16" t="s">
        <v>129</v>
      </c>
      <c r="H1283" s="16" t="s">
        <v>250</v>
      </c>
      <c r="I1283" s="16" t="s">
        <v>66</v>
      </c>
      <c r="J1283" s="45">
        <v>43339</v>
      </c>
      <c r="K1283" s="16" t="s">
        <v>8</v>
      </c>
      <c r="L1283" s="16" t="s">
        <v>12</v>
      </c>
      <c r="M1283" s="16" t="s">
        <v>104</v>
      </c>
      <c r="N1283" s="16"/>
      <c r="W1283" s="16" t="s">
        <v>62</v>
      </c>
      <c r="X1283" s="16"/>
      <c r="Y1283" s="45">
        <v>43369</v>
      </c>
      <c r="Z1283" s="16" t="s">
        <v>67</v>
      </c>
      <c r="AA1283" s="45"/>
      <c r="AB1283" s="16"/>
    </row>
    <row r="1284" spans="1:28" ht="15" customHeight="1">
      <c r="A1284" s="290"/>
      <c r="C1284" s="16">
        <v>91</v>
      </c>
      <c r="D1284" s="2">
        <v>21658</v>
      </c>
      <c r="E1284" s="2" t="s">
        <v>237</v>
      </c>
      <c r="F1284" s="3">
        <v>29308110102724</v>
      </c>
      <c r="G1284" s="16" t="s">
        <v>129</v>
      </c>
      <c r="H1284" s="2" t="s">
        <v>251</v>
      </c>
      <c r="I1284" s="2" t="s">
        <v>66</v>
      </c>
      <c r="J1284" s="4">
        <v>43339</v>
      </c>
      <c r="K1284" s="16" t="s">
        <v>8</v>
      </c>
      <c r="L1284" s="16" t="s">
        <v>12</v>
      </c>
      <c r="M1284" s="2" t="s">
        <v>104</v>
      </c>
      <c r="W1284" s="16" t="s">
        <v>64</v>
      </c>
      <c r="Z1284" s="16" t="s">
        <v>67</v>
      </c>
    </row>
    <row r="1285" spans="1:28" ht="15" customHeight="1">
      <c r="A1285" s="290"/>
      <c r="C1285" s="16">
        <v>91</v>
      </c>
      <c r="D1285" s="2">
        <v>21659</v>
      </c>
      <c r="E1285" s="2" t="s">
        <v>238</v>
      </c>
      <c r="F1285" s="13" t="s">
        <v>700</v>
      </c>
      <c r="G1285" s="16" t="s">
        <v>129</v>
      </c>
      <c r="H1285" s="2" t="s">
        <v>252</v>
      </c>
      <c r="I1285" s="2" t="s">
        <v>66</v>
      </c>
      <c r="J1285" s="4">
        <v>43339</v>
      </c>
      <c r="K1285" s="16" t="s">
        <v>8</v>
      </c>
      <c r="L1285" s="16" t="s">
        <v>12</v>
      </c>
      <c r="M1285" s="2" t="s">
        <v>257</v>
      </c>
      <c r="W1285" s="16" t="s">
        <v>170</v>
      </c>
      <c r="X1285" s="2" t="s">
        <v>66</v>
      </c>
      <c r="Y1285" s="7">
        <v>43395</v>
      </c>
      <c r="Z1285" s="16" t="s">
        <v>66</v>
      </c>
      <c r="AA1285" s="7">
        <v>43410</v>
      </c>
    </row>
    <row r="1286" spans="1:28" ht="15" customHeight="1">
      <c r="A1286" s="290"/>
      <c r="C1286" s="16">
        <v>91</v>
      </c>
      <c r="D1286" s="2">
        <v>21660</v>
      </c>
      <c r="E1286" s="2" t="s">
        <v>239</v>
      </c>
      <c r="F1286" s="3">
        <v>29510271400753</v>
      </c>
      <c r="G1286" s="16" t="s">
        <v>4</v>
      </c>
      <c r="H1286" s="16" t="s">
        <v>253</v>
      </c>
      <c r="I1286" s="2" t="s">
        <v>66</v>
      </c>
      <c r="J1286" s="4">
        <v>43339</v>
      </c>
      <c r="K1286" s="16" t="s">
        <v>8</v>
      </c>
      <c r="L1286" s="16" t="s">
        <v>12</v>
      </c>
      <c r="M1286" s="2" t="s">
        <v>52</v>
      </c>
      <c r="W1286" s="16" t="s">
        <v>62</v>
      </c>
      <c r="Y1286" s="7">
        <v>43369</v>
      </c>
      <c r="Z1286" s="16" t="s">
        <v>67</v>
      </c>
    </row>
    <row r="1287" spans="1:28" ht="15" customHeight="1">
      <c r="A1287" s="290"/>
      <c r="C1287" s="2">
        <v>91</v>
      </c>
      <c r="D1287" s="2">
        <v>21661</v>
      </c>
      <c r="E1287" s="2" t="s">
        <v>240</v>
      </c>
      <c r="F1287" s="3">
        <v>29605211700309</v>
      </c>
      <c r="G1287" s="16" t="s">
        <v>129</v>
      </c>
      <c r="H1287" s="2" t="s">
        <v>254</v>
      </c>
      <c r="I1287" s="16" t="s">
        <v>66</v>
      </c>
      <c r="J1287" s="4">
        <v>43339</v>
      </c>
      <c r="K1287" s="16" t="s">
        <v>8</v>
      </c>
      <c r="L1287" s="16" t="s">
        <v>12</v>
      </c>
      <c r="M1287" s="2" t="s">
        <v>258</v>
      </c>
      <c r="W1287" s="16" t="s">
        <v>61</v>
      </c>
      <c r="Y1287" s="7">
        <v>43369</v>
      </c>
      <c r="Z1287" s="16" t="s">
        <v>66</v>
      </c>
      <c r="AA1287" s="7">
        <v>43370</v>
      </c>
    </row>
    <row r="1288" spans="1:28" ht="15.75" customHeight="1" thickBot="1">
      <c r="A1288" s="291"/>
      <c r="C1288" s="28">
        <v>91</v>
      </c>
      <c r="D1288" s="28">
        <v>21662</v>
      </c>
      <c r="E1288" s="28" t="s">
        <v>241</v>
      </c>
      <c r="F1288" s="29">
        <v>29208098800297</v>
      </c>
      <c r="G1288" s="28" t="s">
        <v>4</v>
      </c>
      <c r="H1288" s="28" t="s">
        <v>255</v>
      </c>
      <c r="I1288" s="28" t="s">
        <v>66</v>
      </c>
      <c r="J1288" s="30">
        <v>43339</v>
      </c>
      <c r="K1288" s="28" t="s">
        <v>8</v>
      </c>
      <c r="L1288" s="28" t="s">
        <v>12</v>
      </c>
      <c r="M1288" s="28" t="s">
        <v>104</v>
      </c>
      <c r="N1288" s="28"/>
      <c r="O1288" s="226"/>
      <c r="P1288" s="28"/>
      <c r="Q1288" s="226"/>
      <c r="R1288" s="28"/>
      <c r="S1288" s="28"/>
      <c r="T1288" s="28"/>
      <c r="U1288" s="28"/>
      <c r="V1288" s="28"/>
      <c r="W1288" s="28" t="s">
        <v>60</v>
      </c>
      <c r="X1288" s="28"/>
      <c r="Y1288" s="30">
        <v>43369</v>
      </c>
      <c r="Z1288" s="28" t="s">
        <v>66</v>
      </c>
      <c r="AA1288" s="30">
        <v>43375</v>
      </c>
      <c r="AB1288" s="28"/>
    </row>
    <row r="1289" spans="1:28" ht="15.75" customHeight="1" thickTop="1">
      <c r="A1289" s="289" t="s">
        <v>3119</v>
      </c>
      <c r="C1289" s="16">
        <v>92</v>
      </c>
      <c r="D1289" s="2">
        <v>21663</v>
      </c>
      <c r="E1289" s="2" t="s">
        <v>259</v>
      </c>
      <c r="F1289" s="3">
        <v>29201132102613</v>
      </c>
      <c r="G1289" s="2" t="s">
        <v>34</v>
      </c>
      <c r="H1289" s="2" t="s">
        <v>275</v>
      </c>
      <c r="I1289" s="16" t="s">
        <v>66</v>
      </c>
      <c r="J1289" s="4">
        <v>43344</v>
      </c>
      <c r="K1289" s="16" t="s">
        <v>8</v>
      </c>
      <c r="L1289" s="16" t="s">
        <v>12</v>
      </c>
      <c r="M1289" s="2" t="s">
        <v>55</v>
      </c>
      <c r="W1289" s="16" t="s">
        <v>61</v>
      </c>
      <c r="X1289" s="2" t="s">
        <v>66</v>
      </c>
      <c r="Y1289" s="7">
        <v>43395</v>
      </c>
      <c r="Z1289" s="16" t="s">
        <v>66</v>
      </c>
      <c r="AA1289" s="7">
        <v>43398</v>
      </c>
    </row>
    <row r="1290" spans="1:28" ht="15" customHeight="1">
      <c r="A1290" s="290"/>
      <c r="C1290" s="16">
        <v>92</v>
      </c>
      <c r="D1290" s="2">
        <v>21664</v>
      </c>
      <c r="E1290" s="2" t="s">
        <v>260</v>
      </c>
      <c r="F1290" s="3">
        <v>29311181401634</v>
      </c>
      <c r="G1290" s="2" t="s">
        <v>34</v>
      </c>
      <c r="H1290" s="2" t="s">
        <v>276</v>
      </c>
      <c r="I1290" s="16" t="s">
        <v>66</v>
      </c>
      <c r="J1290" s="4">
        <v>43344</v>
      </c>
      <c r="K1290" s="16" t="s">
        <v>8</v>
      </c>
      <c r="L1290" s="16" t="s">
        <v>12</v>
      </c>
      <c r="M1290" s="2" t="s">
        <v>291</v>
      </c>
      <c r="W1290" s="16" t="s">
        <v>64</v>
      </c>
      <c r="Z1290" s="16" t="str">
        <f>IF(OR(W1290="Dismissed", W1290="Resigned"),"No","")</f>
        <v>No</v>
      </c>
    </row>
    <row r="1291" spans="1:28" ht="15" customHeight="1">
      <c r="A1291" s="290"/>
      <c r="C1291" s="16">
        <v>92</v>
      </c>
      <c r="D1291" s="2">
        <v>21665</v>
      </c>
      <c r="E1291" s="2" t="s">
        <v>261</v>
      </c>
      <c r="F1291" s="3">
        <v>29006250102591</v>
      </c>
      <c r="G1291" s="2" t="s">
        <v>4</v>
      </c>
      <c r="H1291" s="2" t="s">
        <v>277</v>
      </c>
      <c r="I1291" s="16" t="s">
        <v>66</v>
      </c>
      <c r="J1291" s="4">
        <v>43344</v>
      </c>
      <c r="K1291" s="16" t="s">
        <v>8</v>
      </c>
      <c r="L1291" s="16" t="s">
        <v>12</v>
      </c>
      <c r="M1291" s="2" t="s">
        <v>15</v>
      </c>
      <c r="W1291" s="16" t="s">
        <v>64</v>
      </c>
      <c r="Z1291" s="16" t="str">
        <f>IF(OR(W1291="Dismissed", W1291="Resigned"),"No","")</f>
        <v>No</v>
      </c>
    </row>
    <row r="1292" spans="1:28" ht="15" customHeight="1">
      <c r="A1292" s="290"/>
      <c r="C1292" s="16">
        <v>92</v>
      </c>
      <c r="D1292" s="2">
        <v>21666</v>
      </c>
      <c r="E1292" s="2" t="s">
        <v>262</v>
      </c>
      <c r="F1292" s="3">
        <v>29406111500784</v>
      </c>
      <c r="G1292" s="2" t="s">
        <v>34</v>
      </c>
      <c r="H1292" s="2" t="s">
        <v>278</v>
      </c>
      <c r="I1292" s="16" t="s">
        <v>66</v>
      </c>
      <c r="J1292" s="4">
        <v>43344</v>
      </c>
      <c r="K1292" s="16" t="s">
        <v>8</v>
      </c>
      <c r="L1292" s="16" t="s">
        <v>12</v>
      </c>
      <c r="M1292" s="2" t="s">
        <v>291</v>
      </c>
      <c r="W1292" s="16" t="s">
        <v>60</v>
      </c>
      <c r="Y1292" s="7">
        <v>43373</v>
      </c>
      <c r="Z1292" s="16" t="s">
        <v>66</v>
      </c>
      <c r="AA1292" s="7">
        <v>43375</v>
      </c>
    </row>
    <row r="1293" spans="1:28" ht="15" customHeight="1">
      <c r="A1293" s="290"/>
      <c r="C1293" s="16">
        <v>92</v>
      </c>
      <c r="D1293" s="2">
        <v>21667</v>
      </c>
      <c r="E1293" s="2" t="s">
        <v>263</v>
      </c>
      <c r="F1293" s="3">
        <v>29701052100191</v>
      </c>
      <c r="G1293" s="2" t="s">
        <v>34</v>
      </c>
      <c r="H1293" s="16" t="s">
        <v>279</v>
      </c>
      <c r="I1293" s="16" t="s">
        <v>66</v>
      </c>
      <c r="J1293" s="4">
        <v>43344</v>
      </c>
      <c r="K1293" s="16" t="s">
        <v>8</v>
      </c>
      <c r="L1293" s="16" t="s">
        <v>12</v>
      </c>
      <c r="M1293" s="2" t="s">
        <v>55</v>
      </c>
      <c r="W1293" s="16" t="s">
        <v>61</v>
      </c>
      <c r="X1293" s="2" t="s">
        <v>66</v>
      </c>
      <c r="Y1293" s="7">
        <v>43395</v>
      </c>
      <c r="Z1293" s="16" t="s">
        <v>66</v>
      </c>
      <c r="AA1293" s="7">
        <v>43398</v>
      </c>
    </row>
    <row r="1294" spans="1:28" ht="15" customHeight="1">
      <c r="A1294" s="290"/>
      <c r="C1294" s="16">
        <v>92</v>
      </c>
      <c r="D1294" s="2">
        <v>21668</v>
      </c>
      <c r="E1294" s="2" t="s">
        <v>264</v>
      </c>
      <c r="F1294" s="3">
        <v>29306120300173</v>
      </c>
      <c r="G1294" s="2" t="s">
        <v>34</v>
      </c>
      <c r="H1294" s="2" t="s">
        <v>280</v>
      </c>
      <c r="I1294" s="16" t="s">
        <v>66</v>
      </c>
      <c r="J1294" s="4">
        <v>43344</v>
      </c>
      <c r="K1294" s="16" t="s">
        <v>8</v>
      </c>
      <c r="L1294" s="16" t="s">
        <v>12</v>
      </c>
      <c r="M1294" s="2" t="s">
        <v>14</v>
      </c>
      <c r="W1294" s="16" t="s">
        <v>150</v>
      </c>
      <c r="Y1294" s="7">
        <v>43373</v>
      </c>
      <c r="Z1294" s="16" t="s">
        <v>66</v>
      </c>
      <c r="AA1294" s="7">
        <v>43389</v>
      </c>
      <c r="AB1294" s="2" t="s">
        <v>60</v>
      </c>
    </row>
    <row r="1295" spans="1:28" ht="15" customHeight="1">
      <c r="A1295" s="290"/>
      <c r="C1295" s="16">
        <v>92</v>
      </c>
      <c r="D1295" s="2">
        <v>21669</v>
      </c>
      <c r="E1295" s="2" t="s">
        <v>265</v>
      </c>
      <c r="F1295" s="3">
        <v>29606032101423</v>
      </c>
      <c r="G1295" s="2" t="s">
        <v>34</v>
      </c>
      <c r="H1295" s="2" t="s">
        <v>281</v>
      </c>
      <c r="I1295" s="16" t="s">
        <v>66</v>
      </c>
      <c r="J1295" s="4">
        <v>43344</v>
      </c>
      <c r="K1295" s="16" t="s">
        <v>8</v>
      </c>
      <c r="L1295" s="16" t="s">
        <v>12</v>
      </c>
      <c r="M1295" s="2" t="s">
        <v>108</v>
      </c>
      <c r="W1295" s="16" t="s">
        <v>61</v>
      </c>
      <c r="X1295" s="2" t="s">
        <v>66</v>
      </c>
      <c r="Y1295" s="7">
        <v>43395</v>
      </c>
      <c r="Z1295" s="16" t="s">
        <v>66</v>
      </c>
      <c r="AA1295" s="7">
        <v>43398</v>
      </c>
    </row>
    <row r="1296" spans="1:28" ht="15" customHeight="1">
      <c r="A1296" s="290"/>
      <c r="C1296" s="16">
        <v>92</v>
      </c>
      <c r="D1296" s="2">
        <v>21670</v>
      </c>
      <c r="E1296" s="2" t="s">
        <v>266</v>
      </c>
      <c r="F1296" s="3">
        <v>28309050100185</v>
      </c>
      <c r="G1296" s="2" t="s">
        <v>34</v>
      </c>
      <c r="H1296" s="2" t="s">
        <v>282</v>
      </c>
      <c r="I1296" s="16" t="s">
        <v>66</v>
      </c>
      <c r="J1296" s="4">
        <v>43344</v>
      </c>
      <c r="K1296" s="16" t="s">
        <v>8</v>
      </c>
      <c r="L1296" s="16" t="s">
        <v>12</v>
      </c>
      <c r="M1296" s="2" t="s">
        <v>58</v>
      </c>
      <c r="W1296" s="16" t="s">
        <v>62</v>
      </c>
      <c r="X1296" s="2" t="s">
        <v>66</v>
      </c>
      <c r="Y1296" s="7">
        <v>43395</v>
      </c>
      <c r="Z1296" s="16" t="s">
        <v>66</v>
      </c>
      <c r="AA1296" s="7">
        <v>43402</v>
      </c>
    </row>
    <row r="1297" spans="1:28" ht="15" customHeight="1">
      <c r="A1297" s="290"/>
      <c r="C1297" s="16">
        <v>92</v>
      </c>
      <c r="D1297" s="2">
        <v>21671</v>
      </c>
      <c r="E1297" s="2" t="s">
        <v>267</v>
      </c>
      <c r="F1297" s="3">
        <v>28406258800453</v>
      </c>
      <c r="G1297" s="2" t="s">
        <v>34</v>
      </c>
      <c r="H1297" s="2" t="s">
        <v>283</v>
      </c>
      <c r="I1297" s="16" t="s">
        <v>66</v>
      </c>
      <c r="J1297" s="4">
        <v>43344</v>
      </c>
      <c r="K1297" s="16" t="s">
        <v>8</v>
      </c>
      <c r="L1297" s="16" t="s">
        <v>12</v>
      </c>
      <c r="M1297" s="2" t="s">
        <v>55</v>
      </c>
      <c r="W1297" s="16" t="s">
        <v>62</v>
      </c>
      <c r="Y1297" s="7">
        <v>43373</v>
      </c>
      <c r="Z1297" s="16" t="s">
        <v>66</v>
      </c>
      <c r="AA1297" s="7">
        <v>43382</v>
      </c>
    </row>
    <row r="1298" spans="1:28" ht="15" customHeight="1">
      <c r="A1298" s="290"/>
      <c r="C1298" s="16">
        <v>92</v>
      </c>
      <c r="D1298" s="16">
        <v>21672</v>
      </c>
      <c r="E1298" s="16" t="s">
        <v>268</v>
      </c>
      <c r="F1298" s="3">
        <v>28909260100819</v>
      </c>
      <c r="G1298" s="16" t="s">
        <v>34</v>
      </c>
      <c r="H1298" s="16" t="s">
        <v>284</v>
      </c>
      <c r="I1298" s="16" t="s">
        <v>66</v>
      </c>
      <c r="J1298" s="45">
        <v>43344</v>
      </c>
      <c r="K1298" s="16" t="s">
        <v>8</v>
      </c>
      <c r="L1298" s="16" t="s">
        <v>12</v>
      </c>
      <c r="M1298" s="16" t="s">
        <v>15</v>
      </c>
      <c r="N1298" s="16"/>
      <c r="W1298" s="16" t="s">
        <v>61</v>
      </c>
      <c r="X1298" s="16"/>
      <c r="Y1298" s="45">
        <v>43373</v>
      </c>
      <c r="Z1298" s="16" t="s">
        <v>66</v>
      </c>
      <c r="AA1298" s="45">
        <v>43370</v>
      </c>
      <c r="AB1298" s="16" t="s">
        <v>699</v>
      </c>
    </row>
    <row r="1299" spans="1:28" ht="15" customHeight="1">
      <c r="A1299" s="290"/>
      <c r="C1299" s="16">
        <v>92</v>
      </c>
      <c r="D1299" s="2">
        <v>21673</v>
      </c>
      <c r="E1299" s="2" t="s">
        <v>269</v>
      </c>
      <c r="F1299" s="3">
        <v>29206282102052</v>
      </c>
      <c r="G1299" s="2" t="s">
        <v>34</v>
      </c>
      <c r="H1299" s="2" t="s">
        <v>285</v>
      </c>
      <c r="I1299" s="16" t="s">
        <v>66</v>
      </c>
      <c r="J1299" s="4">
        <v>43344</v>
      </c>
      <c r="K1299" s="16" t="s">
        <v>8</v>
      </c>
      <c r="L1299" s="16" t="s">
        <v>12</v>
      </c>
      <c r="M1299" s="2" t="s">
        <v>292</v>
      </c>
      <c r="W1299" s="16" t="s">
        <v>61</v>
      </c>
      <c r="Y1299" s="7">
        <v>43373</v>
      </c>
      <c r="Z1299" s="16" t="s">
        <v>66</v>
      </c>
      <c r="AA1299" s="7">
        <v>43370</v>
      </c>
      <c r="AB1299" s="2" t="s">
        <v>699</v>
      </c>
    </row>
    <row r="1300" spans="1:28" ht="15" customHeight="1">
      <c r="A1300" s="290"/>
      <c r="C1300" s="16">
        <v>92</v>
      </c>
      <c r="D1300" s="2">
        <v>21674</v>
      </c>
      <c r="E1300" s="2" t="s">
        <v>270</v>
      </c>
      <c r="F1300" s="3">
        <v>29608142100581</v>
      </c>
      <c r="G1300" s="2" t="s">
        <v>34</v>
      </c>
      <c r="H1300" s="2" t="s">
        <v>286</v>
      </c>
      <c r="I1300" s="16" t="s">
        <v>66</v>
      </c>
      <c r="J1300" s="4">
        <v>43344</v>
      </c>
      <c r="K1300" s="16" t="s">
        <v>8</v>
      </c>
      <c r="L1300" s="16" t="s">
        <v>12</v>
      </c>
      <c r="M1300" s="2" t="s">
        <v>52</v>
      </c>
      <c r="W1300" s="16" t="s">
        <v>63</v>
      </c>
      <c r="X1300" s="2" t="s">
        <v>66</v>
      </c>
      <c r="Z1300" s="16" t="str">
        <f>IF(OR(W1300="Dismissed", W1300="Resigned"),"No","")</f>
        <v>No</v>
      </c>
      <c r="AB1300" s="2" t="s">
        <v>701</v>
      </c>
    </row>
    <row r="1301" spans="1:28" ht="15" customHeight="1">
      <c r="A1301" s="290"/>
      <c r="C1301" s="16">
        <v>92</v>
      </c>
      <c r="D1301" s="16">
        <v>21675</v>
      </c>
      <c r="E1301" s="16" t="s">
        <v>271</v>
      </c>
      <c r="F1301" s="3">
        <v>28201012124792</v>
      </c>
      <c r="G1301" s="16" t="s">
        <v>34</v>
      </c>
      <c r="H1301" s="16" t="s">
        <v>287</v>
      </c>
      <c r="I1301" s="16" t="s">
        <v>66</v>
      </c>
      <c r="J1301" s="45">
        <v>43344</v>
      </c>
      <c r="K1301" s="16" t="s">
        <v>8</v>
      </c>
      <c r="L1301" s="16" t="s">
        <v>12</v>
      </c>
      <c r="M1301" s="16" t="s">
        <v>14</v>
      </c>
      <c r="N1301" s="16"/>
      <c r="W1301" s="16" t="s">
        <v>64</v>
      </c>
      <c r="X1301" s="16"/>
      <c r="Y1301" s="45"/>
      <c r="Z1301" s="16" t="str">
        <f>IF(OR(W1301="Dismissed", W1301="Resigned"),"No","")</f>
        <v>No</v>
      </c>
      <c r="AA1301" s="45"/>
      <c r="AB1301" s="16"/>
    </row>
    <row r="1302" spans="1:28" ht="15" customHeight="1">
      <c r="A1302" s="290"/>
      <c r="C1302" s="16">
        <v>92</v>
      </c>
      <c r="D1302" s="2">
        <v>21676</v>
      </c>
      <c r="E1302" s="2" t="s">
        <v>272</v>
      </c>
      <c r="F1302" s="3">
        <v>29306042101118</v>
      </c>
      <c r="G1302" s="2" t="s">
        <v>34</v>
      </c>
      <c r="H1302" s="2" t="s">
        <v>288</v>
      </c>
      <c r="I1302" s="16" t="s">
        <v>66</v>
      </c>
      <c r="J1302" s="4">
        <v>43344</v>
      </c>
      <c r="K1302" s="16" t="s">
        <v>8</v>
      </c>
      <c r="L1302" s="16" t="s">
        <v>12</v>
      </c>
      <c r="M1302" s="2" t="s">
        <v>293</v>
      </c>
      <c r="W1302" s="16" t="s">
        <v>170</v>
      </c>
      <c r="X1302" s="2" t="s">
        <v>66</v>
      </c>
      <c r="Y1302" s="7">
        <v>43395</v>
      </c>
      <c r="Z1302" s="16" t="s">
        <v>66</v>
      </c>
      <c r="AA1302" s="7">
        <v>43410</v>
      </c>
    </row>
    <row r="1303" spans="1:28" ht="15" customHeight="1">
      <c r="A1303" s="290"/>
      <c r="C1303" s="16">
        <v>92</v>
      </c>
      <c r="D1303" s="2">
        <v>21677</v>
      </c>
      <c r="E1303" s="2" t="s">
        <v>273</v>
      </c>
      <c r="F1303" s="3">
        <v>29611042101042</v>
      </c>
      <c r="G1303" s="2" t="s">
        <v>34</v>
      </c>
      <c r="H1303" s="2" t="s">
        <v>289</v>
      </c>
      <c r="I1303" s="16" t="s">
        <v>66</v>
      </c>
      <c r="J1303" s="4">
        <v>43344</v>
      </c>
      <c r="K1303" s="16" t="s">
        <v>8</v>
      </c>
      <c r="L1303" s="16" t="s">
        <v>12</v>
      </c>
      <c r="M1303" s="2" t="s">
        <v>294</v>
      </c>
      <c r="W1303" s="16" t="s">
        <v>61</v>
      </c>
      <c r="Y1303" s="7">
        <v>43373</v>
      </c>
      <c r="Z1303" s="16" t="s">
        <v>66</v>
      </c>
      <c r="AA1303" s="7">
        <v>43370</v>
      </c>
      <c r="AB1303" s="2" t="s">
        <v>699</v>
      </c>
    </row>
    <row r="1304" spans="1:28" ht="15" customHeight="1" thickBot="1">
      <c r="A1304" s="291"/>
      <c r="C1304" s="28">
        <v>92</v>
      </c>
      <c r="D1304" s="28">
        <v>21816</v>
      </c>
      <c r="E1304" s="28" t="s">
        <v>274</v>
      </c>
      <c r="F1304" s="29">
        <v>29409010114971</v>
      </c>
      <c r="G1304" s="28" t="s">
        <v>34</v>
      </c>
      <c r="H1304" s="28" t="s">
        <v>290</v>
      </c>
      <c r="I1304" s="28" t="s">
        <v>66</v>
      </c>
      <c r="J1304" s="30">
        <v>43344</v>
      </c>
      <c r="K1304" s="28" t="s">
        <v>8</v>
      </c>
      <c r="L1304" s="28" t="s">
        <v>12</v>
      </c>
      <c r="M1304" s="28" t="s">
        <v>55</v>
      </c>
      <c r="N1304" s="28"/>
      <c r="O1304" s="226"/>
      <c r="P1304" s="28"/>
      <c r="Q1304" s="226"/>
      <c r="R1304" s="28"/>
      <c r="S1304" s="28"/>
      <c r="T1304" s="28"/>
      <c r="U1304" s="28"/>
      <c r="V1304" s="28"/>
      <c r="W1304" s="28" t="s">
        <v>62</v>
      </c>
      <c r="X1304" s="28"/>
      <c r="Y1304" s="30">
        <v>43373</v>
      </c>
      <c r="Z1304" s="28" t="s">
        <v>66</v>
      </c>
      <c r="AA1304" s="30">
        <v>43382</v>
      </c>
      <c r="AB1304" s="28" t="s">
        <v>3897</v>
      </c>
    </row>
    <row r="1305" spans="1:28" ht="15.75" customHeight="1" thickTop="1">
      <c r="A1305" s="289" t="s">
        <v>3126</v>
      </c>
      <c r="C1305" s="2">
        <v>93</v>
      </c>
      <c r="D1305" s="2">
        <v>21796</v>
      </c>
      <c r="E1305" s="2" t="s">
        <v>295</v>
      </c>
      <c r="F1305" s="3">
        <v>28411120103275</v>
      </c>
      <c r="G1305" s="16" t="s">
        <v>34</v>
      </c>
      <c r="H1305" s="2" t="s">
        <v>306</v>
      </c>
      <c r="I1305" s="2" t="s">
        <v>66</v>
      </c>
      <c r="J1305" s="4">
        <v>43351</v>
      </c>
      <c r="K1305" s="16" t="s">
        <v>8</v>
      </c>
      <c r="L1305" s="16" t="s">
        <v>12</v>
      </c>
      <c r="M1305" s="2" t="s">
        <v>105</v>
      </c>
      <c r="W1305" s="16" t="s">
        <v>64</v>
      </c>
      <c r="Z1305" s="16" t="str">
        <f>IF(OR(W1305="Dismissed", W1305="Resigned"),"No","")</f>
        <v>No</v>
      </c>
    </row>
    <row r="1306" spans="1:28" ht="15" customHeight="1">
      <c r="A1306" s="290"/>
      <c r="C1306" s="16">
        <v>93</v>
      </c>
      <c r="D1306" s="2">
        <v>21797</v>
      </c>
      <c r="E1306" s="2" t="s">
        <v>296</v>
      </c>
      <c r="F1306" s="3">
        <v>29609290107508</v>
      </c>
      <c r="G1306" s="16" t="s">
        <v>34</v>
      </c>
      <c r="H1306" s="2" t="s">
        <v>307</v>
      </c>
      <c r="I1306" s="2" t="s">
        <v>66</v>
      </c>
      <c r="J1306" s="4">
        <v>43351</v>
      </c>
      <c r="K1306" s="16" t="s">
        <v>8</v>
      </c>
      <c r="L1306" s="16" t="s">
        <v>12</v>
      </c>
      <c r="M1306" s="2" t="s">
        <v>102</v>
      </c>
      <c r="W1306" s="16" t="s">
        <v>63</v>
      </c>
      <c r="X1306" s="2" t="s">
        <v>66</v>
      </c>
      <c r="Z1306" s="16" t="str">
        <f>IF(OR(W1306="Dismissed", W1306="Resigned"),"No","")</f>
        <v>No</v>
      </c>
      <c r="AB1306" s="2" t="s">
        <v>701</v>
      </c>
    </row>
    <row r="1307" spans="1:28" ht="15" customHeight="1">
      <c r="A1307" s="290"/>
      <c r="C1307" s="16">
        <v>93</v>
      </c>
      <c r="D1307" s="2">
        <v>21798</v>
      </c>
      <c r="E1307" s="2" t="s">
        <v>297</v>
      </c>
      <c r="F1307" s="3">
        <v>28808150103439</v>
      </c>
      <c r="G1307" s="16" t="s">
        <v>34</v>
      </c>
      <c r="H1307" s="2" t="s">
        <v>308</v>
      </c>
      <c r="I1307" s="2" t="s">
        <v>66</v>
      </c>
      <c r="J1307" s="4">
        <v>43351</v>
      </c>
      <c r="K1307" s="16" t="s">
        <v>8</v>
      </c>
      <c r="L1307" s="16" t="s">
        <v>12</v>
      </c>
      <c r="M1307" s="2" t="s">
        <v>257</v>
      </c>
      <c r="W1307" s="16" t="s">
        <v>62</v>
      </c>
      <c r="Y1307" s="7">
        <v>43380</v>
      </c>
      <c r="Z1307" s="16" t="s">
        <v>66</v>
      </c>
      <c r="AA1307" s="7">
        <v>43382</v>
      </c>
    </row>
    <row r="1308" spans="1:28" ht="15" customHeight="1">
      <c r="A1308" s="290"/>
      <c r="C1308" s="16">
        <v>93</v>
      </c>
      <c r="D1308" s="2">
        <v>21799</v>
      </c>
      <c r="E1308" s="2" t="s">
        <v>298</v>
      </c>
      <c r="F1308" s="3">
        <v>29508132100341</v>
      </c>
      <c r="G1308" s="16" t="s">
        <v>34</v>
      </c>
      <c r="H1308" s="2" t="s">
        <v>309</v>
      </c>
      <c r="I1308" s="2" t="s">
        <v>66</v>
      </c>
      <c r="J1308" s="4">
        <v>43351</v>
      </c>
      <c r="K1308" s="16" t="s">
        <v>8</v>
      </c>
      <c r="L1308" s="16" t="s">
        <v>12</v>
      </c>
      <c r="M1308" s="2" t="s">
        <v>376</v>
      </c>
      <c r="W1308" s="16" t="s">
        <v>170</v>
      </c>
      <c r="Y1308" s="7">
        <v>43380</v>
      </c>
      <c r="Z1308" s="16" t="s">
        <v>66</v>
      </c>
      <c r="AA1308" s="7">
        <v>43389</v>
      </c>
    </row>
    <row r="1309" spans="1:28" ht="15" customHeight="1">
      <c r="A1309" s="290"/>
      <c r="C1309" s="16">
        <v>93</v>
      </c>
      <c r="D1309" s="2">
        <v>21800</v>
      </c>
      <c r="E1309" s="2" t="s">
        <v>299</v>
      </c>
      <c r="F1309" s="3">
        <v>29510232100203</v>
      </c>
      <c r="G1309" s="16" t="s">
        <v>34</v>
      </c>
      <c r="H1309" s="16" t="s">
        <v>310</v>
      </c>
      <c r="I1309" s="2" t="s">
        <v>66</v>
      </c>
      <c r="J1309" s="4">
        <v>43351</v>
      </c>
      <c r="K1309" s="16" t="s">
        <v>8</v>
      </c>
      <c r="L1309" s="16" t="s">
        <v>12</v>
      </c>
      <c r="M1309" s="2" t="s">
        <v>104</v>
      </c>
      <c r="W1309" s="16" t="s">
        <v>61</v>
      </c>
      <c r="Y1309" s="7">
        <v>43380</v>
      </c>
      <c r="Z1309" s="16" t="s">
        <v>67</v>
      </c>
    </row>
    <row r="1310" spans="1:28" ht="15" customHeight="1">
      <c r="A1310" s="290"/>
      <c r="C1310" s="16">
        <v>93</v>
      </c>
      <c r="D1310" s="2">
        <v>21801</v>
      </c>
      <c r="E1310" s="2" t="s">
        <v>300</v>
      </c>
      <c r="F1310" s="3">
        <v>29509141303855</v>
      </c>
      <c r="G1310" s="16" t="s">
        <v>34</v>
      </c>
      <c r="H1310" s="2" t="s">
        <v>311</v>
      </c>
      <c r="I1310" s="2" t="s">
        <v>66</v>
      </c>
      <c r="J1310" s="4">
        <v>43351</v>
      </c>
      <c r="K1310" s="16" t="s">
        <v>8</v>
      </c>
      <c r="L1310" s="16" t="s">
        <v>12</v>
      </c>
      <c r="M1310" s="2" t="s">
        <v>376</v>
      </c>
      <c r="W1310" s="16" t="s">
        <v>61</v>
      </c>
      <c r="X1310" s="2" t="s">
        <v>66</v>
      </c>
      <c r="Y1310" s="7">
        <v>43395</v>
      </c>
      <c r="Z1310" s="16" t="s">
        <v>66</v>
      </c>
      <c r="AA1310" s="7">
        <v>43398</v>
      </c>
    </row>
    <row r="1311" spans="1:28" ht="15" customHeight="1">
      <c r="A1311" s="290"/>
      <c r="C1311" s="16">
        <v>93</v>
      </c>
      <c r="D1311" s="2">
        <v>21802</v>
      </c>
      <c r="E1311" s="2" t="s">
        <v>301</v>
      </c>
      <c r="F1311" s="3">
        <v>29707148800192</v>
      </c>
      <c r="G1311" s="16" t="s">
        <v>4</v>
      </c>
      <c r="H1311" s="2" t="s">
        <v>312</v>
      </c>
      <c r="I1311" s="2" t="s">
        <v>66</v>
      </c>
      <c r="J1311" s="4">
        <v>43351</v>
      </c>
      <c r="K1311" s="16" t="s">
        <v>8</v>
      </c>
      <c r="L1311" s="16" t="s">
        <v>12</v>
      </c>
      <c r="M1311" s="2" t="s">
        <v>13</v>
      </c>
      <c r="W1311" s="16" t="s">
        <v>60</v>
      </c>
      <c r="X1311" s="2" t="s">
        <v>66</v>
      </c>
      <c r="Y1311" s="7">
        <v>43395</v>
      </c>
      <c r="Z1311" s="16" t="s">
        <v>67</v>
      </c>
    </row>
    <row r="1312" spans="1:28" ht="15" customHeight="1">
      <c r="A1312" s="290"/>
      <c r="C1312" s="16">
        <v>93</v>
      </c>
      <c r="D1312" s="2">
        <v>21803</v>
      </c>
      <c r="E1312" s="2" t="s">
        <v>302</v>
      </c>
      <c r="F1312" s="3">
        <v>29203270101671</v>
      </c>
      <c r="G1312" s="16" t="s">
        <v>34</v>
      </c>
      <c r="H1312" s="16" t="s">
        <v>313</v>
      </c>
      <c r="I1312" s="2" t="s">
        <v>66</v>
      </c>
      <c r="J1312" s="4">
        <v>43351</v>
      </c>
      <c r="K1312" s="16" t="s">
        <v>8</v>
      </c>
      <c r="L1312" s="16" t="s">
        <v>12</v>
      </c>
      <c r="M1312" s="2" t="s">
        <v>105</v>
      </c>
      <c r="W1312" s="16" t="s">
        <v>61</v>
      </c>
      <c r="X1312" s="2" t="s">
        <v>66</v>
      </c>
      <c r="Y1312" s="7">
        <v>43395</v>
      </c>
      <c r="Z1312" s="16" t="s">
        <v>66</v>
      </c>
      <c r="AA1312" s="7">
        <v>43398</v>
      </c>
    </row>
    <row r="1313" spans="1:31" ht="15" customHeight="1">
      <c r="A1313" s="290"/>
      <c r="C1313" s="16">
        <v>93</v>
      </c>
      <c r="D1313" s="2">
        <v>21804</v>
      </c>
      <c r="E1313" s="2" t="s">
        <v>303</v>
      </c>
      <c r="F1313" s="3">
        <v>29612162200083</v>
      </c>
      <c r="G1313" s="16" t="s">
        <v>34</v>
      </c>
      <c r="H1313" s="16" t="s">
        <v>314</v>
      </c>
      <c r="I1313" s="2" t="s">
        <v>66</v>
      </c>
      <c r="J1313" s="4">
        <v>43351</v>
      </c>
      <c r="K1313" s="16" t="s">
        <v>8</v>
      </c>
      <c r="L1313" s="16" t="s">
        <v>12</v>
      </c>
      <c r="M1313" s="2" t="s">
        <v>104</v>
      </c>
      <c r="W1313" s="16" t="s">
        <v>60</v>
      </c>
      <c r="Y1313" s="7">
        <v>43380</v>
      </c>
      <c r="Z1313" s="16" t="s">
        <v>67</v>
      </c>
    </row>
    <row r="1314" spans="1:31" ht="15" customHeight="1">
      <c r="A1314" s="290"/>
      <c r="C1314" s="16">
        <v>93</v>
      </c>
      <c r="D1314" s="16">
        <v>21805</v>
      </c>
      <c r="E1314" s="16" t="s">
        <v>304</v>
      </c>
      <c r="F1314" s="3">
        <v>29509258800604</v>
      </c>
      <c r="G1314" s="16" t="s">
        <v>34</v>
      </c>
      <c r="H1314" s="16" t="s">
        <v>315</v>
      </c>
      <c r="I1314" s="16" t="s">
        <v>66</v>
      </c>
      <c r="J1314" s="45">
        <v>43351</v>
      </c>
      <c r="K1314" s="16" t="s">
        <v>8</v>
      </c>
      <c r="L1314" s="16" t="s">
        <v>12</v>
      </c>
      <c r="M1314" s="16" t="s">
        <v>14</v>
      </c>
      <c r="N1314" s="16"/>
      <c r="W1314" s="16" t="s">
        <v>60</v>
      </c>
      <c r="X1314" s="16"/>
      <c r="Y1314" s="45">
        <v>43380</v>
      </c>
      <c r="Z1314" s="16" t="s">
        <v>66</v>
      </c>
      <c r="AA1314" s="45">
        <v>43389</v>
      </c>
      <c r="AB1314" s="16"/>
    </row>
    <row r="1315" spans="1:31" ht="15.75" customHeight="1" thickBot="1">
      <c r="A1315" s="291"/>
      <c r="C1315" s="28">
        <v>93</v>
      </c>
      <c r="D1315" s="28">
        <v>21825</v>
      </c>
      <c r="E1315" s="28" t="s">
        <v>305</v>
      </c>
      <c r="F1315" s="29">
        <v>29501011259667</v>
      </c>
      <c r="G1315" s="28" t="s">
        <v>34</v>
      </c>
      <c r="H1315" s="28" t="s">
        <v>316</v>
      </c>
      <c r="I1315" s="28" t="s">
        <v>66</v>
      </c>
      <c r="J1315" s="30">
        <v>43351</v>
      </c>
      <c r="K1315" s="28" t="s">
        <v>8</v>
      </c>
      <c r="L1315" s="28" t="s">
        <v>12</v>
      </c>
      <c r="M1315" s="28" t="s">
        <v>379</v>
      </c>
      <c r="N1315" s="28"/>
      <c r="O1315" s="226"/>
      <c r="P1315" s="28"/>
      <c r="Q1315" s="226"/>
      <c r="R1315" s="28"/>
      <c r="S1315" s="28"/>
      <c r="T1315" s="28"/>
      <c r="U1315" s="28"/>
      <c r="V1315" s="28"/>
      <c r="W1315" s="28" t="s">
        <v>61</v>
      </c>
      <c r="X1315" s="28"/>
      <c r="Y1315" s="30">
        <v>43380</v>
      </c>
      <c r="Z1315" s="28" t="s">
        <v>66</v>
      </c>
      <c r="AA1315" s="30">
        <v>43398</v>
      </c>
      <c r="AB1315" s="28"/>
    </row>
    <row r="1316" spans="1:31" ht="15.75" customHeight="1" thickTop="1">
      <c r="A1316" s="289" t="s">
        <v>3123</v>
      </c>
      <c r="C1316" s="16">
        <v>94</v>
      </c>
      <c r="D1316" s="2">
        <v>21817</v>
      </c>
      <c r="E1316" s="2" t="s">
        <v>341</v>
      </c>
      <c r="F1316" s="3">
        <v>29507102100782</v>
      </c>
      <c r="G1316" s="16" t="s">
        <v>34</v>
      </c>
      <c r="H1316" s="8" t="s">
        <v>359</v>
      </c>
      <c r="I1316" s="2" t="s">
        <v>66</v>
      </c>
      <c r="J1316" s="4">
        <v>43351</v>
      </c>
      <c r="K1316" s="16" t="s">
        <v>8</v>
      </c>
      <c r="L1316" s="16" t="s">
        <v>12</v>
      </c>
      <c r="M1316" s="2" t="s">
        <v>257</v>
      </c>
      <c r="W1316" s="16" t="s">
        <v>61</v>
      </c>
      <c r="Y1316" s="7">
        <v>43382</v>
      </c>
      <c r="Z1316" s="16" t="s">
        <v>67</v>
      </c>
    </row>
    <row r="1317" spans="1:31" ht="15" customHeight="1">
      <c r="A1317" s="290"/>
      <c r="C1317" s="16">
        <v>94</v>
      </c>
      <c r="D1317" s="2">
        <v>21818</v>
      </c>
      <c r="E1317" s="2" t="s">
        <v>342</v>
      </c>
      <c r="F1317" s="3">
        <v>29609252100257</v>
      </c>
      <c r="G1317" s="16" t="s">
        <v>34</v>
      </c>
      <c r="H1317" s="16" t="s">
        <v>360</v>
      </c>
      <c r="I1317" s="2" t="s">
        <v>66</v>
      </c>
      <c r="J1317" s="4">
        <v>43351</v>
      </c>
      <c r="K1317" s="16" t="s">
        <v>8</v>
      </c>
      <c r="L1317" s="16" t="s">
        <v>12</v>
      </c>
      <c r="M1317" s="2" t="s">
        <v>291</v>
      </c>
      <c r="W1317" s="16" t="s">
        <v>61</v>
      </c>
      <c r="X1317" s="2" t="s">
        <v>66</v>
      </c>
      <c r="Y1317" s="7">
        <v>43422</v>
      </c>
      <c r="Z1317" s="16" t="s">
        <v>66</v>
      </c>
      <c r="AA1317" s="7">
        <v>43429</v>
      </c>
      <c r="AD1317" s="306"/>
      <c r="AE1317" s="306"/>
    </row>
    <row r="1318" spans="1:31" ht="15" customHeight="1">
      <c r="A1318" s="290"/>
      <c r="C1318" s="16">
        <v>94</v>
      </c>
      <c r="D1318" s="2">
        <v>21819</v>
      </c>
      <c r="E1318" s="2" t="s">
        <v>343</v>
      </c>
      <c r="F1318" s="3">
        <v>29704012400736</v>
      </c>
      <c r="G1318" s="16" t="s">
        <v>34</v>
      </c>
      <c r="H1318" s="2" t="s">
        <v>361</v>
      </c>
      <c r="I1318" s="2" t="s">
        <v>66</v>
      </c>
      <c r="J1318" s="4">
        <v>43351</v>
      </c>
      <c r="K1318" s="16" t="s">
        <v>8</v>
      </c>
      <c r="L1318" s="16" t="s">
        <v>12</v>
      </c>
      <c r="M1318" s="2" t="s">
        <v>377</v>
      </c>
      <c r="W1318" s="16" t="s">
        <v>60</v>
      </c>
      <c r="Y1318" s="7">
        <v>43382</v>
      </c>
      <c r="Z1318" s="16" t="s">
        <v>66</v>
      </c>
      <c r="AA1318" s="7">
        <v>43389</v>
      </c>
    </row>
    <row r="1319" spans="1:31" ht="15" customHeight="1">
      <c r="A1319" s="290"/>
      <c r="C1319" s="16">
        <v>94</v>
      </c>
      <c r="D1319" s="2">
        <v>21820</v>
      </c>
      <c r="E1319" s="2" t="s">
        <v>344</v>
      </c>
      <c r="F1319" s="3">
        <v>28909252704918</v>
      </c>
      <c r="G1319" s="16" t="s">
        <v>34</v>
      </c>
      <c r="H1319" s="8" t="s">
        <v>362</v>
      </c>
      <c r="I1319" s="2" t="s">
        <v>66</v>
      </c>
      <c r="J1319" s="4">
        <v>43351</v>
      </c>
      <c r="K1319" s="16" t="s">
        <v>8</v>
      </c>
      <c r="L1319" s="16" t="s">
        <v>12</v>
      </c>
      <c r="M1319" s="2" t="s">
        <v>147</v>
      </c>
      <c r="W1319" s="16" t="s">
        <v>62</v>
      </c>
      <c r="Y1319" s="7">
        <v>43382</v>
      </c>
      <c r="Z1319" s="16" t="s">
        <v>66</v>
      </c>
      <c r="AA1319" s="7">
        <v>43387</v>
      </c>
    </row>
    <row r="1320" spans="1:31" ht="15" customHeight="1">
      <c r="A1320" s="290"/>
      <c r="C1320" s="16">
        <v>94</v>
      </c>
      <c r="D1320" s="2">
        <v>21821</v>
      </c>
      <c r="E1320" s="2" t="s">
        <v>345</v>
      </c>
      <c r="F1320" s="3">
        <v>29210168800529</v>
      </c>
      <c r="G1320" s="16" t="s">
        <v>34</v>
      </c>
      <c r="H1320" s="8" t="s">
        <v>363</v>
      </c>
      <c r="I1320" s="2" t="s">
        <v>66</v>
      </c>
      <c r="J1320" s="4">
        <v>43351</v>
      </c>
      <c r="K1320" s="16" t="s">
        <v>8</v>
      </c>
      <c r="L1320" s="16" t="s">
        <v>12</v>
      </c>
      <c r="M1320" s="2" t="s">
        <v>100</v>
      </c>
      <c r="W1320" s="16" t="s">
        <v>63</v>
      </c>
      <c r="X1320" s="2" t="s">
        <v>66</v>
      </c>
      <c r="Z1320" s="16" t="s">
        <v>67</v>
      </c>
      <c r="AB1320" s="2" t="s">
        <v>701</v>
      </c>
    </row>
    <row r="1321" spans="1:31" ht="15" customHeight="1">
      <c r="A1321" s="290"/>
      <c r="C1321" s="16">
        <v>94</v>
      </c>
      <c r="D1321" s="2">
        <v>21822</v>
      </c>
      <c r="E1321" s="2" t="s">
        <v>346</v>
      </c>
      <c r="F1321" s="3">
        <v>28907180200798</v>
      </c>
      <c r="G1321" s="16" t="s">
        <v>34</v>
      </c>
      <c r="H1321" s="2" t="s">
        <v>364</v>
      </c>
      <c r="I1321" s="2" t="s">
        <v>66</v>
      </c>
      <c r="J1321" s="4">
        <v>43351</v>
      </c>
      <c r="K1321" s="16" t="s">
        <v>8</v>
      </c>
      <c r="L1321" s="16" t="s">
        <v>12</v>
      </c>
      <c r="M1321" s="2" t="s">
        <v>291</v>
      </c>
      <c r="W1321" s="16" t="s">
        <v>60</v>
      </c>
      <c r="Y1321" s="7">
        <v>43382</v>
      </c>
      <c r="Z1321" s="16" t="s">
        <v>66</v>
      </c>
      <c r="AA1321" s="7">
        <v>43389</v>
      </c>
    </row>
    <row r="1322" spans="1:31" ht="15" customHeight="1">
      <c r="A1322" s="290"/>
      <c r="C1322" s="16">
        <v>94</v>
      </c>
      <c r="D1322" s="2">
        <v>21823</v>
      </c>
      <c r="E1322" s="2" t="s">
        <v>347</v>
      </c>
      <c r="F1322" s="3">
        <v>28710010107787</v>
      </c>
      <c r="G1322" s="16" t="s">
        <v>34</v>
      </c>
      <c r="H1322" s="2" t="s">
        <v>365</v>
      </c>
      <c r="I1322" s="16" t="s">
        <v>66</v>
      </c>
      <c r="J1322" s="4">
        <v>43351</v>
      </c>
      <c r="K1322" s="16" t="s">
        <v>8</v>
      </c>
      <c r="L1322" s="16" t="s">
        <v>12</v>
      </c>
      <c r="M1322" s="2" t="s">
        <v>378</v>
      </c>
      <c r="W1322" s="16" t="s">
        <v>62</v>
      </c>
      <c r="Y1322" s="7">
        <v>43382</v>
      </c>
      <c r="Z1322" s="16" t="s">
        <v>66</v>
      </c>
      <c r="AA1322" s="7">
        <v>43387</v>
      </c>
    </row>
    <row r="1323" spans="1:31" ht="15" customHeight="1">
      <c r="A1323" s="290"/>
      <c r="C1323" s="2">
        <v>94</v>
      </c>
      <c r="D1323" s="2">
        <v>21824</v>
      </c>
      <c r="E1323" s="2" t="s">
        <v>348</v>
      </c>
      <c r="F1323" s="3">
        <v>29509060104629</v>
      </c>
      <c r="G1323" s="2" t="s">
        <v>34</v>
      </c>
      <c r="H1323" s="2" t="s">
        <v>366</v>
      </c>
      <c r="I1323" s="2" t="s">
        <v>66</v>
      </c>
      <c r="J1323" s="4">
        <v>43351</v>
      </c>
      <c r="K1323" s="16" t="s">
        <v>8</v>
      </c>
      <c r="L1323" s="16" t="s">
        <v>12</v>
      </c>
      <c r="M1323" s="2" t="s">
        <v>55</v>
      </c>
      <c r="W1323" s="16" t="s">
        <v>62</v>
      </c>
      <c r="X1323" s="2" t="s">
        <v>66</v>
      </c>
      <c r="Y1323" s="7">
        <v>43422</v>
      </c>
      <c r="Z1323" s="16" t="s">
        <v>66</v>
      </c>
      <c r="AA1323" s="7">
        <v>43429</v>
      </c>
      <c r="AD1323" s="71"/>
      <c r="AE1323" s="71"/>
    </row>
    <row r="1324" spans="1:31" ht="15" customHeight="1">
      <c r="A1324" s="290"/>
      <c r="C1324" s="16">
        <v>94</v>
      </c>
      <c r="D1324" s="2">
        <v>21827</v>
      </c>
      <c r="E1324" s="2" t="s">
        <v>349</v>
      </c>
      <c r="F1324" s="3">
        <v>29503020300133</v>
      </c>
      <c r="G1324" s="2" t="s">
        <v>34</v>
      </c>
      <c r="H1324" s="2" t="s">
        <v>367</v>
      </c>
      <c r="I1324" s="2" t="s">
        <v>66</v>
      </c>
      <c r="J1324" s="4">
        <v>43351</v>
      </c>
      <c r="K1324" s="16" t="s">
        <v>8</v>
      </c>
      <c r="L1324" s="16" t="s">
        <v>12</v>
      </c>
      <c r="M1324" s="2" t="s">
        <v>380</v>
      </c>
      <c r="W1324" s="16" t="s">
        <v>62</v>
      </c>
      <c r="Y1324" s="7">
        <v>43382</v>
      </c>
      <c r="Z1324" s="16" t="s">
        <v>66</v>
      </c>
      <c r="AA1324" s="7">
        <v>43387</v>
      </c>
      <c r="AD1324" s="70"/>
      <c r="AE1324" s="70"/>
    </row>
    <row r="1325" spans="1:31" ht="15" customHeight="1">
      <c r="A1325" s="290"/>
      <c r="C1325" s="16">
        <v>94</v>
      </c>
      <c r="D1325" s="2">
        <v>21828</v>
      </c>
      <c r="E1325" s="2" t="s">
        <v>350</v>
      </c>
      <c r="F1325" s="3" t="s">
        <v>351</v>
      </c>
      <c r="G1325" s="2" t="s">
        <v>34</v>
      </c>
      <c r="H1325" s="2" t="s">
        <v>368</v>
      </c>
      <c r="I1325" s="2" t="s">
        <v>66</v>
      </c>
      <c r="J1325" s="4">
        <v>43351</v>
      </c>
      <c r="K1325" s="16" t="s">
        <v>8</v>
      </c>
      <c r="L1325" s="16" t="s">
        <v>12</v>
      </c>
      <c r="M1325" s="2" t="s">
        <v>105</v>
      </c>
      <c r="W1325" s="16" t="s">
        <v>170</v>
      </c>
      <c r="Y1325" s="7">
        <v>43382</v>
      </c>
      <c r="Z1325" s="16" t="s">
        <v>66</v>
      </c>
      <c r="AA1325" s="7">
        <v>43389</v>
      </c>
      <c r="AD1325" s="70"/>
      <c r="AE1325" s="70"/>
    </row>
    <row r="1326" spans="1:31" ht="15" customHeight="1">
      <c r="A1326" s="290"/>
      <c r="C1326" s="16">
        <v>94</v>
      </c>
      <c r="D1326" s="2">
        <v>21829</v>
      </c>
      <c r="E1326" s="2" t="s">
        <v>352</v>
      </c>
      <c r="F1326" s="3">
        <v>29611172102628</v>
      </c>
      <c r="G1326" s="2" t="s">
        <v>34</v>
      </c>
      <c r="H1326" s="2" t="s">
        <v>369</v>
      </c>
      <c r="I1326" s="2" t="s">
        <v>66</v>
      </c>
      <c r="J1326" s="4">
        <v>43351</v>
      </c>
      <c r="K1326" s="16" t="s">
        <v>8</v>
      </c>
      <c r="L1326" s="16" t="s">
        <v>12</v>
      </c>
      <c r="M1326" s="2" t="s">
        <v>405</v>
      </c>
      <c r="W1326" s="16" t="s">
        <v>61</v>
      </c>
      <c r="Y1326" s="7">
        <v>43382</v>
      </c>
      <c r="Z1326" s="16" t="s">
        <v>66</v>
      </c>
      <c r="AA1326" s="7">
        <v>43390</v>
      </c>
      <c r="AD1326" s="70"/>
      <c r="AE1326" s="70"/>
    </row>
    <row r="1327" spans="1:31" ht="15" customHeight="1">
      <c r="A1327" s="290"/>
      <c r="C1327" s="16">
        <v>94</v>
      </c>
      <c r="D1327" s="2">
        <v>21830</v>
      </c>
      <c r="E1327" s="2" t="s">
        <v>353</v>
      </c>
      <c r="F1327" s="3">
        <v>29506060104182</v>
      </c>
      <c r="G1327" s="2" t="s">
        <v>34</v>
      </c>
      <c r="H1327" s="2" t="s">
        <v>370</v>
      </c>
      <c r="I1327" s="2" t="s">
        <v>66</v>
      </c>
      <c r="J1327" s="4">
        <v>43351</v>
      </c>
      <c r="K1327" s="16" t="s">
        <v>8</v>
      </c>
      <c r="L1327" s="16" t="s">
        <v>12</v>
      </c>
      <c r="M1327" s="2" t="s">
        <v>13</v>
      </c>
      <c r="W1327" s="16" t="s">
        <v>502</v>
      </c>
      <c r="X1327" s="2" t="s">
        <v>66</v>
      </c>
      <c r="Y1327" s="7">
        <v>43422</v>
      </c>
      <c r="Z1327" s="16" t="s">
        <v>66</v>
      </c>
      <c r="AA1327" s="7">
        <v>43431</v>
      </c>
      <c r="AB1327" s="2" t="s">
        <v>3216</v>
      </c>
      <c r="AD1327" s="71"/>
      <c r="AE1327" s="71"/>
    </row>
    <row r="1328" spans="1:31" ht="15" customHeight="1">
      <c r="A1328" s="290"/>
      <c r="C1328" s="16">
        <v>94</v>
      </c>
      <c r="D1328" s="2">
        <v>21831</v>
      </c>
      <c r="E1328" s="2" t="s">
        <v>354</v>
      </c>
      <c r="F1328" s="3">
        <v>29610170102969</v>
      </c>
      <c r="G1328" s="2" t="s">
        <v>34</v>
      </c>
      <c r="H1328" s="2" t="s">
        <v>371</v>
      </c>
      <c r="I1328" s="2" t="s">
        <v>66</v>
      </c>
      <c r="J1328" s="4">
        <v>43351</v>
      </c>
      <c r="K1328" s="16" t="s">
        <v>8</v>
      </c>
      <c r="L1328" s="16" t="s">
        <v>12</v>
      </c>
      <c r="M1328" s="2" t="s">
        <v>257</v>
      </c>
      <c r="W1328" s="16" t="s">
        <v>170</v>
      </c>
      <c r="Y1328" s="7">
        <v>43382</v>
      </c>
      <c r="Z1328" s="16" t="s">
        <v>66</v>
      </c>
      <c r="AA1328" s="7">
        <v>43389</v>
      </c>
      <c r="AD1328" s="70"/>
      <c r="AE1328" s="70"/>
    </row>
    <row r="1329" spans="1:31" ht="15" customHeight="1">
      <c r="A1329" s="290"/>
      <c r="C1329" s="16">
        <v>94</v>
      </c>
      <c r="D1329" s="2">
        <v>21832</v>
      </c>
      <c r="E1329" s="2" t="s">
        <v>355</v>
      </c>
      <c r="F1329" s="3">
        <v>29601012111773</v>
      </c>
      <c r="G1329" s="2" t="s">
        <v>34</v>
      </c>
      <c r="H1329" s="2" t="s">
        <v>372</v>
      </c>
      <c r="I1329" s="2" t="s">
        <v>66</v>
      </c>
      <c r="J1329" s="4">
        <v>43351</v>
      </c>
      <c r="K1329" s="16" t="s">
        <v>8</v>
      </c>
      <c r="L1329" s="16" t="s">
        <v>12</v>
      </c>
      <c r="M1329" s="2" t="s">
        <v>53</v>
      </c>
      <c r="W1329" s="16" t="s">
        <v>62</v>
      </c>
      <c r="Y1329" s="7">
        <v>43382</v>
      </c>
      <c r="Z1329" s="16" t="s">
        <v>67</v>
      </c>
      <c r="AB1329" s="2" t="s">
        <v>3376</v>
      </c>
      <c r="AD1329" s="70"/>
      <c r="AE1329" s="70"/>
    </row>
    <row r="1330" spans="1:31" ht="15" customHeight="1">
      <c r="A1330" s="290"/>
      <c r="C1330" s="16">
        <v>94</v>
      </c>
      <c r="D1330" s="16">
        <v>21833</v>
      </c>
      <c r="E1330" s="16" t="s">
        <v>356</v>
      </c>
      <c r="F1330" s="3">
        <v>29301010142392</v>
      </c>
      <c r="G1330" s="16" t="s">
        <v>34</v>
      </c>
      <c r="H1330" s="16" t="s">
        <v>373</v>
      </c>
      <c r="I1330" s="16" t="s">
        <v>66</v>
      </c>
      <c r="J1330" s="45">
        <v>43351</v>
      </c>
      <c r="K1330" s="16" t="s">
        <v>8</v>
      </c>
      <c r="L1330" s="16" t="s">
        <v>12</v>
      </c>
      <c r="M1330" s="16" t="s">
        <v>291</v>
      </c>
      <c r="N1330" s="16"/>
      <c r="W1330" s="16" t="s">
        <v>63</v>
      </c>
      <c r="X1330" s="16"/>
      <c r="Y1330" s="45"/>
      <c r="Z1330" s="16" t="s">
        <v>67</v>
      </c>
      <c r="AA1330" s="45"/>
      <c r="AB1330" s="16"/>
      <c r="AD1330" s="70"/>
      <c r="AE1330" s="70"/>
    </row>
    <row r="1331" spans="1:31" ht="15" customHeight="1">
      <c r="A1331" s="290"/>
      <c r="C1331" s="16">
        <v>94</v>
      </c>
      <c r="D1331" s="16">
        <v>21834</v>
      </c>
      <c r="E1331" s="16" t="s">
        <v>357</v>
      </c>
      <c r="F1331" s="3">
        <v>29307010100094</v>
      </c>
      <c r="G1331" s="16" t="s">
        <v>34</v>
      </c>
      <c r="H1331" s="16" t="s">
        <v>374</v>
      </c>
      <c r="I1331" s="16" t="s">
        <v>66</v>
      </c>
      <c r="J1331" s="45">
        <v>43351</v>
      </c>
      <c r="K1331" s="16" t="s">
        <v>8</v>
      </c>
      <c r="L1331" s="16" t="s">
        <v>12</v>
      </c>
      <c r="M1331" s="16" t="s">
        <v>226</v>
      </c>
      <c r="N1331" s="16"/>
      <c r="W1331" s="16" t="s">
        <v>60</v>
      </c>
      <c r="X1331" s="16"/>
      <c r="Y1331" s="45">
        <v>43382</v>
      </c>
      <c r="Z1331" s="16" t="s">
        <v>66</v>
      </c>
      <c r="AA1331" s="45">
        <v>43389</v>
      </c>
      <c r="AB1331" s="16"/>
      <c r="AD1331" s="70"/>
      <c r="AE1331" s="70"/>
    </row>
    <row r="1332" spans="1:31" ht="15.75" customHeight="1" thickBot="1">
      <c r="A1332" s="291"/>
      <c r="C1332" s="28">
        <v>94</v>
      </c>
      <c r="D1332" s="28">
        <v>21835</v>
      </c>
      <c r="E1332" s="28" t="s">
        <v>358</v>
      </c>
      <c r="F1332" s="29">
        <v>28509132100956</v>
      </c>
      <c r="G1332" s="28" t="s">
        <v>34</v>
      </c>
      <c r="H1332" s="28" t="s">
        <v>375</v>
      </c>
      <c r="I1332" s="28" t="s">
        <v>66</v>
      </c>
      <c r="J1332" s="30">
        <v>43351</v>
      </c>
      <c r="K1332" s="28" t="s">
        <v>8</v>
      </c>
      <c r="L1332" s="28" t="s">
        <v>12</v>
      </c>
      <c r="M1332" s="28" t="s">
        <v>148</v>
      </c>
      <c r="N1332" s="28"/>
      <c r="O1332" s="226"/>
      <c r="P1332" s="28"/>
      <c r="Q1332" s="226"/>
      <c r="R1332" s="28"/>
      <c r="S1332" s="28"/>
      <c r="T1332" s="28"/>
      <c r="U1332" s="28"/>
      <c r="V1332" s="28"/>
      <c r="W1332" s="28" t="s">
        <v>62</v>
      </c>
      <c r="X1332" s="28"/>
      <c r="Y1332" s="30">
        <v>43382</v>
      </c>
      <c r="Z1332" s="28" t="s">
        <v>67</v>
      </c>
      <c r="AA1332" s="30"/>
      <c r="AB1332" s="28" t="s">
        <v>3377</v>
      </c>
      <c r="AD1332" s="70"/>
      <c r="AE1332" s="70"/>
    </row>
    <row r="1333" spans="1:31" ht="15.75" customHeight="1" thickTop="1">
      <c r="A1333" s="289" t="s">
        <v>3122</v>
      </c>
      <c r="C1333" s="16">
        <v>95</v>
      </c>
      <c r="D1333" s="2">
        <v>21846</v>
      </c>
      <c r="E1333" s="2" t="s">
        <v>381</v>
      </c>
      <c r="F1333" s="3">
        <v>29603030100684</v>
      </c>
      <c r="G1333" s="2" t="s">
        <v>34</v>
      </c>
      <c r="H1333" s="2" t="s">
        <v>393</v>
      </c>
      <c r="I1333" s="2" t="s">
        <v>66</v>
      </c>
      <c r="J1333" s="4">
        <v>43367</v>
      </c>
      <c r="K1333" s="16" t="s">
        <v>8</v>
      </c>
      <c r="L1333" s="16" t="s">
        <v>12</v>
      </c>
      <c r="M1333" s="2" t="s">
        <v>52</v>
      </c>
      <c r="W1333" s="16" t="s">
        <v>60</v>
      </c>
      <c r="X1333" s="2" t="s">
        <v>66</v>
      </c>
      <c r="Y1333" s="7">
        <v>43422</v>
      </c>
      <c r="Z1333" s="16" t="s">
        <v>66</v>
      </c>
      <c r="AA1333" s="7">
        <v>43431</v>
      </c>
      <c r="AD1333" s="71"/>
      <c r="AE1333" s="71"/>
    </row>
    <row r="1334" spans="1:31" ht="15" customHeight="1">
      <c r="A1334" s="290"/>
      <c r="C1334" s="16">
        <v>95</v>
      </c>
      <c r="D1334" s="2">
        <v>21847</v>
      </c>
      <c r="E1334" s="2" t="s">
        <v>382</v>
      </c>
      <c r="F1334" s="3">
        <v>28811111200258</v>
      </c>
      <c r="G1334" s="2" t="s">
        <v>34</v>
      </c>
      <c r="H1334" s="2" t="s">
        <v>394</v>
      </c>
      <c r="I1334" s="2" t="s">
        <v>66</v>
      </c>
      <c r="J1334" s="4">
        <v>43367</v>
      </c>
      <c r="K1334" s="16" t="s">
        <v>8</v>
      </c>
      <c r="L1334" s="16" t="s">
        <v>12</v>
      </c>
      <c r="M1334" s="2" t="s">
        <v>108</v>
      </c>
      <c r="W1334" s="16" t="s">
        <v>62</v>
      </c>
      <c r="Y1334" s="7">
        <v>43394</v>
      </c>
      <c r="Z1334" s="16" t="s">
        <v>67</v>
      </c>
      <c r="AB1334" s="2" t="s">
        <v>3378</v>
      </c>
      <c r="AD1334" s="70"/>
      <c r="AE1334" s="70"/>
    </row>
    <row r="1335" spans="1:31" ht="15" customHeight="1">
      <c r="A1335" s="290"/>
      <c r="C1335" s="16">
        <v>95</v>
      </c>
      <c r="D1335" s="2">
        <v>21848</v>
      </c>
      <c r="E1335" s="2" t="s">
        <v>383</v>
      </c>
      <c r="F1335" s="3">
        <v>29612060105299</v>
      </c>
      <c r="G1335" s="2" t="s">
        <v>34</v>
      </c>
      <c r="H1335" s="2" t="s">
        <v>395</v>
      </c>
      <c r="I1335" s="2" t="s">
        <v>66</v>
      </c>
      <c r="J1335" s="4">
        <v>43367</v>
      </c>
      <c r="K1335" s="16" t="s">
        <v>8</v>
      </c>
      <c r="L1335" s="16" t="s">
        <v>12</v>
      </c>
      <c r="M1335" s="2" t="s">
        <v>380</v>
      </c>
      <c r="W1335" s="16" t="s">
        <v>150</v>
      </c>
      <c r="Y1335" s="7">
        <v>43394</v>
      </c>
      <c r="Z1335" s="16" t="s">
        <v>66</v>
      </c>
      <c r="AA1335" s="7">
        <v>43389</v>
      </c>
      <c r="AB1335" s="2" t="s">
        <v>60</v>
      </c>
      <c r="AD1335" s="70"/>
      <c r="AE1335" s="70"/>
    </row>
    <row r="1336" spans="1:31" ht="15" customHeight="1">
      <c r="A1336" s="290"/>
      <c r="C1336" s="16">
        <v>95</v>
      </c>
      <c r="D1336" s="2">
        <v>21849</v>
      </c>
      <c r="E1336" s="2" t="s">
        <v>384</v>
      </c>
      <c r="F1336" s="3">
        <v>29409010109161</v>
      </c>
      <c r="G1336" s="2" t="s">
        <v>34</v>
      </c>
      <c r="H1336" s="2" t="s">
        <v>396</v>
      </c>
      <c r="I1336" s="2" t="s">
        <v>66</v>
      </c>
      <c r="J1336" s="4">
        <v>43367</v>
      </c>
      <c r="K1336" s="16" t="s">
        <v>8</v>
      </c>
      <c r="L1336" s="16" t="s">
        <v>12</v>
      </c>
      <c r="M1336" s="2" t="s">
        <v>404</v>
      </c>
      <c r="W1336" s="16" t="s">
        <v>60</v>
      </c>
      <c r="X1336" s="2" t="s">
        <v>66</v>
      </c>
      <c r="Y1336" s="7">
        <v>43422</v>
      </c>
      <c r="Z1336" s="16" t="s">
        <v>66</v>
      </c>
      <c r="AA1336" s="7">
        <v>43431</v>
      </c>
      <c r="AD1336" s="71"/>
      <c r="AE1336" s="71"/>
    </row>
    <row r="1337" spans="1:31" ht="15" customHeight="1">
      <c r="A1337" s="290"/>
      <c r="C1337" s="16">
        <v>95</v>
      </c>
      <c r="D1337" s="2">
        <v>21850</v>
      </c>
      <c r="E1337" s="2" t="s">
        <v>385</v>
      </c>
      <c r="F1337" s="3">
        <v>29303272101479</v>
      </c>
      <c r="G1337" s="2" t="s">
        <v>34</v>
      </c>
      <c r="H1337" s="2" t="s">
        <v>397</v>
      </c>
      <c r="I1337" s="2" t="s">
        <v>66</v>
      </c>
      <c r="J1337" s="4">
        <v>43367</v>
      </c>
      <c r="K1337" s="16" t="s">
        <v>8</v>
      </c>
      <c r="L1337" s="16" t="s">
        <v>12</v>
      </c>
      <c r="M1337" s="2" t="s">
        <v>52</v>
      </c>
      <c r="W1337" s="16" t="s">
        <v>62</v>
      </c>
      <c r="X1337" s="2" t="s">
        <v>66</v>
      </c>
      <c r="Y1337" s="7">
        <v>43422</v>
      </c>
      <c r="Z1337" s="16" t="s">
        <v>66</v>
      </c>
      <c r="AA1337" s="7">
        <v>43429</v>
      </c>
      <c r="AD1337" s="71"/>
      <c r="AE1337" s="71"/>
    </row>
    <row r="1338" spans="1:31" ht="15" customHeight="1">
      <c r="A1338" s="290"/>
      <c r="C1338" s="16">
        <v>95</v>
      </c>
      <c r="D1338" s="2">
        <v>21851</v>
      </c>
      <c r="E1338" s="2" t="s">
        <v>386</v>
      </c>
      <c r="F1338" s="3">
        <v>29110090100563</v>
      </c>
      <c r="G1338" s="2" t="s">
        <v>34</v>
      </c>
      <c r="H1338" s="2" t="s">
        <v>398</v>
      </c>
      <c r="I1338" s="2" t="s">
        <v>66</v>
      </c>
      <c r="J1338" s="4">
        <v>43367</v>
      </c>
      <c r="K1338" s="16" t="s">
        <v>8</v>
      </c>
      <c r="L1338" s="16" t="s">
        <v>12</v>
      </c>
      <c r="M1338" s="2" t="s">
        <v>52</v>
      </c>
      <c r="W1338" s="16" t="s">
        <v>63</v>
      </c>
      <c r="Z1338" s="16" t="s">
        <v>67</v>
      </c>
    </row>
    <row r="1339" spans="1:31" ht="15" customHeight="1">
      <c r="A1339" s="290"/>
      <c r="C1339" s="16">
        <v>95</v>
      </c>
      <c r="D1339" s="2">
        <v>21852</v>
      </c>
      <c r="E1339" s="2" t="s">
        <v>387</v>
      </c>
      <c r="F1339" s="3" t="s">
        <v>388</v>
      </c>
      <c r="G1339" s="2" t="s">
        <v>34</v>
      </c>
      <c r="H1339" s="2" t="s">
        <v>399</v>
      </c>
      <c r="I1339" s="2" t="s">
        <v>66</v>
      </c>
      <c r="J1339" s="4">
        <v>43367</v>
      </c>
      <c r="K1339" s="16" t="s">
        <v>8</v>
      </c>
      <c r="L1339" s="16" t="s">
        <v>12</v>
      </c>
      <c r="M1339" s="2" t="s">
        <v>226</v>
      </c>
      <c r="W1339" s="16" t="s">
        <v>170</v>
      </c>
      <c r="Y1339" s="7">
        <v>43394</v>
      </c>
      <c r="Z1339" s="16" t="s">
        <v>66</v>
      </c>
      <c r="AA1339" s="7">
        <v>43395</v>
      </c>
    </row>
    <row r="1340" spans="1:31" ht="15" customHeight="1">
      <c r="A1340" s="290"/>
      <c r="C1340" s="16">
        <v>95</v>
      </c>
      <c r="D1340" s="2">
        <v>21853</v>
      </c>
      <c r="E1340" s="2" t="s">
        <v>389</v>
      </c>
      <c r="F1340" s="3">
        <v>28810140100177</v>
      </c>
      <c r="G1340" s="16" t="s">
        <v>34</v>
      </c>
      <c r="H1340" s="2" t="s">
        <v>400</v>
      </c>
      <c r="I1340" s="2" t="s">
        <v>66</v>
      </c>
      <c r="J1340" s="4">
        <v>43367</v>
      </c>
      <c r="K1340" s="16" t="s">
        <v>8</v>
      </c>
      <c r="L1340" s="16" t="s">
        <v>12</v>
      </c>
      <c r="M1340" s="2" t="s">
        <v>405</v>
      </c>
      <c r="W1340" s="16" t="s">
        <v>63</v>
      </c>
      <c r="Z1340" s="16" t="s">
        <v>67</v>
      </c>
      <c r="AA1340" s="45"/>
    </row>
    <row r="1341" spans="1:31" ht="15" customHeight="1">
      <c r="A1341" s="290"/>
      <c r="C1341" s="16">
        <v>95</v>
      </c>
      <c r="D1341" s="16">
        <v>21854</v>
      </c>
      <c r="E1341" s="16" t="s">
        <v>390</v>
      </c>
      <c r="F1341" s="3">
        <v>29506160100893</v>
      </c>
      <c r="G1341" s="16" t="s">
        <v>34</v>
      </c>
      <c r="H1341" s="16" t="s">
        <v>401</v>
      </c>
      <c r="I1341" s="16" t="s">
        <v>66</v>
      </c>
      <c r="J1341" s="45">
        <v>43367</v>
      </c>
      <c r="K1341" s="16" t="s">
        <v>8</v>
      </c>
      <c r="L1341" s="16" t="s">
        <v>12</v>
      </c>
      <c r="M1341" s="16" t="s">
        <v>406</v>
      </c>
      <c r="N1341" s="16"/>
      <c r="W1341" s="16" t="s">
        <v>170</v>
      </c>
      <c r="X1341" s="16"/>
      <c r="Y1341" s="45">
        <v>43394</v>
      </c>
      <c r="Z1341" s="16" t="s">
        <v>66</v>
      </c>
      <c r="AA1341" s="45">
        <v>43395</v>
      </c>
      <c r="AB1341" s="16"/>
    </row>
    <row r="1342" spans="1:31" ht="15" customHeight="1">
      <c r="A1342" s="290"/>
      <c r="C1342" s="16">
        <v>95</v>
      </c>
      <c r="D1342" s="2">
        <v>21855</v>
      </c>
      <c r="E1342" s="2" t="s">
        <v>391</v>
      </c>
      <c r="F1342" s="3">
        <v>29706128800815</v>
      </c>
      <c r="G1342" s="16" t="s">
        <v>4</v>
      </c>
      <c r="H1342" s="2" t="s">
        <v>402</v>
      </c>
      <c r="I1342" s="2" t="s">
        <v>66</v>
      </c>
      <c r="J1342" s="4">
        <v>43367</v>
      </c>
      <c r="K1342" s="16" t="s">
        <v>8</v>
      </c>
      <c r="L1342" s="16" t="s">
        <v>12</v>
      </c>
      <c r="M1342" s="2" t="s">
        <v>14</v>
      </c>
      <c r="W1342" s="16" t="s">
        <v>62</v>
      </c>
      <c r="Y1342" s="7">
        <v>43394</v>
      </c>
      <c r="Z1342" s="16" t="s">
        <v>66</v>
      </c>
      <c r="AA1342" s="7">
        <v>43394</v>
      </c>
    </row>
    <row r="1343" spans="1:31" ht="15.75" customHeight="1" thickBot="1">
      <c r="A1343" s="291"/>
      <c r="C1343" s="28">
        <v>95</v>
      </c>
      <c r="D1343" s="28">
        <v>21856</v>
      </c>
      <c r="E1343" s="28" t="s">
        <v>392</v>
      </c>
      <c r="F1343" s="29">
        <v>29508080101735</v>
      </c>
      <c r="G1343" s="28" t="s">
        <v>34</v>
      </c>
      <c r="H1343" s="28" t="s">
        <v>403</v>
      </c>
      <c r="I1343" s="28" t="s">
        <v>66</v>
      </c>
      <c r="J1343" s="30">
        <v>43367</v>
      </c>
      <c r="K1343" s="28" t="s">
        <v>8</v>
      </c>
      <c r="L1343" s="28" t="s">
        <v>12</v>
      </c>
      <c r="M1343" s="28" t="s">
        <v>52</v>
      </c>
      <c r="N1343" s="28"/>
      <c r="O1343" s="226"/>
      <c r="P1343" s="28"/>
      <c r="Q1343" s="226"/>
      <c r="R1343" s="28"/>
      <c r="S1343" s="28"/>
      <c r="T1343" s="28"/>
      <c r="U1343" s="28"/>
      <c r="V1343" s="28"/>
      <c r="W1343" s="28" t="s">
        <v>60</v>
      </c>
      <c r="X1343" s="28"/>
      <c r="Y1343" s="30">
        <v>43394</v>
      </c>
      <c r="Z1343" s="28" t="s">
        <v>66</v>
      </c>
      <c r="AA1343" s="30">
        <v>43395</v>
      </c>
      <c r="AB1343" s="28"/>
    </row>
    <row r="1344" spans="1:31" ht="15.75" customHeight="1" thickTop="1">
      <c r="A1344" s="289" t="s">
        <v>3124</v>
      </c>
      <c r="C1344" s="16">
        <v>96</v>
      </c>
      <c r="D1344" s="2">
        <v>21865</v>
      </c>
      <c r="E1344" s="2" t="s">
        <v>407</v>
      </c>
      <c r="F1344" s="3">
        <v>29408012412787</v>
      </c>
      <c r="G1344" s="16" t="s">
        <v>34</v>
      </c>
      <c r="H1344" s="2" t="s">
        <v>423</v>
      </c>
      <c r="I1344" s="2" t="s">
        <v>66</v>
      </c>
      <c r="J1344" s="4">
        <v>43372</v>
      </c>
      <c r="K1344" s="16" t="s">
        <v>8</v>
      </c>
      <c r="L1344" s="16" t="s">
        <v>12</v>
      </c>
      <c r="M1344" s="2" t="s">
        <v>438</v>
      </c>
      <c r="R1344" s="23">
        <v>2.5</v>
      </c>
      <c r="S1344" s="23">
        <v>2.5</v>
      </c>
      <c r="T1344" s="23">
        <v>2</v>
      </c>
      <c r="U1344" s="23">
        <v>1</v>
      </c>
      <c r="V1344" s="23">
        <v>2</v>
      </c>
      <c r="W1344" s="16" t="s">
        <v>340</v>
      </c>
      <c r="X1344" s="2" t="s">
        <v>66</v>
      </c>
      <c r="Y1344" s="7">
        <v>43453</v>
      </c>
      <c r="Z1344" s="16" t="s">
        <v>66</v>
      </c>
      <c r="AA1344" s="7">
        <v>43458</v>
      </c>
      <c r="AB1344" s="2" t="s">
        <v>3136</v>
      </c>
    </row>
    <row r="1345" spans="1:28" ht="15" customHeight="1">
      <c r="A1345" s="290"/>
      <c r="C1345" s="16">
        <v>96</v>
      </c>
      <c r="D1345" s="2">
        <v>21866</v>
      </c>
      <c r="E1345" s="2" t="s">
        <v>408</v>
      </c>
      <c r="F1345" s="3" t="s">
        <v>409</v>
      </c>
      <c r="G1345" s="2" t="s">
        <v>34</v>
      </c>
      <c r="H1345" s="2" t="s">
        <v>424</v>
      </c>
      <c r="I1345" s="2" t="s">
        <v>66</v>
      </c>
      <c r="J1345" s="4">
        <v>43372</v>
      </c>
      <c r="K1345" s="16" t="s">
        <v>8</v>
      </c>
      <c r="L1345" s="16" t="s">
        <v>12</v>
      </c>
      <c r="M1345" s="2" t="s">
        <v>103</v>
      </c>
      <c r="W1345" s="16" t="s">
        <v>502</v>
      </c>
      <c r="X1345" s="2" t="s">
        <v>66</v>
      </c>
      <c r="Y1345" s="7">
        <v>43422</v>
      </c>
      <c r="Z1345" s="16" t="s">
        <v>66</v>
      </c>
      <c r="AA1345" s="7">
        <v>43431</v>
      </c>
      <c r="AB1345" s="2" t="s">
        <v>3216</v>
      </c>
    </row>
    <row r="1346" spans="1:28" ht="15" customHeight="1">
      <c r="A1346" s="290"/>
      <c r="C1346" s="16">
        <v>96</v>
      </c>
      <c r="D1346" s="16">
        <v>21867</v>
      </c>
      <c r="E1346" s="16" t="s">
        <v>410</v>
      </c>
      <c r="F1346" s="3">
        <v>29703100104989</v>
      </c>
      <c r="G1346" s="16" t="s">
        <v>34</v>
      </c>
      <c r="H1346" s="16" t="s">
        <v>425</v>
      </c>
      <c r="I1346" s="16" t="s">
        <v>66</v>
      </c>
      <c r="J1346" s="45">
        <v>43372</v>
      </c>
      <c r="K1346" s="16" t="s">
        <v>8</v>
      </c>
      <c r="L1346" s="16" t="s">
        <v>12</v>
      </c>
      <c r="M1346" s="16" t="s">
        <v>14</v>
      </c>
      <c r="N1346" s="16"/>
      <c r="W1346" s="16" t="s">
        <v>61</v>
      </c>
      <c r="X1346" s="16"/>
      <c r="Y1346" s="45">
        <v>43401</v>
      </c>
      <c r="Z1346" s="16" t="s">
        <v>66</v>
      </c>
      <c r="AA1346" s="45">
        <v>43429</v>
      </c>
      <c r="AB1346" s="16"/>
    </row>
    <row r="1347" spans="1:28" ht="15" customHeight="1">
      <c r="A1347" s="290"/>
      <c r="C1347" s="16">
        <v>96</v>
      </c>
      <c r="D1347" s="2">
        <v>21868</v>
      </c>
      <c r="E1347" s="2" t="s">
        <v>411</v>
      </c>
      <c r="F1347" s="3">
        <v>29106250103443</v>
      </c>
      <c r="G1347" s="2" t="s">
        <v>34</v>
      </c>
      <c r="H1347" s="2" t="s">
        <v>426</v>
      </c>
      <c r="I1347" s="2" t="s">
        <v>66</v>
      </c>
      <c r="J1347" s="4">
        <v>43372</v>
      </c>
      <c r="K1347" s="16" t="s">
        <v>8</v>
      </c>
      <c r="L1347" s="16" t="s">
        <v>12</v>
      </c>
      <c r="M1347" s="2" t="s">
        <v>14</v>
      </c>
      <c r="W1347" s="16" t="s">
        <v>61</v>
      </c>
      <c r="Y1347" s="7">
        <v>43401</v>
      </c>
      <c r="Z1347" s="16" t="s">
        <v>66</v>
      </c>
      <c r="AA1347" s="7">
        <v>43429</v>
      </c>
      <c r="AB1347" s="2" t="s">
        <v>3219</v>
      </c>
    </row>
    <row r="1348" spans="1:28" ht="15" customHeight="1">
      <c r="A1348" s="290"/>
      <c r="C1348" s="16">
        <v>96</v>
      </c>
      <c r="D1348" s="2">
        <v>21869</v>
      </c>
      <c r="E1348" s="2" t="s">
        <v>412</v>
      </c>
      <c r="F1348" s="3">
        <v>29608012109102</v>
      </c>
      <c r="G1348" s="2" t="s">
        <v>34</v>
      </c>
      <c r="H1348" s="2" t="s">
        <v>427</v>
      </c>
      <c r="I1348" s="2" t="s">
        <v>66</v>
      </c>
      <c r="J1348" s="4">
        <v>43372</v>
      </c>
      <c r="K1348" s="16" t="s">
        <v>8</v>
      </c>
      <c r="L1348" s="16" t="s">
        <v>12</v>
      </c>
      <c r="M1348" s="2" t="s">
        <v>197</v>
      </c>
      <c r="W1348" s="16" t="s">
        <v>61</v>
      </c>
      <c r="X1348" s="2" t="s">
        <v>66</v>
      </c>
      <c r="Y1348" s="7">
        <v>43422</v>
      </c>
      <c r="Z1348" s="16" t="s">
        <v>66</v>
      </c>
      <c r="AA1348" s="7">
        <v>43429</v>
      </c>
    </row>
    <row r="1349" spans="1:28" ht="15" customHeight="1">
      <c r="A1349" s="290"/>
      <c r="C1349" s="16">
        <v>96</v>
      </c>
      <c r="D1349" s="2">
        <v>21870</v>
      </c>
      <c r="E1349" s="2" t="s">
        <v>413</v>
      </c>
      <c r="F1349" s="3">
        <v>29511020103926</v>
      </c>
      <c r="G1349" s="2" t="s">
        <v>34</v>
      </c>
      <c r="H1349" s="2" t="s">
        <v>428</v>
      </c>
      <c r="I1349" s="2" t="s">
        <v>66</v>
      </c>
      <c r="J1349" s="4">
        <v>43372</v>
      </c>
      <c r="K1349" s="16" t="s">
        <v>8</v>
      </c>
      <c r="L1349" s="16" t="s">
        <v>12</v>
      </c>
      <c r="M1349" s="2" t="s">
        <v>15</v>
      </c>
      <c r="W1349" s="16" t="s">
        <v>62</v>
      </c>
      <c r="X1349" s="2" t="s">
        <v>66</v>
      </c>
      <c r="Y1349" s="7">
        <v>43422</v>
      </c>
      <c r="Z1349" s="16" t="s">
        <v>66</v>
      </c>
      <c r="AA1349" s="7">
        <v>43429</v>
      </c>
    </row>
    <row r="1350" spans="1:28" ht="15" customHeight="1">
      <c r="A1350" s="290"/>
      <c r="C1350" s="16">
        <v>96</v>
      </c>
      <c r="D1350" s="2">
        <v>21871</v>
      </c>
      <c r="E1350" s="2" t="s">
        <v>414</v>
      </c>
      <c r="F1350" s="3">
        <v>29110210102999</v>
      </c>
      <c r="G1350" s="16" t="s">
        <v>34</v>
      </c>
      <c r="H1350" s="2" t="s">
        <v>429</v>
      </c>
      <c r="I1350" s="2" t="s">
        <v>66</v>
      </c>
      <c r="J1350" s="4">
        <v>43372</v>
      </c>
      <c r="K1350" s="16" t="s">
        <v>8</v>
      </c>
      <c r="L1350" s="16" t="s">
        <v>12</v>
      </c>
      <c r="M1350" s="2" t="s">
        <v>197</v>
      </c>
      <c r="W1350" s="16" t="s">
        <v>61</v>
      </c>
      <c r="Y1350" s="7">
        <v>43401</v>
      </c>
      <c r="Z1350" s="16" t="s">
        <v>66</v>
      </c>
      <c r="AA1350" s="7">
        <v>43415</v>
      </c>
    </row>
    <row r="1351" spans="1:28" ht="15" customHeight="1">
      <c r="A1351" s="290"/>
      <c r="C1351" s="16">
        <v>96</v>
      </c>
      <c r="D1351" s="2">
        <v>21872</v>
      </c>
      <c r="E1351" s="2" t="s">
        <v>415</v>
      </c>
      <c r="F1351" s="3">
        <v>29411130103421</v>
      </c>
      <c r="G1351" s="2" t="s">
        <v>34</v>
      </c>
      <c r="H1351" s="2" t="s">
        <v>430</v>
      </c>
      <c r="I1351" s="2" t="s">
        <v>66</v>
      </c>
      <c r="J1351" s="4">
        <v>43372</v>
      </c>
      <c r="K1351" s="16" t="s">
        <v>8</v>
      </c>
      <c r="L1351" s="16" t="s">
        <v>12</v>
      </c>
      <c r="M1351" s="2" t="s">
        <v>257</v>
      </c>
      <c r="W1351" s="16" t="s">
        <v>62</v>
      </c>
      <c r="Y1351" s="7">
        <v>43401</v>
      </c>
      <c r="Z1351" s="16" t="s">
        <v>66</v>
      </c>
      <c r="AA1351" s="7">
        <v>43402</v>
      </c>
    </row>
    <row r="1352" spans="1:28" ht="15" customHeight="1">
      <c r="A1352" s="290"/>
      <c r="C1352" s="16">
        <v>96</v>
      </c>
      <c r="D1352" s="2">
        <v>21873</v>
      </c>
      <c r="E1352" s="2" t="s">
        <v>416</v>
      </c>
      <c r="F1352" s="3">
        <v>29009240300164</v>
      </c>
      <c r="G1352" s="2" t="s">
        <v>34</v>
      </c>
      <c r="H1352" s="2" t="s">
        <v>431</v>
      </c>
      <c r="I1352" s="2" t="s">
        <v>66</v>
      </c>
      <c r="J1352" s="4">
        <v>43372</v>
      </c>
      <c r="K1352" s="16" t="s">
        <v>8</v>
      </c>
      <c r="L1352" s="16" t="s">
        <v>12</v>
      </c>
      <c r="M1352" s="2" t="s">
        <v>16</v>
      </c>
      <c r="W1352" s="16" t="s">
        <v>60</v>
      </c>
      <c r="Y1352" s="7">
        <v>43401</v>
      </c>
      <c r="Z1352" s="16" t="s">
        <v>66</v>
      </c>
      <c r="AA1352" s="7">
        <v>43410</v>
      </c>
    </row>
    <row r="1353" spans="1:28" ht="15" customHeight="1">
      <c r="A1353" s="290"/>
      <c r="C1353" s="16">
        <v>96</v>
      </c>
      <c r="D1353" s="2">
        <v>21874</v>
      </c>
      <c r="E1353" s="2" t="s">
        <v>417</v>
      </c>
      <c r="F1353" s="3">
        <v>29407040203437</v>
      </c>
      <c r="G1353" s="2" t="s">
        <v>34</v>
      </c>
      <c r="H1353" s="2" t="s">
        <v>432</v>
      </c>
      <c r="I1353" s="2" t="s">
        <v>66</v>
      </c>
      <c r="J1353" s="4">
        <v>43372</v>
      </c>
      <c r="K1353" s="16" t="s">
        <v>8</v>
      </c>
      <c r="L1353" s="16" t="s">
        <v>12</v>
      </c>
      <c r="M1353" s="2" t="s">
        <v>16</v>
      </c>
      <c r="W1353" s="16" t="s">
        <v>60</v>
      </c>
      <c r="Y1353" s="7">
        <v>43401</v>
      </c>
      <c r="Z1353" s="16" t="s">
        <v>66</v>
      </c>
      <c r="AA1353" s="7">
        <v>43410</v>
      </c>
    </row>
    <row r="1354" spans="1:28" ht="15" customHeight="1">
      <c r="A1354" s="290"/>
      <c r="C1354" s="16">
        <v>96</v>
      </c>
      <c r="D1354" s="2">
        <v>21875</v>
      </c>
      <c r="E1354" s="2" t="s">
        <v>418</v>
      </c>
      <c r="F1354" s="3">
        <v>28312230101032</v>
      </c>
      <c r="G1354" s="2" t="s">
        <v>34</v>
      </c>
      <c r="H1354" s="2" t="s">
        <v>433</v>
      </c>
      <c r="I1354" s="2" t="s">
        <v>66</v>
      </c>
      <c r="J1354" s="4">
        <v>43372</v>
      </c>
      <c r="K1354" s="16" t="s">
        <v>8</v>
      </c>
      <c r="L1354" s="16" t="s">
        <v>12</v>
      </c>
      <c r="M1354" s="2" t="s">
        <v>439</v>
      </c>
      <c r="W1354" s="16" t="s">
        <v>63</v>
      </c>
      <c r="Z1354" s="16" t="s">
        <v>67</v>
      </c>
    </row>
    <row r="1355" spans="1:28" ht="15" customHeight="1">
      <c r="A1355" s="290"/>
      <c r="C1355" s="16">
        <v>96</v>
      </c>
      <c r="D1355" s="2">
        <v>21876</v>
      </c>
      <c r="E1355" s="2" t="s">
        <v>419</v>
      </c>
      <c r="F1355" s="3">
        <v>28510012304459</v>
      </c>
      <c r="G1355" s="16" t="s">
        <v>34</v>
      </c>
      <c r="H1355" s="2" t="s">
        <v>434</v>
      </c>
      <c r="I1355" s="2" t="s">
        <v>66</v>
      </c>
      <c r="J1355" s="4">
        <v>43372</v>
      </c>
      <c r="K1355" s="16" t="s">
        <v>8</v>
      </c>
      <c r="L1355" s="16" t="s">
        <v>12</v>
      </c>
      <c r="M1355" s="2" t="s">
        <v>16</v>
      </c>
      <c r="W1355" s="16" t="s">
        <v>61</v>
      </c>
      <c r="Y1355" s="7">
        <v>43401</v>
      </c>
      <c r="Z1355" s="16" t="s">
        <v>67</v>
      </c>
    </row>
    <row r="1356" spans="1:28" ht="15" customHeight="1">
      <c r="A1356" s="290"/>
      <c r="C1356" s="16">
        <v>96</v>
      </c>
      <c r="D1356" s="16">
        <v>21877</v>
      </c>
      <c r="E1356" s="16" t="s">
        <v>420</v>
      </c>
      <c r="F1356" s="3">
        <v>29412232100031</v>
      </c>
      <c r="G1356" s="16" t="s">
        <v>34</v>
      </c>
      <c r="H1356" s="16" t="s">
        <v>435</v>
      </c>
      <c r="I1356" s="16" t="s">
        <v>66</v>
      </c>
      <c r="J1356" s="45">
        <v>43372</v>
      </c>
      <c r="K1356" s="16" t="s">
        <v>8</v>
      </c>
      <c r="L1356" s="16" t="s">
        <v>12</v>
      </c>
      <c r="M1356" s="16" t="s">
        <v>440</v>
      </c>
      <c r="N1356" s="16"/>
      <c r="W1356" s="16" t="s">
        <v>62</v>
      </c>
      <c r="X1356" s="16"/>
      <c r="Y1356" s="45">
        <v>43401</v>
      </c>
      <c r="Z1356" s="16" t="s">
        <v>67</v>
      </c>
      <c r="AA1356" s="45"/>
      <c r="AB1356" s="16" t="s">
        <v>3379</v>
      </c>
    </row>
    <row r="1357" spans="1:28" ht="15" customHeight="1">
      <c r="A1357" s="290"/>
      <c r="C1357" s="16">
        <v>96</v>
      </c>
      <c r="D1357" s="2">
        <v>21878</v>
      </c>
      <c r="E1357" s="2" t="s">
        <v>421</v>
      </c>
      <c r="F1357" s="3">
        <v>29611150105801</v>
      </c>
      <c r="G1357" s="2" t="s">
        <v>34</v>
      </c>
      <c r="H1357" s="2" t="s">
        <v>436</v>
      </c>
      <c r="I1357" s="2" t="s">
        <v>66</v>
      </c>
      <c r="J1357" s="4">
        <v>43372</v>
      </c>
      <c r="K1357" s="16" t="s">
        <v>8</v>
      </c>
      <c r="L1357" s="16" t="s">
        <v>12</v>
      </c>
      <c r="M1357" s="2" t="s">
        <v>58</v>
      </c>
      <c r="W1357" s="16" t="s">
        <v>62</v>
      </c>
      <c r="X1357" s="2" t="s">
        <v>66</v>
      </c>
      <c r="Y1357" s="7">
        <v>43422</v>
      </c>
      <c r="Z1357" s="16" t="s">
        <v>66</v>
      </c>
      <c r="AA1357" s="45">
        <v>43429</v>
      </c>
    </row>
    <row r="1358" spans="1:28" ht="15" customHeight="1" thickBot="1">
      <c r="A1358" s="291"/>
      <c r="C1358" s="28">
        <v>96</v>
      </c>
      <c r="D1358" s="28">
        <v>21881</v>
      </c>
      <c r="E1358" s="28" t="s">
        <v>422</v>
      </c>
      <c r="F1358" s="29">
        <v>29003242102655</v>
      </c>
      <c r="G1358" s="28" t="s">
        <v>34</v>
      </c>
      <c r="H1358" s="28" t="s">
        <v>437</v>
      </c>
      <c r="I1358" s="28" t="s">
        <v>66</v>
      </c>
      <c r="J1358" s="30">
        <v>43372</v>
      </c>
      <c r="K1358" s="28" t="s">
        <v>8</v>
      </c>
      <c r="L1358" s="28" t="s">
        <v>12</v>
      </c>
      <c r="M1358" s="28" t="s">
        <v>258</v>
      </c>
      <c r="N1358" s="28"/>
      <c r="O1358" s="226"/>
      <c r="P1358" s="28"/>
      <c r="Q1358" s="226"/>
      <c r="R1358" s="28"/>
      <c r="S1358" s="28"/>
      <c r="T1358" s="28"/>
      <c r="U1358" s="28"/>
      <c r="V1358" s="28"/>
      <c r="W1358" s="28" t="s">
        <v>61</v>
      </c>
      <c r="X1358" s="28"/>
      <c r="Y1358" s="30">
        <v>43401</v>
      </c>
      <c r="Z1358" s="28" t="s">
        <v>66</v>
      </c>
      <c r="AA1358" s="30">
        <v>43415</v>
      </c>
      <c r="AB1358" s="28"/>
    </row>
    <row r="1359" spans="1:28" ht="15" customHeight="1" thickTop="1">
      <c r="A1359" s="289" t="s">
        <v>3128</v>
      </c>
      <c r="C1359" s="16">
        <v>97</v>
      </c>
      <c r="D1359" s="2">
        <v>21893</v>
      </c>
      <c r="E1359" s="2" t="s">
        <v>442</v>
      </c>
      <c r="F1359" s="3">
        <v>29203278800587</v>
      </c>
      <c r="G1359" s="2" t="s">
        <v>34</v>
      </c>
      <c r="H1359" s="2" t="s">
        <v>457</v>
      </c>
      <c r="I1359" s="2" t="s">
        <v>66</v>
      </c>
      <c r="J1359" s="4">
        <v>43379</v>
      </c>
      <c r="K1359" s="16" t="s">
        <v>8</v>
      </c>
      <c r="L1359" s="16" t="s">
        <v>12</v>
      </c>
      <c r="M1359" s="2" t="s">
        <v>472</v>
      </c>
      <c r="R1359" s="24">
        <v>3</v>
      </c>
      <c r="S1359" s="24">
        <v>3</v>
      </c>
      <c r="T1359" s="24">
        <v>2</v>
      </c>
      <c r="U1359" s="24">
        <v>2</v>
      </c>
      <c r="V1359" s="24">
        <v>3</v>
      </c>
      <c r="W1359" s="16" t="s">
        <v>62</v>
      </c>
      <c r="X1359" s="16" t="s">
        <v>66</v>
      </c>
      <c r="Y1359" s="7">
        <v>43430</v>
      </c>
      <c r="Z1359" s="16" t="s">
        <v>66</v>
      </c>
      <c r="AA1359" s="7">
        <v>43446</v>
      </c>
    </row>
    <row r="1360" spans="1:28" ht="15" customHeight="1">
      <c r="A1360" s="290"/>
      <c r="C1360" s="2">
        <v>97</v>
      </c>
      <c r="D1360" s="2">
        <v>21894</v>
      </c>
      <c r="E1360" s="2" t="s">
        <v>443</v>
      </c>
      <c r="F1360" s="3">
        <v>29210112101296</v>
      </c>
      <c r="G1360" s="2" t="s">
        <v>34</v>
      </c>
      <c r="H1360" s="2" t="s">
        <v>458</v>
      </c>
      <c r="I1360" s="2" t="s">
        <v>66</v>
      </c>
      <c r="J1360" s="4">
        <v>43379</v>
      </c>
      <c r="K1360" s="16" t="s">
        <v>8</v>
      </c>
      <c r="L1360" s="16" t="s">
        <v>12</v>
      </c>
      <c r="M1360" s="2" t="s">
        <v>103</v>
      </c>
      <c r="W1360" s="16" t="s">
        <v>61</v>
      </c>
      <c r="X1360" s="16"/>
      <c r="Y1360" s="7">
        <v>43408</v>
      </c>
      <c r="Z1360" s="16" t="s">
        <v>66</v>
      </c>
      <c r="AA1360" s="7">
        <v>43415</v>
      </c>
    </row>
    <row r="1361" spans="1:28" ht="15" customHeight="1">
      <c r="A1361" s="290"/>
      <c r="C1361" s="16">
        <v>97</v>
      </c>
      <c r="D1361" s="16">
        <v>21895</v>
      </c>
      <c r="E1361" s="16" t="s">
        <v>444</v>
      </c>
      <c r="F1361" s="3">
        <v>29608300101426</v>
      </c>
      <c r="G1361" s="16" t="s">
        <v>34</v>
      </c>
      <c r="H1361" s="16" t="s">
        <v>459</v>
      </c>
      <c r="I1361" s="16" t="s">
        <v>66</v>
      </c>
      <c r="J1361" s="45">
        <v>43379</v>
      </c>
      <c r="K1361" s="16" t="s">
        <v>8</v>
      </c>
      <c r="L1361" s="16" t="s">
        <v>12</v>
      </c>
      <c r="M1361" s="16" t="s">
        <v>58</v>
      </c>
      <c r="N1361" s="16"/>
      <c r="R1361" s="24">
        <v>3</v>
      </c>
      <c r="S1361" s="24">
        <v>2.5</v>
      </c>
      <c r="T1361" s="24">
        <v>2</v>
      </c>
      <c r="U1361" s="24">
        <v>2</v>
      </c>
      <c r="V1361" s="24">
        <v>3</v>
      </c>
      <c r="W1361" s="16" t="s">
        <v>62</v>
      </c>
      <c r="X1361" s="16" t="s">
        <v>66</v>
      </c>
      <c r="Y1361" s="45">
        <v>43430</v>
      </c>
      <c r="Z1361" s="16" t="s">
        <v>66</v>
      </c>
      <c r="AA1361" s="45">
        <v>43429</v>
      </c>
      <c r="AB1361" s="16"/>
    </row>
    <row r="1362" spans="1:28" ht="15" customHeight="1">
      <c r="A1362" s="290"/>
      <c r="C1362" s="16">
        <v>97</v>
      </c>
      <c r="D1362" s="2">
        <v>21896</v>
      </c>
      <c r="E1362" s="2" t="s">
        <v>445</v>
      </c>
      <c r="F1362" s="3">
        <v>29206072102173</v>
      </c>
      <c r="G1362" s="2" t="s">
        <v>34</v>
      </c>
      <c r="H1362" s="2" t="s">
        <v>460</v>
      </c>
      <c r="I1362" s="2" t="s">
        <v>66</v>
      </c>
      <c r="J1362" s="4">
        <v>43379</v>
      </c>
      <c r="K1362" s="16" t="s">
        <v>8</v>
      </c>
      <c r="L1362" s="16" t="s">
        <v>12</v>
      </c>
      <c r="M1362" s="2" t="s">
        <v>197</v>
      </c>
      <c r="W1362" s="16" t="s">
        <v>62</v>
      </c>
      <c r="Y1362" s="7">
        <v>43408</v>
      </c>
      <c r="Z1362" s="16" t="s">
        <v>66</v>
      </c>
      <c r="AA1362" s="7">
        <v>43408</v>
      </c>
    </row>
    <row r="1363" spans="1:28" ht="15" customHeight="1">
      <c r="A1363" s="290"/>
      <c r="C1363" s="16">
        <v>97</v>
      </c>
      <c r="D1363" s="2">
        <v>21897</v>
      </c>
      <c r="E1363" s="2" t="s">
        <v>446</v>
      </c>
      <c r="F1363" s="3">
        <v>29207110101301</v>
      </c>
      <c r="G1363" s="16" t="s">
        <v>34</v>
      </c>
      <c r="H1363" s="2" t="s">
        <v>461</v>
      </c>
      <c r="I1363" s="2" t="s">
        <v>66</v>
      </c>
      <c r="J1363" s="4">
        <v>43379</v>
      </c>
      <c r="K1363" s="16" t="s">
        <v>8</v>
      </c>
      <c r="L1363" s="16" t="s">
        <v>12</v>
      </c>
      <c r="M1363" s="2" t="s">
        <v>52</v>
      </c>
      <c r="R1363" s="24">
        <v>3</v>
      </c>
      <c r="S1363" s="24">
        <v>3</v>
      </c>
      <c r="T1363" s="24">
        <v>2</v>
      </c>
      <c r="U1363" s="24">
        <v>2</v>
      </c>
      <c r="V1363" s="24">
        <v>3</v>
      </c>
      <c r="W1363" s="16" t="s">
        <v>62</v>
      </c>
      <c r="X1363" s="2" t="s">
        <v>66</v>
      </c>
      <c r="Y1363" s="7">
        <v>43430</v>
      </c>
      <c r="Z1363" s="16" t="s">
        <v>66</v>
      </c>
      <c r="AA1363" s="7">
        <v>43438</v>
      </c>
    </row>
    <row r="1364" spans="1:28" ht="15" customHeight="1">
      <c r="A1364" s="290"/>
      <c r="C1364" s="16">
        <v>97</v>
      </c>
      <c r="D1364" s="2">
        <v>21898</v>
      </c>
      <c r="E1364" s="2" t="s">
        <v>447</v>
      </c>
      <c r="F1364" s="3">
        <v>29607100102561</v>
      </c>
      <c r="G1364" s="2" t="s">
        <v>34</v>
      </c>
      <c r="H1364" s="2" t="s">
        <v>462</v>
      </c>
      <c r="I1364" s="2" t="s">
        <v>66</v>
      </c>
      <c r="J1364" s="4">
        <v>43379</v>
      </c>
      <c r="K1364" s="16" t="s">
        <v>8</v>
      </c>
      <c r="L1364" s="16" t="s">
        <v>12</v>
      </c>
      <c r="M1364" s="2" t="s">
        <v>377</v>
      </c>
      <c r="W1364" s="16" t="s">
        <v>62</v>
      </c>
      <c r="Y1364" s="7">
        <v>43408</v>
      </c>
      <c r="Z1364" s="16" t="s">
        <v>66</v>
      </c>
      <c r="AA1364" s="7">
        <v>43408</v>
      </c>
      <c r="AB1364" s="2" t="s">
        <v>3896</v>
      </c>
    </row>
    <row r="1365" spans="1:28" ht="15" customHeight="1">
      <c r="A1365" s="290"/>
      <c r="C1365" s="16">
        <v>97</v>
      </c>
      <c r="D1365" s="2">
        <v>21899</v>
      </c>
      <c r="E1365" s="2" t="s">
        <v>448</v>
      </c>
      <c r="F1365" s="3">
        <v>29808100107631</v>
      </c>
      <c r="G1365" s="16" t="s">
        <v>3663</v>
      </c>
      <c r="H1365" s="2" t="s">
        <v>463</v>
      </c>
      <c r="I1365" s="2" t="s">
        <v>66</v>
      </c>
      <c r="J1365" s="4">
        <v>43379</v>
      </c>
      <c r="K1365" s="16" t="s">
        <v>8</v>
      </c>
      <c r="L1365" s="16" t="s">
        <v>12</v>
      </c>
      <c r="M1365" s="2" t="s">
        <v>14</v>
      </c>
      <c r="W1365" s="16" t="s">
        <v>60</v>
      </c>
      <c r="Y1365" s="7">
        <v>43408</v>
      </c>
      <c r="Z1365" s="16" t="s">
        <v>66</v>
      </c>
      <c r="AA1365" s="7">
        <v>43437</v>
      </c>
      <c r="AB1365" s="2" t="s">
        <v>4219</v>
      </c>
    </row>
    <row r="1366" spans="1:28" ht="15" customHeight="1">
      <c r="A1366" s="290"/>
      <c r="C1366" s="16">
        <v>97</v>
      </c>
      <c r="D1366" s="2">
        <v>21900</v>
      </c>
      <c r="E1366" s="2" t="s">
        <v>449</v>
      </c>
      <c r="F1366" s="3">
        <v>29508011705998</v>
      </c>
      <c r="G1366" s="2" t="s">
        <v>4</v>
      </c>
      <c r="H1366" s="2" t="s">
        <v>464</v>
      </c>
      <c r="I1366" s="2" t="s">
        <v>66</v>
      </c>
      <c r="J1366" s="4">
        <v>43379</v>
      </c>
      <c r="K1366" s="16" t="s">
        <v>8</v>
      </c>
      <c r="L1366" s="16" t="s">
        <v>12</v>
      </c>
      <c r="M1366" s="2" t="s">
        <v>439</v>
      </c>
      <c r="W1366" s="16" t="s">
        <v>502</v>
      </c>
      <c r="Y1366" s="7">
        <v>43408</v>
      </c>
      <c r="Z1366" s="16" t="s">
        <v>66</v>
      </c>
      <c r="AA1366" s="7">
        <v>43405</v>
      </c>
      <c r="AB1366" s="2" t="s">
        <v>3383</v>
      </c>
    </row>
    <row r="1367" spans="1:28" ht="15" customHeight="1">
      <c r="A1367" s="290"/>
      <c r="C1367" s="16">
        <v>97</v>
      </c>
      <c r="D1367" s="2">
        <v>21901</v>
      </c>
      <c r="E1367" s="2" t="s">
        <v>450</v>
      </c>
      <c r="F1367" s="3">
        <v>29712090103074</v>
      </c>
      <c r="G1367" s="16" t="s">
        <v>3663</v>
      </c>
      <c r="H1367" s="2" t="s">
        <v>465</v>
      </c>
      <c r="I1367" s="2" t="s">
        <v>66</v>
      </c>
      <c r="J1367" s="4">
        <v>43379</v>
      </c>
      <c r="K1367" s="16" t="s">
        <v>8</v>
      </c>
      <c r="L1367" s="16" t="s">
        <v>12</v>
      </c>
      <c r="M1367" s="2" t="s">
        <v>52</v>
      </c>
      <c r="R1367" s="24">
        <v>3</v>
      </c>
      <c r="S1367" s="24">
        <v>3</v>
      </c>
      <c r="T1367" s="24">
        <v>2.5</v>
      </c>
      <c r="U1367" s="24">
        <v>2.5</v>
      </c>
      <c r="V1367" s="24">
        <v>3</v>
      </c>
      <c r="W1367" s="16" t="s">
        <v>60</v>
      </c>
      <c r="X1367" s="16" t="s">
        <v>66</v>
      </c>
      <c r="Y1367" s="7">
        <v>43430</v>
      </c>
      <c r="Z1367" s="16" t="s">
        <v>66</v>
      </c>
      <c r="AA1367" s="7">
        <v>43451</v>
      </c>
    </row>
    <row r="1368" spans="1:28" ht="15" customHeight="1">
      <c r="A1368" s="290"/>
      <c r="C1368" s="16">
        <v>97</v>
      </c>
      <c r="D1368" s="16">
        <v>21902</v>
      </c>
      <c r="E1368" s="16" t="s">
        <v>451</v>
      </c>
      <c r="F1368" s="3">
        <v>27910282102372</v>
      </c>
      <c r="G1368" s="16" t="s">
        <v>34</v>
      </c>
      <c r="H1368" s="16" t="s">
        <v>466</v>
      </c>
      <c r="I1368" s="16" t="s">
        <v>66</v>
      </c>
      <c r="J1368" s="45">
        <v>43379</v>
      </c>
      <c r="K1368" s="16" t="s">
        <v>8</v>
      </c>
      <c r="L1368" s="16" t="s">
        <v>12</v>
      </c>
      <c r="M1368" s="16" t="s">
        <v>257</v>
      </c>
      <c r="N1368" s="16"/>
      <c r="R1368" s="24">
        <v>3</v>
      </c>
      <c r="S1368" s="24">
        <v>3</v>
      </c>
      <c r="T1368" s="24">
        <v>2.5</v>
      </c>
      <c r="U1368" s="24">
        <v>2</v>
      </c>
      <c r="V1368" s="24">
        <v>3</v>
      </c>
      <c r="W1368" s="16" t="s">
        <v>3176</v>
      </c>
      <c r="X1368" s="16" t="s">
        <v>66</v>
      </c>
      <c r="Y1368" s="45">
        <v>43430</v>
      </c>
      <c r="Z1368" s="16" t="s">
        <v>66</v>
      </c>
      <c r="AA1368" s="45">
        <v>43451</v>
      </c>
      <c r="AB1368" s="16" t="s">
        <v>3177</v>
      </c>
    </row>
    <row r="1369" spans="1:28" ht="15" customHeight="1">
      <c r="A1369" s="290"/>
      <c r="C1369" s="16">
        <v>97</v>
      </c>
      <c r="D1369" s="2">
        <v>21903</v>
      </c>
      <c r="E1369" s="2" t="s">
        <v>452</v>
      </c>
      <c r="F1369" s="3">
        <v>28910120200056</v>
      </c>
      <c r="G1369" s="2" t="s">
        <v>34</v>
      </c>
      <c r="H1369" s="2" t="s">
        <v>467</v>
      </c>
      <c r="I1369" s="2" t="s">
        <v>66</v>
      </c>
      <c r="J1369" s="4">
        <v>43379</v>
      </c>
      <c r="K1369" s="16" t="s">
        <v>8</v>
      </c>
      <c r="L1369" s="16" t="s">
        <v>12</v>
      </c>
      <c r="M1369" s="2" t="s">
        <v>406</v>
      </c>
      <c r="W1369" s="16" t="s">
        <v>62</v>
      </c>
      <c r="Y1369" s="7">
        <v>43408</v>
      </c>
      <c r="Z1369" s="16" t="s">
        <v>66</v>
      </c>
      <c r="AA1369" s="7">
        <v>43408</v>
      </c>
    </row>
    <row r="1370" spans="1:28" ht="15" customHeight="1">
      <c r="A1370" s="290"/>
      <c r="C1370" s="16">
        <v>97</v>
      </c>
      <c r="D1370" s="2">
        <v>21904</v>
      </c>
      <c r="E1370" s="2" t="s">
        <v>453</v>
      </c>
      <c r="F1370" s="3">
        <v>28812150101492</v>
      </c>
      <c r="G1370" s="2" t="s">
        <v>34</v>
      </c>
      <c r="H1370" s="2" t="s">
        <v>468</v>
      </c>
      <c r="I1370" s="2" t="s">
        <v>66</v>
      </c>
      <c r="J1370" s="4">
        <v>43379</v>
      </c>
      <c r="K1370" s="16" t="s">
        <v>8</v>
      </c>
      <c r="L1370" s="16" t="s">
        <v>12</v>
      </c>
      <c r="M1370" s="2" t="s">
        <v>406</v>
      </c>
      <c r="W1370" s="16" t="s">
        <v>62</v>
      </c>
      <c r="Y1370" s="7">
        <v>43408</v>
      </c>
      <c r="Z1370" s="16" t="s">
        <v>66</v>
      </c>
      <c r="AA1370" s="7">
        <v>43408</v>
      </c>
    </row>
    <row r="1371" spans="1:28" ht="15" customHeight="1">
      <c r="A1371" s="290"/>
      <c r="C1371" s="16">
        <v>97</v>
      </c>
      <c r="D1371" s="2">
        <v>21905</v>
      </c>
      <c r="E1371" s="2" t="s">
        <v>454</v>
      </c>
      <c r="F1371" s="3">
        <v>29801220103287</v>
      </c>
      <c r="G1371" s="16" t="s">
        <v>4</v>
      </c>
      <c r="H1371" s="2" t="s">
        <v>469</v>
      </c>
      <c r="I1371" s="2" t="s">
        <v>66</v>
      </c>
      <c r="J1371" s="4">
        <v>43379</v>
      </c>
      <c r="K1371" s="16" t="s">
        <v>8</v>
      </c>
      <c r="L1371" s="16" t="s">
        <v>12</v>
      </c>
      <c r="M1371" s="2" t="s">
        <v>55</v>
      </c>
      <c r="W1371" s="16" t="s">
        <v>61</v>
      </c>
      <c r="Y1371" s="7">
        <v>43408</v>
      </c>
      <c r="Z1371" s="16" t="s">
        <v>66</v>
      </c>
      <c r="AA1371" s="7">
        <v>43415</v>
      </c>
      <c r="AB1371" s="2" t="s">
        <v>3178</v>
      </c>
    </row>
    <row r="1372" spans="1:28" ht="15" customHeight="1">
      <c r="A1372" s="290"/>
      <c r="C1372" s="16">
        <v>97</v>
      </c>
      <c r="D1372" s="2">
        <v>22125</v>
      </c>
      <c r="E1372" s="2" t="s">
        <v>455</v>
      </c>
      <c r="F1372" s="3">
        <v>29601011416864</v>
      </c>
      <c r="G1372" s="2" t="s">
        <v>34</v>
      </c>
      <c r="H1372" s="2" t="s">
        <v>470</v>
      </c>
      <c r="I1372" s="2" t="s">
        <v>66</v>
      </c>
      <c r="J1372" s="4">
        <v>43379</v>
      </c>
      <c r="K1372" s="16" t="s">
        <v>8</v>
      </c>
      <c r="L1372" s="16" t="s">
        <v>12</v>
      </c>
      <c r="M1372" s="2" t="s">
        <v>16</v>
      </c>
      <c r="W1372" s="16" t="s">
        <v>169</v>
      </c>
      <c r="X1372" s="16"/>
      <c r="Y1372" s="7">
        <v>43408</v>
      </c>
      <c r="Z1372" s="16" t="s">
        <v>66</v>
      </c>
      <c r="AA1372" s="7">
        <v>43415</v>
      </c>
    </row>
    <row r="1373" spans="1:28" ht="15" customHeight="1" thickBot="1">
      <c r="A1373" s="291"/>
      <c r="C1373" s="28">
        <v>97</v>
      </c>
      <c r="D1373" s="28">
        <v>22126</v>
      </c>
      <c r="E1373" s="28" t="s">
        <v>456</v>
      </c>
      <c r="F1373" s="29">
        <v>29404161600116</v>
      </c>
      <c r="G1373" s="28" t="s">
        <v>34</v>
      </c>
      <c r="H1373" s="28" t="s">
        <v>471</v>
      </c>
      <c r="I1373" s="28" t="s">
        <v>66</v>
      </c>
      <c r="J1373" s="30">
        <v>43379</v>
      </c>
      <c r="K1373" s="28" t="s">
        <v>8</v>
      </c>
      <c r="L1373" s="28" t="s">
        <v>12</v>
      </c>
      <c r="M1373" s="28" t="s">
        <v>16</v>
      </c>
      <c r="N1373" s="28"/>
      <c r="O1373" s="226"/>
      <c r="P1373" s="28"/>
      <c r="Q1373" s="226"/>
      <c r="R1373" s="28"/>
      <c r="S1373" s="28"/>
      <c r="T1373" s="28"/>
      <c r="U1373" s="28"/>
      <c r="V1373" s="28"/>
      <c r="W1373" s="28" t="s">
        <v>169</v>
      </c>
      <c r="X1373" s="28"/>
      <c r="Y1373" s="30">
        <v>43408</v>
      </c>
      <c r="Z1373" s="28" t="s">
        <v>66</v>
      </c>
      <c r="AA1373" s="30">
        <v>43415</v>
      </c>
      <c r="AB1373" s="28"/>
    </row>
    <row r="1374" spans="1:28" ht="15" customHeight="1" thickTop="1">
      <c r="A1374" s="289" t="s">
        <v>3126</v>
      </c>
      <c r="C1374" s="16">
        <v>98</v>
      </c>
      <c r="D1374" s="16">
        <v>22128</v>
      </c>
      <c r="E1374" s="16" t="s">
        <v>473</v>
      </c>
      <c r="F1374" s="3" t="s">
        <v>474</v>
      </c>
      <c r="G1374" s="16" t="s">
        <v>34</v>
      </c>
      <c r="H1374" s="16" t="s">
        <v>490</v>
      </c>
      <c r="I1374" s="16" t="s">
        <v>66</v>
      </c>
      <c r="J1374" s="45">
        <v>43386</v>
      </c>
      <c r="K1374" s="16" t="s">
        <v>8</v>
      </c>
      <c r="L1374" s="16" t="s">
        <v>12</v>
      </c>
      <c r="M1374" s="16" t="s">
        <v>486</v>
      </c>
      <c r="N1374" s="16"/>
      <c r="W1374" s="16" t="s">
        <v>64</v>
      </c>
      <c r="X1374" s="16"/>
      <c r="Z1374" s="16" t="s">
        <v>67</v>
      </c>
      <c r="AB1374" s="16"/>
    </row>
    <row r="1375" spans="1:28" ht="15" customHeight="1">
      <c r="A1375" s="290"/>
      <c r="C1375" s="16">
        <v>98</v>
      </c>
      <c r="D1375" s="2">
        <v>22134</v>
      </c>
      <c r="E1375" s="2" t="s">
        <v>475</v>
      </c>
      <c r="F1375" s="3">
        <v>29702032103786</v>
      </c>
      <c r="G1375" s="2" t="s">
        <v>34</v>
      </c>
      <c r="H1375" s="2" t="s">
        <v>491</v>
      </c>
      <c r="I1375" s="2" t="s">
        <v>66</v>
      </c>
      <c r="J1375" s="4">
        <v>43386</v>
      </c>
      <c r="K1375" s="16" t="s">
        <v>8</v>
      </c>
      <c r="L1375" s="16" t="s">
        <v>12</v>
      </c>
      <c r="M1375" s="2" t="s">
        <v>109</v>
      </c>
      <c r="W1375" s="16" t="s">
        <v>169</v>
      </c>
      <c r="Y1375" s="7">
        <v>43415</v>
      </c>
      <c r="Z1375" s="16" t="s">
        <v>66</v>
      </c>
      <c r="AA1375" s="7">
        <v>43415</v>
      </c>
    </row>
    <row r="1376" spans="1:28" ht="15" customHeight="1">
      <c r="A1376" s="290"/>
      <c r="C1376" s="16">
        <v>98</v>
      </c>
      <c r="D1376" s="16">
        <v>22127</v>
      </c>
      <c r="E1376" s="16" t="s">
        <v>476</v>
      </c>
      <c r="F1376" s="3">
        <v>29308152105952</v>
      </c>
      <c r="G1376" s="16" t="s">
        <v>34</v>
      </c>
      <c r="H1376" s="16" t="s">
        <v>492</v>
      </c>
      <c r="I1376" s="16" t="s">
        <v>66</v>
      </c>
      <c r="J1376" s="45">
        <v>43386</v>
      </c>
      <c r="K1376" s="16" t="s">
        <v>8</v>
      </c>
      <c r="L1376" s="16" t="s">
        <v>12</v>
      </c>
      <c r="M1376" s="16" t="s">
        <v>486</v>
      </c>
      <c r="N1376" s="16"/>
      <c r="W1376" s="16" t="s">
        <v>169</v>
      </c>
      <c r="X1376" s="16"/>
      <c r="Y1376" s="45">
        <v>43415</v>
      </c>
      <c r="Z1376" s="16" t="s">
        <v>66</v>
      </c>
      <c r="AA1376" s="45">
        <v>43415</v>
      </c>
      <c r="AB1376" s="16"/>
    </row>
    <row r="1377" spans="1:28" ht="15" customHeight="1">
      <c r="A1377" s="290"/>
      <c r="C1377" s="16">
        <v>98</v>
      </c>
      <c r="D1377" s="16">
        <v>22129</v>
      </c>
      <c r="E1377" s="16" t="s">
        <v>477</v>
      </c>
      <c r="F1377" s="3">
        <v>29107210103587</v>
      </c>
      <c r="G1377" s="16" t="s">
        <v>34</v>
      </c>
      <c r="H1377" s="16" t="s">
        <v>493</v>
      </c>
      <c r="I1377" s="16" t="s">
        <v>66</v>
      </c>
      <c r="J1377" s="45">
        <v>43386</v>
      </c>
      <c r="K1377" s="16" t="s">
        <v>8</v>
      </c>
      <c r="L1377" s="16" t="s">
        <v>12</v>
      </c>
      <c r="M1377" s="16" t="s">
        <v>487</v>
      </c>
      <c r="N1377" s="16"/>
      <c r="W1377" s="16" t="s">
        <v>169</v>
      </c>
      <c r="X1377" s="16"/>
      <c r="Y1377" s="7">
        <v>43415</v>
      </c>
      <c r="Z1377" s="16" t="s">
        <v>66</v>
      </c>
      <c r="AA1377" s="45">
        <v>43415</v>
      </c>
    </row>
    <row r="1378" spans="1:28" ht="15" customHeight="1">
      <c r="A1378" s="290"/>
      <c r="C1378" s="2">
        <v>98</v>
      </c>
      <c r="D1378" s="2">
        <v>22130</v>
      </c>
      <c r="E1378" s="2" t="s">
        <v>478</v>
      </c>
      <c r="F1378" s="3">
        <v>29509300105695</v>
      </c>
      <c r="G1378" s="2" t="s">
        <v>34</v>
      </c>
      <c r="H1378" s="2" t="s">
        <v>494</v>
      </c>
      <c r="I1378" s="2" t="s">
        <v>66</v>
      </c>
      <c r="J1378" s="4">
        <v>43386</v>
      </c>
      <c r="K1378" s="16" t="s">
        <v>8</v>
      </c>
      <c r="L1378" s="16" t="s">
        <v>12</v>
      </c>
      <c r="M1378" s="2" t="s">
        <v>197</v>
      </c>
      <c r="W1378" s="16" t="s">
        <v>502</v>
      </c>
      <c r="Y1378" s="7">
        <v>43415</v>
      </c>
      <c r="Z1378" s="16" t="s">
        <v>67</v>
      </c>
      <c r="AB1378" s="2" t="s">
        <v>3808</v>
      </c>
    </row>
    <row r="1379" spans="1:28" ht="15" customHeight="1">
      <c r="A1379" s="290"/>
      <c r="C1379" s="16">
        <v>98</v>
      </c>
      <c r="D1379" s="2">
        <v>22133</v>
      </c>
      <c r="E1379" s="2" t="s">
        <v>479</v>
      </c>
      <c r="F1379" s="3">
        <v>29508062101272</v>
      </c>
      <c r="G1379" s="2" t="s">
        <v>34</v>
      </c>
      <c r="H1379" s="2" t="s">
        <v>495</v>
      </c>
      <c r="I1379" s="2" t="s">
        <v>66</v>
      </c>
      <c r="J1379" s="4">
        <v>43386</v>
      </c>
      <c r="K1379" s="16" t="s">
        <v>8</v>
      </c>
      <c r="L1379" s="16" t="s">
        <v>12</v>
      </c>
      <c r="M1379" s="2" t="s">
        <v>197</v>
      </c>
      <c r="W1379" s="16" t="s">
        <v>64</v>
      </c>
      <c r="Z1379" s="16" t="s">
        <v>67</v>
      </c>
    </row>
    <row r="1380" spans="1:28" ht="15" customHeight="1">
      <c r="A1380" s="290"/>
      <c r="C1380" s="16">
        <v>98</v>
      </c>
      <c r="D1380" s="2">
        <v>22138</v>
      </c>
      <c r="E1380" s="2" t="s">
        <v>480</v>
      </c>
      <c r="F1380" s="3">
        <v>29508252300387</v>
      </c>
      <c r="G1380" s="16" t="s">
        <v>34</v>
      </c>
      <c r="H1380" s="2" t="s">
        <v>496</v>
      </c>
      <c r="I1380" s="2" t="s">
        <v>66</v>
      </c>
      <c r="J1380" s="4">
        <v>43386</v>
      </c>
      <c r="K1380" s="16" t="s">
        <v>8</v>
      </c>
      <c r="L1380" s="16" t="s">
        <v>12</v>
      </c>
      <c r="M1380" s="2" t="s">
        <v>488</v>
      </c>
      <c r="R1380" s="24">
        <v>3</v>
      </c>
      <c r="S1380" s="24">
        <v>2</v>
      </c>
      <c r="T1380" s="24">
        <v>2</v>
      </c>
      <c r="U1380" s="24">
        <v>2</v>
      </c>
      <c r="V1380" s="24">
        <v>3</v>
      </c>
      <c r="W1380" s="16" t="s">
        <v>62</v>
      </c>
      <c r="X1380" s="2" t="s">
        <v>66</v>
      </c>
      <c r="Y1380" s="7">
        <v>43430</v>
      </c>
      <c r="Z1380" s="16" t="s">
        <v>66</v>
      </c>
      <c r="AA1380" s="7">
        <v>43438</v>
      </c>
    </row>
    <row r="1381" spans="1:28" ht="15" customHeight="1">
      <c r="A1381" s="290"/>
      <c r="C1381" s="16">
        <v>98</v>
      </c>
      <c r="D1381" s="2">
        <v>22131</v>
      </c>
      <c r="E1381" s="2" t="s">
        <v>481</v>
      </c>
      <c r="F1381" s="3">
        <v>29511273400072</v>
      </c>
      <c r="G1381" s="16" t="s">
        <v>34</v>
      </c>
      <c r="H1381" s="2" t="s">
        <v>497</v>
      </c>
      <c r="I1381" s="2" t="s">
        <v>66</v>
      </c>
      <c r="J1381" s="4">
        <v>43386</v>
      </c>
      <c r="K1381" s="16" t="s">
        <v>8</v>
      </c>
      <c r="L1381" s="16" t="s">
        <v>12</v>
      </c>
      <c r="M1381" s="2" t="s">
        <v>197</v>
      </c>
      <c r="W1381" s="16" t="s">
        <v>62</v>
      </c>
      <c r="Y1381" s="7">
        <v>43415</v>
      </c>
      <c r="Z1381" s="16" t="s">
        <v>67</v>
      </c>
      <c r="AB1381" s="2" t="s">
        <v>3809</v>
      </c>
    </row>
    <row r="1382" spans="1:28" ht="15" customHeight="1">
      <c r="A1382" s="290"/>
      <c r="C1382" s="16">
        <v>98</v>
      </c>
      <c r="D1382" s="2">
        <v>22135</v>
      </c>
      <c r="E1382" s="2" t="s">
        <v>482</v>
      </c>
      <c r="F1382" s="3">
        <v>29309181600047</v>
      </c>
      <c r="G1382" s="16" t="s">
        <v>34</v>
      </c>
      <c r="H1382" s="2" t="s">
        <v>498</v>
      </c>
      <c r="I1382" s="2" t="s">
        <v>66</v>
      </c>
      <c r="J1382" s="4">
        <v>43386</v>
      </c>
      <c r="K1382" s="16" t="s">
        <v>8</v>
      </c>
      <c r="L1382" s="16" t="s">
        <v>12</v>
      </c>
      <c r="M1382" s="2" t="s">
        <v>257</v>
      </c>
      <c r="W1382" s="16" t="s">
        <v>64</v>
      </c>
      <c r="Z1382" s="16" t="s">
        <v>67</v>
      </c>
    </row>
    <row r="1383" spans="1:28" ht="15" customHeight="1">
      <c r="A1383" s="290"/>
      <c r="C1383" s="16">
        <v>98</v>
      </c>
      <c r="D1383" s="2">
        <v>22136</v>
      </c>
      <c r="E1383" s="2" t="s">
        <v>483</v>
      </c>
      <c r="F1383" s="3">
        <v>29504092101913</v>
      </c>
      <c r="G1383" s="16" t="s">
        <v>34</v>
      </c>
      <c r="H1383" s="2" t="s">
        <v>499</v>
      </c>
      <c r="I1383" s="2" t="s">
        <v>66</v>
      </c>
      <c r="J1383" s="4">
        <v>43386</v>
      </c>
      <c r="K1383" s="16" t="s">
        <v>8</v>
      </c>
      <c r="L1383" s="16" t="s">
        <v>12</v>
      </c>
      <c r="M1383" s="2" t="s">
        <v>489</v>
      </c>
      <c r="W1383" s="16" t="s">
        <v>169</v>
      </c>
      <c r="Y1383" s="7">
        <v>43415</v>
      </c>
      <c r="Z1383" s="16" t="s">
        <v>66</v>
      </c>
      <c r="AA1383" s="7">
        <v>43415</v>
      </c>
    </row>
    <row r="1384" spans="1:28" ht="15" customHeight="1">
      <c r="A1384" s="290"/>
      <c r="C1384" s="16">
        <v>98</v>
      </c>
      <c r="D1384" s="16">
        <v>22137</v>
      </c>
      <c r="E1384" s="16" t="s">
        <v>484</v>
      </c>
      <c r="F1384" s="3">
        <v>29106022800231</v>
      </c>
      <c r="G1384" s="16" t="s">
        <v>34</v>
      </c>
      <c r="H1384" s="16" t="s">
        <v>500</v>
      </c>
      <c r="I1384" s="16" t="s">
        <v>66</v>
      </c>
      <c r="J1384" s="45">
        <v>43386</v>
      </c>
      <c r="K1384" s="16" t="s">
        <v>8</v>
      </c>
      <c r="L1384" s="16" t="s">
        <v>12</v>
      </c>
      <c r="M1384" s="16" t="s">
        <v>197</v>
      </c>
      <c r="N1384" s="16"/>
      <c r="W1384" s="16" t="s">
        <v>62</v>
      </c>
      <c r="X1384" s="16" t="s">
        <v>66</v>
      </c>
      <c r="Y1384" s="45">
        <v>43430</v>
      </c>
      <c r="Z1384" s="16" t="s">
        <v>66</v>
      </c>
      <c r="AA1384" s="45">
        <v>43438</v>
      </c>
      <c r="AB1384" s="16"/>
    </row>
    <row r="1385" spans="1:28" ht="15" customHeight="1" thickBot="1">
      <c r="A1385" s="291"/>
      <c r="C1385" s="28">
        <v>98</v>
      </c>
      <c r="D1385" s="28">
        <v>22132</v>
      </c>
      <c r="E1385" s="28" t="s">
        <v>485</v>
      </c>
      <c r="F1385" s="29">
        <v>29601040101406</v>
      </c>
      <c r="G1385" s="28" t="s">
        <v>34</v>
      </c>
      <c r="H1385" s="28" t="s">
        <v>501</v>
      </c>
      <c r="I1385" s="28" t="s">
        <v>66</v>
      </c>
      <c r="J1385" s="30">
        <v>43386</v>
      </c>
      <c r="K1385" s="28" t="s">
        <v>8</v>
      </c>
      <c r="L1385" s="28" t="s">
        <v>12</v>
      </c>
      <c r="M1385" s="28" t="s">
        <v>16</v>
      </c>
      <c r="N1385" s="28"/>
      <c r="O1385" s="226"/>
      <c r="P1385" s="28"/>
      <c r="Q1385" s="226"/>
      <c r="R1385" s="28"/>
      <c r="S1385" s="28"/>
      <c r="T1385" s="28"/>
      <c r="U1385" s="28"/>
      <c r="V1385" s="28"/>
      <c r="W1385" s="28" t="s">
        <v>64</v>
      </c>
      <c r="X1385" s="28"/>
      <c r="Y1385" s="30"/>
      <c r="Z1385" s="28" t="s">
        <v>67</v>
      </c>
      <c r="AA1385" s="30"/>
      <c r="AB1385" s="28"/>
    </row>
    <row r="1386" spans="1:28" ht="15" customHeight="1" thickTop="1">
      <c r="A1386" s="289" t="s">
        <v>3123</v>
      </c>
      <c r="C1386" s="16">
        <v>99</v>
      </c>
      <c r="D1386" s="2">
        <v>22140</v>
      </c>
      <c r="E1386" s="2" t="s">
        <v>503</v>
      </c>
      <c r="F1386" s="3">
        <v>29609070101096</v>
      </c>
      <c r="G1386" s="16" t="s">
        <v>184</v>
      </c>
      <c r="H1386" s="2" t="s">
        <v>515</v>
      </c>
      <c r="I1386" s="2" t="s">
        <v>66</v>
      </c>
      <c r="J1386" s="4">
        <v>43386</v>
      </c>
      <c r="K1386" s="16" t="s">
        <v>8</v>
      </c>
      <c r="L1386" s="16" t="s">
        <v>12</v>
      </c>
      <c r="M1386" s="2" t="s">
        <v>15</v>
      </c>
      <c r="W1386" s="16" t="s">
        <v>502</v>
      </c>
      <c r="Y1386" s="7">
        <v>43415</v>
      </c>
      <c r="Z1386" s="16" t="s">
        <v>66</v>
      </c>
      <c r="AA1386" s="7">
        <v>43416</v>
      </c>
    </row>
    <row r="1387" spans="1:28" ht="15" customHeight="1">
      <c r="A1387" s="290"/>
      <c r="C1387" s="16">
        <v>99</v>
      </c>
      <c r="D1387" s="2">
        <v>22141</v>
      </c>
      <c r="E1387" s="2" t="s">
        <v>504</v>
      </c>
      <c r="F1387" s="3">
        <v>29606251702025</v>
      </c>
      <c r="G1387" s="16" t="s">
        <v>34</v>
      </c>
      <c r="H1387" s="2" t="s">
        <v>516</v>
      </c>
      <c r="I1387" s="2" t="s">
        <v>66</v>
      </c>
      <c r="J1387" s="4">
        <v>43386</v>
      </c>
      <c r="K1387" s="16" t="s">
        <v>8</v>
      </c>
      <c r="L1387" s="16" t="s">
        <v>12</v>
      </c>
      <c r="M1387" s="2" t="s">
        <v>197</v>
      </c>
      <c r="W1387" s="16" t="s">
        <v>62</v>
      </c>
      <c r="Y1387" s="7">
        <v>43415</v>
      </c>
      <c r="Z1387" s="16" t="s">
        <v>67</v>
      </c>
      <c r="AB1387" s="2" t="s">
        <v>3380</v>
      </c>
    </row>
    <row r="1388" spans="1:28" ht="15" customHeight="1">
      <c r="A1388" s="290"/>
      <c r="C1388" s="16">
        <v>99</v>
      </c>
      <c r="D1388" s="2">
        <v>22142</v>
      </c>
      <c r="E1388" s="2" t="s">
        <v>505</v>
      </c>
      <c r="F1388" s="3">
        <v>28605300103035</v>
      </c>
      <c r="G1388" s="16" t="s">
        <v>34</v>
      </c>
      <c r="H1388" s="2" t="s">
        <v>517</v>
      </c>
      <c r="I1388" s="2" t="s">
        <v>66</v>
      </c>
      <c r="J1388" s="4">
        <v>43386</v>
      </c>
      <c r="K1388" s="16" t="s">
        <v>8</v>
      </c>
      <c r="L1388" s="16" t="s">
        <v>12</v>
      </c>
      <c r="M1388" s="2" t="s">
        <v>486</v>
      </c>
      <c r="W1388" s="16" t="s">
        <v>60</v>
      </c>
      <c r="Y1388" s="7">
        <v>43415</v>
      </c>
      <c r="Z1388" s="16" t="s">
        <v>66</v>
      </c>
      <c r="AA1388" s="7">
        <v>43431</v>
      </c>
    </row>
    <row r="1389" spans="1:28" ht="15" customHeight="1">
      <c r="A1389" s="290"/>
      <c r="C1389" s="16">
        <v>99</v>
      </c>
      <c r="D1389" s="2">
        <v>22143</v>
      </c>
      <c r="E1389" s="2" t="s">
        <v>506</v>
      </c>
      <c r="F1389" s="3">
        <v>29502250104337</v>
      </c>
      <c r="G1389" s="16" t="s">
        <v>34</v>
      </c>
      <c r="H1389" s="2" t="s">
        <v>518</v>
      </c>
      <c r="I1389" s="2" t="s">
        <v>66</v>
      </c>
      <c r="J1389" s="4">
        <v>43386</v>
      </c>
      <c r="K1389" s="16" t="s">
        <v>8</v>
      </c>
      <c r="L1389" s="16" t="s">
        <v>12</v>
      </c>
      <c r="M1389" s="2" t="s">
        <v>14</v>
      </c>
      <c r="R1389" s="24">
        <v>3</v>
      </c>
      <c r="S1389" s="24">
        <v>2.5</v>
      </c>
      <c r="T1389" s="24">
        <v>2.5</v>
      </c>
      <c r="U1389" s="24">
        <v>2</v>
      </c>
      <c r="V1389" s="24">
        <v>3</v>
      </c>
      <c r="W1389" s="16" t="s">
        <v>170</v>
      </c>
      <c r="X1389" s="2" t="s">
        <v>66</v>
      </c>
      <c r="Y1389" s="7">
        <v>43430</v>
      </c>
      <c r="Z1389" s="16" t="s">
        <v>66</v>
      </c>
      <c r="AA1389" s="7">
        <v>43429</v>
      </c>
      <c r="AB1389" s="2" t="s">
        <v>3217</v>
      </c>
    </row>
    <row r="1390" spans="1:28" ht="15" customHeight="1">
      <c r="A1390" s="290"/>
      <c r="C1390" s="16">
        <v>99</v>
      </c>
      <c r="D1390" s="2">
        <v>22144</v>
      </c>
      <c r="E1390" s="2" t="s">
        <v>507</v>
      </c>
      <c r="F1390" s="3">
        <v>29410288800335</v>
      </c>
      <c r="G1390" s="16" t="s">
        <v>34</v>
      </c>
      <c r="H1390" s="2" t="s">
        <v>519</v>
      </c>
      <c r="I1390" s="2" t="s">
        <v>66</v>
      </c>
      <c r="J1390" s="4">
        <v>43386</v>
      </c>
      <c r="K1390" s="16" t="s">
        <v>8</v>
      </c>
      <c r="L1390" s="16" t="s">
        <v>12</v>
      </c>
      <c r="M1390" s="2" t="s">
        <v>291</v>
      </c>
      <c r="W1390" s="16" t="s">
        <v>63</v>
      </c>
      <c r="Z1390" s="16" t="s">
        <v>67</v>
      </c>
    </row>
    <row r="1391" spans="1:28" ht="15" customHeight="1">
      <c r="A1391" s="290"/>
      <c r="C1391" s="16">
        <v>99</v>
      </c>
      <c r="D1391" s="2">
        <v>22145</v>
      </c>
      <c r="E1391" s="2" t="s">
        <v>508</v>
      </c>
      <c r="F1391" s="3">
        <v>30007200103873</v>
      </c>
      <c r="G1391" s="16" t="s">
        <v>4</v>
      </c>
      <c r="H1391" s="2" t="s">
        <v>520</v>
      </c>
      <c r="I1391" s="2" t="s">
        <v>66</v>
      </c>
      <c r="J1391" s="4">
        <v>43386</v>
      </c>
      <c r="K1391" s="16" t="s">
        <v>8</v>
      </c>
      <c r="L1391" s="16" t="s">
        <v>12</v>
      </c>
      <c r="M1391" s="2" t="s">
        <v>472</v>
      </c>
      <c r="W1391" s="16" t="s">
        <v>63</v>
      </c>
      <c r="X1391" s="2" t="s">
        <v>66</v>
      </c>
      <c r="Z1391" s="16" t="s">
        <v>67</v>
      </c>
      <c r="AB1391" s="2" t="s">
        <v>701</v>
      </c>
    </row>
    <row r="1392" spans="1:28" ht="15" customHeight="1">
      <c r="A1392" s="290"/>
      <c r="C1392" s="16">
        <v>99</v>
      </c>
      <c r="D1392" s="16">
        <v>22146</v>
      </c>
      <c r="E1392" s="16" t="s">
        <v>509</v>
      </c>
      <c r="F1392" s="3">
        <v>29808282102249</v>
      </c>
      <c r="G1392" s="16" t="s">
        <v>4</v>
      </c>
      <c r="H1392" s="16" t="s">
        <v>521</v>
      </c>
      <c r="I1392" s="16" t="s">
        <v>66</v>
      </c>
      <c r="J1392" s="45">
        <v>43386</v>
      </c>
      <c r="K1392" s="16" t="s">
        <v>8</v>
      </c>
      <c r="L1392" s="16" t="s">
        <v>12</v>
      </c>
      <c r="M1392" s="16" t="s">
        <v>472</v>
      </c>
      <c r="N1392" s="16"/>
      <c r="W1392" s="16" t="s">
        <v>63</v>
      </c>
      <c r="X1392" s="16"/>
      <c r="Y1392" s="45"/>
      <c r="Z1392" s="16" t="s">
        <v>67</v>
      </c>
      <c r="AA1392" s="45"/>
      <c r="AB1392" s="16"/>
    </row>
    <row r="1393" spans="1:28" ht="15" customHeight="1">
      <c r="A1393" s="290"/>
      <c r="C1393" s="16">
        <v>99</v>
      </c>
      <c r="D1393" s="2">
        <v>22147</v>
      </c>
      <c r="E1393" s="2" t="s">
        <v>510</v>
      </c>
      <c r="F1393" s="3">
        <v>29208011606058</v>
      </c>
      <c r="G1393" s="16" t="s">
        <v>34</v>
      </c>
      <c r="H1393" s="2" t="s">
        <v>522</v>
      </c>
      <c r="I1393" s="2" t="s">
        <v>66</v>
      </c>
      <c r="J1393" s="4">
        <v>43386</v>
      </c>
      <c r="K1393" s="16" t="s">
        <v>8</v>
      </c>
      <c r="L1393" s="16" t="s">
        <v>12</v>
      </c>
      <c r="M1393" s="2" t="s">
        <v>489</v>
      </c>
      <c r="W1393" s="16" t="s">
        <v>169</v>
      </c>
      <c r="Y1393" s="7">
        <v>43415</v>
      </c>
      <c r="Z1393" s="16" t="s">
        <v>66</v>
      </c>
      <c r="AA1393" s="7">
        <v>43415</v>
      </c>
    </row>
    <row r="1394" spans="1:28" ht="15" customHeight="1">
      <c r="A1394" s="290"/>
      <c r="C1394" s="16">
        <v>99</v>
      </c>
      <c r="D1394" s="16">
        <v>22148</v>
      </c>
      <c r="E1394" s="16" t="s">
        <v>511</v>
      </c>
      <c r="F1394" s="3">
        <v>29603150400118</v>
      </c>
      <c r="G1394" s="16" t="s">
        <v>34</v>
      </c>
      <c r="H1394" s="16" t="s">
        <v>523</v>
      </c>
      <c r="I1394" s="16" t="s">
        <v>66</v>
      </c>
      <c r="J1394" s="45">
        <v>43386</v>
      </c>
      <c r="K1394" s="16" t="s">
        <v>8</v>
      </c>
      <c r="L1394" s="16" t="s">
        <v>12</v>
      </c>
      <c r="M1394" s="16" t="s">
        <v>291</v>
      </c>
      <c r="N1394" s="16"/>
      <c r="W1394" s="16" t="s">
        <v>63</v>
      </c>
      <c r="X1394" s="16"/>
      <c r="Z1394" s="16" t="s">
        <v>67</v>
      </c>
      <c r="AB1394" s="16"/>
    </row>
    <row r="1395" spans="1:28" ht="15" customHeight="1">
      <c r="A1395" s="290"/>
      <c r="C1395" s="16">
        <v>99</v>
      </c>
      <c r="D1395" s="2">
        <v>22149</v>
      </c>
      <c r="E1395" s="2" t="s">
        <v>512</v>
      </c>
      <c r="F1395" s="3">
        <v>29501011864471</v>
      </c>
      <c r="G1395" s="16" t="s">
        <v>184</v>
      </c>
      <c r="H1395" s="2" t="s">
        <v>524</v>
      </c>
      <c r="I1395" s="2" t="s">
        <v>66</v>
      </c>
      <c r="J1395" s="4">
        <v>43386</v>
      </c>
      <c r="K1395" s="16" t="s">
        <v>8</v>
      </c>
      <c r="L1395" s="16" t="s">
        <v>12</v>
      </c>
      <c r="M1395" s="2" t="s">
        <v>291</v>
      </c>
      <c r="R1395" s="24">
        <v>3</v>
      </c>
      <c r="S1395" s="24">
        <v>2</v>
      </c>
      <c r="T1395" s="24">
        <v>2</v>
      </c>
      <c r="U1395" s="24">
        <v>2</v>
      </c>
      <c r="V1395" s="24">
        <v>3</v>
      </c>
      <c r="W1395" s="16" t="s">
        <v>62</v>
      </c>
      <c r="X1395" s="2" t="s">
        <v>66</v>
      </c>
      <c r="Y1395" s="7">
        <v>43430</v>
      </c>
      <c r="Z1395" s="16" t="s">
        <v>66</v>
      </c>
      <c r="AA1395" s="7">
        <v>43438</v>
      </c>
    </row>
    <row r="1396" spans="1:28" ht="15" customHeight="1">
      <c r="A1396" s="290"/>
      <c r="C1396" s="16">
        <v>99</v>
      </c>
      <c r="D1396" s="2">
        <v>22150</v>
      </c>
      <c r="E1396" s="2" t="s">
        <v>513</v>
      </c>
      <c r="F1396" s="3" t="s">
        <v>514</v>
      </c>
      <c r="G1396" s="16" t="s">
        <v>34</v>
      </c>
      <c r="H1396" s="2" t="s">
        <v>525</v>
      </c>
      <c r="I1396" s="2" t="s">
        <v>66</v>
      </c>
      <c r="J1396" s="4">
        <v>43386</v>
      </c>
      <c r="K1396" s="16" t="s">
        <v>8</v>
      </c>
      <c r="L1396" s="16" t="s">
        <v>12</v>
      </c>
      <c r="M1396" s="2" t="s">
        <v>197</v>
      </c>
      <c r="W1396" s="16" t="s">
        <v>502</v>
      </c>
      <c r="Y1396" s="7">
        <v>43415</v>
      </c>
      <c r="Z1396" s="16" t="s">
        <v>66</v>
      </c>
      <c r="AA1396" s="7">
        <v>43416</v>
      </c>
    </row>
    <row r="1397" spans="1:28" ht="15.75" customHeight="1" thickBot="1">
      <c r="A1397" s="291"/>
      <c r="C1397" s="28">
        <v>99</v>
      </c>
      <c r="D1397" s="28">
        <v>22151</v>
      </c>
      <c r="E1397" s="28" t="s">
        <v>703</v>
      </c>
      <c r="F1397" s="29">
        <v>29112220102051</v>
      </c>
      <c r="G1397" s="28" t="s">
        <v>34</v>
      </c>
      <c r="H1397" s="28" t="s">
        <v>526</v>
      </c>
      <c r="I1397" s="28" t="s">
        <v>66</v>
      </c>
      <c r="J1397" s="30">
        <v>43386</v>
      </c>
      <c r="K1397" s="28" t="s">
        <v>8</v>
      </c>
      <c r="L1397" s="28" t="s">
        <v>12</v>
      </c>
      <c r="M1397" s="28" t="s">
        <v>197</v>
      </c>
      <c r="N1397" s="28"/>
      <c r="O1397" s="226"/>
      <c r="P1397" s="28"/>
      <c r="Q1397" s="226"/>
      <c r="R1397" s="28">
        <v>3</v>
      </c>
      <c r="S1397" s="28">
        <v>3</v>
      </c>
      <c r="T1397" s="28">
        <v>2</v>
      </c>
      <c r="U1397" s="28">
        <v>3</v>
      </c>
      <c r="V1397" s="28">
        <v>3</v>
      </c>
      <c r="W1397" s="28" t="s">
        <v>61</v>
      </c>
      <c r="X1397" s="28" t="s">
        <v>66</v>
      </c>
      <c r="Y1397" s="30">
        <v>43430</v>
      </c>
      <c r="Z1397" s="28" t="s">
        <v>67</v>
      </c>
      <c r="AA1397" s="30"/>
      <c r="AB1397" s="28" t="s">
        <v>3810</v>
      </c>
    </row>
    <row r="1398" spans="1:28" ht="15.75" customHeight="1" thickTop="1">
      <c r="A1398" s="289" t="s">
        <v>3125</v>
      </c>
      <c r="C1398" s="16">
        <v>100</v>
      </c>
      <c r="D1398" s="2">
        <v>22154</v>
      </c>
      <c r="E1398" s="2" t="s">
        <v>527</v>
      </c>
      <c r="F1398" s="3">
        <v>29210040101521</v>
      </c>
      <c r="G1398" s="16" t="s">
        <v>34</v>
      </c>
      <c r="H1398" s="2" t="s">
        <v>539</v>
      </c>
      <c r="I1398" s="2" t="s">
        <v>66</v>
      </c>
      <c r="J1398" s="4">
        <v>43393</v>
      </c>
      <c r="K1398" s="16" t="s">
        <v>8</v>
      </c>
      <c r="L1398" s="16" t="s">
        <v>12</v>
      </c>
      <c r="M1398" s="2" t="s">
        <v>109</v>
      </c>
      <c r="W1398" s="16" t="s">
        <v>63</v>
      </c>
      <c r="X1398" s="2" t="s">
        <v>66</v>
      </c>
      <c r="Z1398" s="16" t="s">
        <v>67</v>
      </c>
      <c r="AB1398" s="2" t="s">
        <v>701</v>
      </c>
    </row>
    <row r="1399" spans="1:28" ht="15" customHeight="1">
      <c r="A1399" s="290"/>
      <c r="C1399" s="16">
        <v>100</v>
      </c>
      <c r="D1399" s="2">
        <v>22155</v>
      </c>
      <c r="E1399" s="2" t="s">
        <v>528</v>
      </c>
      <c r="F1399" s="3">
        <v>29612150100709</v>
      </c>
      <c r="G1399" s="16" t="s">
        <v>4</v>
      </c>
      <c r="H1399" s="2" t="s">
        <v>540</v>
      </c>
      <c r="I1399" s="2" t="s">
        <v>66</v>
      </c>
      <c r="J1399" s="4">
        <v>43393</v>
      </c>
      <c r="K1399" s="16" t="s">
        <v>8</v>
      </c>
      <c r="L1399" s="16" t="s">
        <v>12</v>
      </c>
      <c r="M1399" s="2" t="s">
        <v>380</v>
      </c>
      <c r="W1399" s="16" t="s">
        <v>171</v>
      </c>
      <c r="X1399" s="2" t="s">
        <v>66</v>
      </c>
      <c r="Y1399" s="7">
        <v>43445</v>
      </c>
      <c r="Z1399" s="16" t="s">
        <v>66</v>
      </c>
      <c r="AA1399" s="7">
        <v>43444</v>
      </c>
    </row>
    <row r="1400" spans="1:28" ht="15" customHeight="1">
      <c r="A1400" s="290"/>
      <c r="C1400" s="16">
        <v>100</v>
      </c>
      <c r="D1400" s="2">
        <v>22156</v>
      </c>
      <c r="E1400" s="2" t="s">
        <v>529</v>
      </c>
      <c r="F1400" s="3">
        <v>29404150103064</v>
      </c>
      <c r="G1400" s="16" t="s">
        <v>34</v>
      </c>
      <c r="H1400" s="2" t="s">
        <v>541</v>
      </c>
      <c r="I1400" s="2" t="s">
        <v>66</v>
      </c>
      <c r="J1400" s="4">
        <v>43393</v>
      </c>
      <c r="K1400" s="16" t="s">
        <v>8</v>
      </c>
      <c r="L1400" s="16" t="s">
        <v>12</v>
      </c>
      <c r="M1400" s="2" t="s">
        <v>103</v>
      </c>
      <c r="W1400" s="16" t="s">
        <v>169</v>
      </c>
      <c r="Y1400" s="7">
        <v>43423</v>
      </c>
      <c r="Z1400" s="16" t="s">
        <v>66</v>
      </c>
      <c r="AA1400" s="7">
        <v>43429</v>
      </c>
    </row>
    <row r="1401" spans="1:28" ht="15" customHeight="1">
      <c r="A1401" s="290"/>
      <c r="C1401" s="16">
        <v>100</v>
      </c>
      <c r="D1401" s="16">
        <v>22157</v>
      </c>
      <c r="E1401" s="16" t="s">
        <v>530</v>
      </c>
      <c r="F1401" s="3">
        <v>29704222102592</v>
      </c>
      <c r="G1401" s="16" t="s">
        <v>4</v>
      </c>
      <c r="H1401" s="16" t="s">
        <v>542</v>
      </c>
      <c r="I1401" s="16" t="s">
        <v>66</v>
      </c>
      <c r="J1401" s="45">
        <v>43393</v>
      </c>
      <c r="K1401" s="16" t="s">
        <v>8</v>
      </c>
      <c r="L1401" s="16" t="s">
        <v>12</v>
      </c>
      <c r="M1401" s="16" t="s">
        <v>257</v>
      </c>
      <c r="N1401" s="16"/>
      <c r="W1401" s="16" t="s">
        <v>60</v>
      </c>
      <c r="X1401" s="16"/>
      <c r="Y1401" s="45">
        <v>43423</v>
      </c>
      <c r="Z1401" s="16" t="s">
        <v>66</v>
      </c>
      <c r="AA1401" s="45">
        <v>43451</v>
      </c>
      <c r="AB1401" s="16"/>
    </row>
    <row r="1402" spans="1:28" ht="15" customHeight="1">
      <c r="A1402" s="290"/>
      <c r="C1402" s="16">
        <v>100</v>
      </c>
      <c r="D1402" s="16">
        <v>22158</v>
      </c>
      <c r="E1402" s="16" t="s">
        <v>531</v>
      </c>
      <c r="F1402" s="3">
        <v>28208138800071</v>
      </c>
      <c r="G1402" s="16" t="s">
        <v>34</v>
      </c>
      <c r="H1402" s="16" t="s">
        <v>543</v>
      </c>
      <c r="I1402" s="16" t="s">
        <v>66</v>
      </c>
      <c r="J1402" s="45">
        <v>43393</v>
      </c>
      <c r="K1402" s="16" t="s">
        <v>8</v>
      </c>
      <c r="L1402" s="16" t="s">
        <v>12</v>
      </c>
      <c r="M1402" s="16" t="s">
        <v>197</v>
      </c>
      <c r="N1402" s="16"/>
      <c r="W1402" s="16" t="s">
        <v>111</v>
      </c>
      <c r="X1402" s="16"/>
      <c r="Y1402" s="45">
        <v>43423</v>
      </c>
      <c r="Z1402" s="16" t="s">
        <v>66</v>
      </c>
      <c r="AA1402" s="45">
        <v>43429</v>
      </c>
      <c r="AB1402" s="16"/>
    </row>
    <row r="1403" spans="1:28" ht="15" customHeight="1">
      <c r="A1403" s="290"/>
      <c r="C1403" s="16">
        <v>100</v>
      </c>
      <c r="D1403" s="2">
        <v>22159</v>
      </c>
      <c r="E1403" s="2" t="s">
        <v>532</v>
      </c>
      <c r="F1403" s="3">
        <v>28002010201177</v>
      </c>
      <c r="G1403" s="16" t="s">
        <v>34</v>
      </c>
      <c r="H1403" s="2" t="s">
        <v>544</v>
      </c>
      <c r="I1403" s="2" t="s">
        <v>66</v>
      </c>
      <c r="J1403" s="4">
        <v>43393</v>
      </c>
      <c r="K1403" s="16" t="s">
        <v>8</v>
      </c>
      <c r="L1403" s="16" t="s">
        <v>12</v>
      </c>
      <c r="M1403" s="2" t="s">
        <v>103</v>
      </c>
      <c r="W1403" s="16" t="s">
        <v>169</v>
      </c>
      <c r="Y1403" s="7">
        <v>43423</v>
      </c>
      <c r="Z1403" s="16" t="s">
        <v>66</v>
      </c>
      <c r="AA1403" s="7">
        <v>43429</v>
      </c>
    </row>
    <row r="1404" spans="1:28" ht="15" customHeight="1">
      <c r="A1404" s="290"/>
      <c r="C1404" s="16">
        <v>100</v>
      </c>
      <c r="D1404" s="16">
        <v>22160</v>
      </c>
      <c r="E1404" s="16" t="s">
        <v>533</v>
      </c>
      <c r="F1404" s="3">
        <v>29307200101119</v>
      </c>
      <c r="G1404" s="16" t="s">
        <v>34</v>
      </c>
      <c r="H1404" s="16" t="s">
        <v>545</v>
      </c>
      <c r="I1404" s="16" t="s">
        <v>66</v>
      </c>
      <c r="J1404" s="45">
        <v>43393</v>
      </c>
      <c r="K1404" s="16" t="s">
        <v>8</v>
      </c>
      <c r="L1404" s="16" t="s">
        <v>12</v>
      </c>
      <c r="M1404" s="16" t="s">
        <v>14</v>
      </c>
      <c r="N1404" s="16"/>
      <c r="W1404" s="16" t="s">
        <v>64</v>
      </c>
      <c r="X1404" s="16"/>
      <c r="Y1404" s="45"/>
      <c r="Z1404" s="16" t="s">
        <v>67</v>
      </c>
      <c r="AA1404" s="45"/>
      <c r="AB1404" s="16"/>
    </row>
    <row r="1405" spans="1:28" ht="15" customHeight="1">
      <c r="A1405" s="290"/>
      <c r="C1405" s="16">
        <v>100</v>
      </c>
      <c r="D1405" s="2">
        <v>22161</v>
      </c>
      <c r="E1405" s="2" t="s">
        <v>534</v>
      </c>
      <c r="F1405" s="3">
        <v>29503261400121</v>
      </c>
      <c r="G1405" s="2" t="s">
        <v>34</v>
      </c>
      <c r="H1405" s="2" t="s">
        <v>546</v>
      </c>
      <c r="I1405" s="2" t="s">
        <v>66</v>
      </c>
      <c r="J1405" s="4">
        <v>43393</v>
      </c>
      <c r="K1405" s="16" t="s">
        <v>8</v>
      </c>
      <c r="L1405" s="16" t="s">
        <v>12</v>
      </c>
      <c r="M1405" s="2" t="s">
        <v>406</v>
      </c>
      <c r="W1405" s="16" t="s">
        <v>111</v>
      </c>
      <c r="X1405" s="2" t="s">
        <v>66</v>
      </c>
      <c r="Y1405" s="7">
        <v>43445</v>
      </c>
      <c r="Z1405" s="16" t="s">
        <v>66</v>
      </c>
      <c r="AA1405" s="7">
        <v>43446</v>
      </c>
    </row>
    <row r="1406" spans="1:28" ht="15" customHeight="1">
      <c r="A1406" s="290"/>
      <c r="C1406" s="16">
        <v>100</v>
      </c>
      <c r="D1406" s="2">
        <v>22162</v>
      </c>
      <c r="E1406" s="2" t="s">
        <v>535</v>
      </c>
      <c r="F1406" s="3">
        <v>29608140102765</v>
      </c>
      <c r="G1406" s="2" t="s">
        <v>34</v>
      </c>
      <c r="H1406" s="2" t="s">
        <v>547</v>
      </c>
      <c r="I1406" s="2" t="s">
        <v>66</v>
      </c>
      <c r="J1406" s="4">
        <v>43393</v>
      </c>
      <c r="K1406" s="16" t="s">
        <v>8</v>
      </c>
      <c r="L1406" s="16" t="s">
        <v>12</v>
      </c>
      <c r="M1406" s="2" t="s">
        <v>103</v>
      </c>
      <c r="W1406" s="16" t="s">
        <v>63</v>
      </c>
      <c r="X1406" s="2" t="s">
        <v>66</v>
      </c>
      <c r="Z1406" s="16" t="s">
        <v>67</v>
      </c>
      <c r="AB1406" s="2" t="s">
        <v>701</v>
      </c>
    </row>
    <row r="1407" spans="1:28" ht="15" customHeight="1">
      <c r="A1407" s="290"/>
      <c r="C1407" s="16">
        <v>100</v>
      </c>
      <c r="D1407" s="2">
        <v>22163</v>
      </c>
      <c r="E1407" s="2" t="s">
        <v>536</v>
      </c>
      <c r="F1407" s="3">
        <v>29006010103794</v>
      </c>
      <c r="G1407" s="16" t="s">
        <v>34</v>
      </c>
      <c r="H1407" s="2" t="s">
        <v>548</v>
      </c>
      <c r="I1407" s="2" t="s">
        <v>66</v>
      </c>
      <c r="J1407" s="4">
        <v>43393</v>
      </c>
      <c r="K1407" s="16" t="s">
        <v>8</v>
      </c>
      <c r="L1407" s="16" t="s">
        <v>12</v>
      </c>
      <c r="M1407" s="2" t="s">
        <v>406</v>
      </c>
      <c r="W1407" s="16" t="s">
        <v>111</v>
      </c>
      <c r="Y1407" s="7">
        <v>43423</v>
      </c>
      <c r="Z1407" s="16" t="s">
        <v>66</v>
      </c>
      <c r="AA1407" s="7">
        <v>43429</v>
      </c>
    </row>
    <row r="1408" spans="1:28" ht="15" customHeight="1">
      <c r="A1408" s="290"/>
      <c r="C1408" s="16">
        <v>100</v>
      </c>
      <c r="D1408" s="2">
        <v>22164</v>
      </c>
      <c r="E1408" s="2" t="s">
        <v>537</v>
      </c>
      <c r="F1408" s="3">
        <v>29010081300091</v>
      </c>
      <c r="G1408" s="2" t="s">
        <v>34</v>
      </c>
      <c r="H1408" s="2" t="s">
        <v>549</v>
      </c>
      <c r="I1408" s="2" t="s">
        <v>66</v>
      </c>
      <c r="J1408" s="4">
        <v>43393</v>
      </c>
      <c r="K1408" s="16" t="s">
        <v>8</v>
      </c>
      <c r="L1408" s="16" t="s">
        <v>12</v>
      </c>
      <c r="M1408" s="2" t="s">
        <v>551</v>
      </c>
      <c r="W1408" s="16" t="s">
        <v>60</v>
      </c>
      <c r="X1408" s="2" t="s">
        <v>66</v>
      </c>
      <c r="Y1408" s="7">
        <v>43445</v>
      </c>
      <c r="Z1408" s="16" t="s">
        <v>66</v>
      </c>
      <c r="AA1408" s="7">
        <v>43451</v>
      </c>
    </row>
    <row r="1409" spans="1:28" ht="15" customHeight="1" thickBot="1">
      <c r="A1409" s="291"/>
      <c r="C1409" s="28">
        <v>100</v>
      </c>
      <c r="D1409" s="28">
        <v>22165</v>
      </c>
      <c r="E1409" s="28" t="s">
        <v>538</v>
      </c>
      <c r="F1409" s="29">
        <v>29806012109532</v>
      </c>
      <c r="G1409" s="28" t="s">
        <v>184</v>
      </c>
      <c r="H1409" s="28" t="s">
        <v>550</v>
      </c>
      <c r="I1409" s="28" t="s">
        <v>66</v>
      </c>
      <c r="J1409" s="30">
        <v>43393</v>
      </c>
      <c r="K1409" s="28" t="s">
        <v>8</v>
      </c>
      <c r="L1409" s="28" t="s">
        <v>12</v>
      </c>
      <c r="M1409" s="28" t="s">
        <v>552</v>
      </c>
      <c r="N1409" s="28"/>
      <c r="O1409" s="226"/>
      <c r="P1409" s="28"/>
      <c r="Q1409" s="226"/>
      <c r="R1409" s="28"/>
      <c r="S1409" s="28"/>
      <c r="T1409" s="28"/>
      <c r="U1409" s="28"/>
      <c r="V1409" s="28"/>
      <c r="W1409" s="28" t="s">
        <v>63</v>
      </c>
      <c r="X1409" s="28"/>
      <c r="Y1409" s="30"/>
      <c r="Z1409" s="28" t="s">
        <v>67</v>
      </c>
      <c r="AA1409" s="30"/>
      <c r="AB1409" s="28"/>
    </row>
    <row r="1410" spans="1:28" ht="15" customHeight="1" thickTop="1">
      <c r="A1410" s="289" t="s">
        <v>3122</v>
      </c>
      <c r="C1410" s="16">
        <v>101</v>
      </c>
      <c r="D1410" s="16">
        <v>22187</v>
      </c>
      <c r="E1410" s="16" t="s">
        <v>553</v>
      </c>
      <c r="F1410" s="3">
        <v>29701170101887</v>
      </c>
      <c r="G1410" s="16" t="s">
        <v>34</v>
      </c>
      <c r="H1410" s="16" t="s">
        <v>569</v>
      </c>
      <c r="I1410" s="16" t="s">
        <v>66</v>
      </c>
      <c r="J1410" s="45">
        <v>43400</v>
      </c>
      <c r="K1410" s="16" t="s">
        <v>8</v>
      </c>
      <c r="L1410" s="16" t="s">
        <v>12</v>
      </c>
      <c r="M1410" s="16" t="s">
        <v>197</v>
      </c>
      <c r="N1410" s="16"/>
      <c r="W1410" s="16" t="s">
        <v>111</v>
      </c>
      <c r="X1410" s="16"/>
      <c r="Y1410" s="45">
        <v>43426</v>
      </c>
      <c r="Z1410" s="16" t="s">
        <v>66</v>
      </c>
      <c r="AA1410" s="45">
        <v>43429</v>
      </c>
      <c r="AB1410" s="16"/>
    </row>
    <row r="1411" spans="1:28" ht="15" customHeight="1">
      <c r="A1411" s="290"/>
      <c r="C1411" s="16">
        <v>101</v>
      </c>
      <c r="D1411" s="16">
        <v>22188</v>
      </c>
      <c r="E1411" s="16" t="s">
        <v>554</v>
      </c>
      <c r="F1411" s="3">
        <v>29707012108571</v>
      </c>
      <c r="G1411" s="16" t="s">
        <v>184</v>
      </c>
      <c r="H1411" s="16" t="s">
        <v>570</v>
      </c>
      <c r="I1411" s="16" t="s">
        <v>66</v>
      </c>
      <c r="J1411" s="45">
        <v>43400</v>
      </c>
      <c r="K1411" s="16" t="s">
        <v>8</v>
      </c>
      <c r="L1411" s="16" t="s">
        <v>12</v>
      </c>
      <c r="M1411" s="16" t="s">
        <v>55</v>
      </c>
      <c r="N1411" s="16"/>
      <c r="W1411" s="16" t="s">
        <v>61</v>
      </c>
      <c r="X1411" s="16" t="s">
        <v>66</v>
      </c>
      <c r="Y1411" s="45">
        <v>43445</v>
      </c>
      <c r="Z1411" s="16" t="s">
        <v>66</v>
      </c>
      <c r="AA1411" s="45">
        <v>43444</v>
      </c>
      <c r="AB1411" s="16" t="s">
        <v>7128</v>
      </c>
    </row>
    <row r="1412" spans="1:28" ht="15" customHeight="1">
      <c r="A1412" s="290"/>
      <c r="C1412" s="16">
        <v>101</v>
      </c>
      <c r="D1412" s="2">
        <v>22189</v>
      </c>
      <c r="E1412" s="2" t="s">
        <v>555</v>
      </c>
      <c r="F1412" s="3">
        <v>29507020102884</v>
      </c>
      <c r="G1412" s="2" t="s">
        <v>34</v>
      </c>
      <c r="H1412" s="2" t="s">
        <v>571</v>
      </c>
      <c r="I1412" s="2" t="s">
        <v>66</v>
      </c>
      <c r="J1412" s="4">
        <v>43400</v>
      </c>
      <c r="K1412" s="16" t="s">
        <v>8</v>
      </c>
      <c r="L1412" s="16" t="s">
        <v>12</v>
      </c>
      <c r="M1412" s="2" t="s">
        <v>16</v>
      </c>
      <c r="W1412" s="16" t="s">
        <v>62</v>
      </c>
      <c r="X1412" s="2" t="s">
        <v>66</v>
      </c>
      <c r="Y1412" s="7">
        <v>43445</v>
      </c>
      <c r="Z1412" s="16" t="s">
        <v>66</v>
      </c>
      <c r="AA1412" s="7">
        <v>43446</v>
      </c>
      <c r="AB1412" s="2" t="s">
        <v>3968</v>
      </c>
    </row>
    <row r="1413" spans="1:28" ht="15" customHeight="1">
      <c r="A1413" s="290"/>
      <c r="C1413" s="16">
        <v>101</v>
      </c>
      <c r="D1413" s="2">
        <v>22190</v>
      </c>
      <c r="E1413" s="2" t="s">
        <v>556</v>
      </c>
      <c r="F1413" s="3">
        <v>29111051400785</v>
      </c>
      <c r="G1413" s="16" t="s">
        <v>34</v>
      </c>
      <c r="H1413" s="2" t="s">
        <v>572</v>
      </c>
      <c r="I1413" s="2" t="s">
        <v>66</v>
      </c>
      <c r="J1413" s="4">
        <v>43400</v>
      </c>
      <c r="K1413" s="16" t="s">
        <v>8</v>
      </c>
      <c r="L1413" s="16" t="s">
        <v>12</v>
      </c>
      <c r="M1413" s="2" t="s">
        <v>16</v>
      </c>
      <c r="W1413" s="16" t="s">
        <v>111</v>
      </c>
      <c r="Y1413" s="7">
        <v>43426</v>
      </c>
      <c r="Z1413" s="16" t="s">
        <v>66</v>
      </c>
      <c r="AA1413" s="7">
        <v>43429</v>
      </c>
    </row>
    <row r="1414" spans="1:28" ht="15" customHeight="1">
      <c r="A1414" s="290"/>
      <c r="C1414" s="16">
        <v>101</v>
      </c>
      <c r="D1414" s="2">
        <v>22191</v>
      </c>
      <c r="E1414" s="2" t="s">
        <v>557</v>
      </c>
      <c r="F1414" s="3">
        <v>29512140102261</v>
      </c>
      <c r="G1414" s="2" t="s">
        <v>34</v>
      </c>
      <c r="H1414" s="2" t="s">
        <v>573</v>
      </c>
      <c r="I1414" s="2" t="s">
        <v>66</v>
      </c>
      <c r="J1414" s="4">
        <v>43400</v>
      </c>
      <c r="K1414" s="16" t="s">
        <v>8</v>
      </c>
      <c r="L1414" s="16" t="s">
        <v>12</v>
      </c>
      <c r="M1414" s="2" t="s">
        <v>197</v>
      </c>
      <c r="W1414" s="16" t="s">
        <v>63</v>
      </c>
      <c r="X1414" s="2" t="s">
        <v>66</v>
      </c>
      <c r="Z1414" s="16" t="s">
        <v>67</v>
      </c>
      <c r="AB1414" s="2" t="s">
        <v>701</v>
      </c>
    </row>
    <row r="1415" spans="1:28" ht="15" customHeight="1">
      <c r="A1415" s="290"/>
      <c r="C1415" s="16">
        <v>101</v>
      </c>
      <c r="D1415" s="2">
        <v>22192</v>
      </c>
      <c r="E1415" s="2" t="s">
        <v>558</v>
      </c>
      <c r="F1415" s="3">
        <v>29211010102031</v>
      </c>
      <c r="G1415" s="2" t="s">
        <v>34</v>
      </c>
      <c r="H1415" s="2" t="s">
        <v>574</v>
      </c>
      <c r="I1415" s="2" t="s">
        <v>66</v>
      </c>
      <c r="J1415" s="4">
        <v>43400</v>
      </c>
      <c r="K1415" s="16" t="s">
        <v>8</v>
      </c>
      <c r="L1415" s="16" t="s">
        <v>12</v>
      </c>
      <c r="M1415" s="2" t="s">
        <v>14</v>
      </c>
      <c r="W1415" s="16" t="s">
        <v>169</v>
      </c>
      <c r="Y1415" s="7">
        <v>43426</v>
      </c>
      <c r="Z1415" s="16" t="s">
        <v>66</v>
      </c>
      <c r="AA1415" s="7">
        <v>43429</v>
      </c>
    </row>
    <row r="1416" spans="1:28" ht="15" customHeight="1">
      <c r="A1416" s="290"/>
      <c r="C1416" s="16">
        <v>101</v>
      </c>
      <c r="D1416" s="2">
        <v>22193</v>
      </c>
      <c r="E1416" s="2" t="s">
        <v>559</v>
      </c>
      <c r="F1416" s="3">
        <v>29404202103408</v>
      </c>
      <c r="G1416" s="16" t="s">
        <v>34</v>
      </c>
      <c r="H1416" s="2" t="s">
        <v>575</v>
      </c>
      <c r="I1416" s="2" t="s">
        <v>66</v>
      </c>
      <c r="J1416" s="4">
        <v>43400</v>
      </c>
      <c r="K1416" s="16" t="s">
        <v>8</v>
      </c>
      <c r="L1416" s="16" t="s">
        <v>12</v>
      </c>
      <c r="M1416" s="2" t="s">
        <v>55</v>
      </c>
      <c r="W1416" s="16" t="s">
        <v>64</v>
      </c>
      <c r="Z1416" s="16" t="s">
        <v>67</v>
      </c>
    </row>
    <row r="1417" spans="1:28" ht="15" customHeight="1">
      <c r="A1417" s="290"/>
      <c r="C1417" s="16">
        <v>101</v>
      </c>
      <c r="D1417" s="2">
        <v>22194</v>
      </c>
      <c r="E1417" s="2" t="s">
        <v>560</v>
      </c>
      <c r="F1417" s="3">
        <v>29603011409283</v>
      </c>
      <c r="G1417" s="16" t="s">
        <v>34</v>
      </c>
      <c r="H1417" s="2" t="s">
        <v>576</v>
      </c>
      <c r="I1417" s="2" t="s">
        <v>66</v>
      </c>
      <c r="J1417" s="4">
        <v>43400</v>
      </c>
      <c r="K1417" s="16" t="s">
        <v>8</v>
      </c>
      <c r="L1417" s="16" t="s">
        <v>12</v>
      </c>
      <c r="M1417" s="2" t="s">
        <v>585</v>
      </c>
      <c r="W1417" s="16" t="s">
        <v>111</v>
      </c>
      <c r="Y1417" s="7">
        <v>43426</v>
      </c>
      <c r="Z1417" s="16" t="s">
        <v>66</v>
      </c>
      <c r="AA1417" s="7">
        <v>43429</v>
      </c>
    </row>
    <row r="1418" spans="1:28" ht="15" customHeight="1">
      <c r="A1418" s="290"/>
      <c r="C1418" s="16">
        <v>101</v>
      </c>
      <c r="D1418" s="16">
        <v>22195</v>
      </c>
      <c r="E1418" s="16" t="s">
        <v>561</v>
      </c>
      <c r="F1418" s="3">
        <v>29311201205543</v>
      </c>
      <c r="G1418" s="16" t="s">
        <v>34</v>
      </c>
      <c r="H1418" s="16" t="s">
        <v>577</v>
      </c>
      <c r="I1418" s="16" t="s">
        <v>66</v>
      </c>
      <c r="J1418" s="45">
        <v>43400</v>
      </c>
      <c r="K1418" s="16" t="s">
        <v>8</v>
      </c>
      <c r="L1418" s="16" t="s">
        <v>12</v>
      </c>
      <c r="M1418" s="16" t="s">
        <v>197</v>
      </c>
      <c r="N1418" s="16"/>
      <c r="W1418" s="16" t="s">
        <v>111</v>
      </c>
      <c r="X1418" s="16"/>
      <c r="Y1418" s="45">
        <v>43426</v>
      </c>
      <c r="Z1418" s="16" t="s">
        <v>66</v>
      </c>
      <c r="AA1418" s="45">
        <v>43429</v>
      </c>
      <c r="AB1418" s="16"/>
    </row>
    <row r="1419" spans="1:28" ht="15" customHeight="1">
      <c r="A1419" s="290"/>
      <c r="C1419" s="16">
        <v>101</v>
      </c>
      <c r="D1419" s="2">
        <v>22196</v>
      </c>
      <c r="E1419" s="2" t="s">
        <v>562</v>
      </c>
      <c r="F1419" s="3">
        <v>29510222102836</v>
      </c>
      <c r="G1419" s="16" t="s">
        <v>34</v>
      </c>
      <c r="H1419" s="2" t="s">
        <v>578</v>
      </c>
      <c r="I1419" s="2" t="s">
        <v>66</v>
      </c>
      <c r="J1419" s="4">
        <v>43400</v>
      </c>
      <c r="K1419" s="16" t="s">
        <v>8</v>
      </c>
      <c r="L1419" s="16" t="s">
        <v>12</v>
      </c>
      <c r="M1419" s="2" t="s">
        <v>472</v>
      </c>
      <c r="W1419" s="16" t="s">
        <v>63</v>
      </c>
      <c r="Z1419" s="16" t="s">
        <v>67</v>
      </c>
    </row>
    <row r="1420" spans="1:28" ht="15" customHeight="1">
      <c r="A1420" s="290"/>
      <c r="C1420" s="16">
        <v>101</v>
      </c>
      <c r="D1420" s="2">
        <v>22197</v>
      </c>
      <c r="E1420" s="2" t="s">
        <v>563</v>
      </c>
      <c r="F1420" s="3">
        <v>28312288800704</v>
      </c>
      <c r="G1420" s="2" t="s">
        <v>34</v>
      </c>
      <c r="H1420" s="2" t="s">
        <v>579</v>
      </c>
      <c r="I1420" s="2" t="s">
        <v>66</v>
      </c>
      <c r="J1420" s="4">
        <v>43400</v>
      </c>
      <c r="K1420" s="16" t="s">
        <v>8</v>
      </c>
      <c r="L1420" s="16" t="s">
        <v>12</v>
      </c>
      <c r="M1420" s="2" t="s">
        <v>105</v>
      </c>
      <c r="W1420" s="16" t="s">
        <v>61</v>
      </c>
      <c r="Y1420" s="7">
        <v>43426</v>
      </c>
      <c r="Z1420" s="16" t="s">
        <v>66</v>
      </c>
      <c r="AA1420" s="7">
        <v>43429</v>
      </c>
    </row>
    <row r="1421" spans="1:28" ht="15" customHeight="1">
      <c r="A1421" s="290"/>
      <c r="C1421" s="16">
        <v>101</v>
      </c>
      <c r="D1421" s="16">
        <v>22198</v>
      </c>
      <c r="E1421" s="16" t="s">
        <v>564</v>
      </c>
      <c r="F1421" s="3">
        <v>29405051400495</v>
      </c>
      <c r="G1421" s="16" t="s">
        <v>34</v>
      </c>
      <c r="H1421" s="16" t="s">
        <v>580</v>
      </c>
      <c r="I1421" s="16" t="s">
        <v>66</v>
      </c>
      <c r="J1421" s="45">
        <v>43400</v>
      </c>
      <c r="K1421" s="16" t="s">
        <v>8</v>
      </c>
      <c r="L1421" s="16" t="s">
        <v>12</v>
      </c>
      <c r="M1421" s="16" t="s">
        <v>55</v>
      </c>
      <c r="N1421" s="16"/>
      <c r="W1421" s="16" t="s">
        <v>61</v>
      </c>
      <c r="X1421" s="16"/>
      <c r="Y1421" s="45">
        <v>43426</v>
      </c>
      <c r="Z1421" s="16" t="s">
        <v>66</v>
      </c>
      <c r="AA1421" s="45">
        <v>43429</v>
      </c>
      <c r="AB1421" s="16"/>
    </row>
    <row r="1422" spans="1:28" ht="15" customHeight="1">
      <c r="A1422" s="290"/>
      <c r="C1422" s="16">
        <v>101</v>
      </c>
      <c r="D1422" s="16">
        <v>22199</v>
      </c>
      <c r="E1422" s="16" t="s">
        <v>565</v>
      </c>
      <c r="F1422" s="3">
        <v>29607041600889</v>
      </c>
      <c r="G1422" s="16" t="s">
        <v>34</v>
      </c>
      <c r="H1422" s="16" t="s">
        <v>581</v>
      </c>
      <c r="I1422" s="16" t="s">
        <v>66</v>
      </c>
      <c r="J1422" s="45">
        <v>43400</v>
      </c>
      <c r="K1422" s="16" t="s">
        <v>8</v>
      </c>
      <c r="L1422" s="16" t="s">
        <v>12</v>
      </c>
      <c r="M1422" s="16" t="s">
        <v>15</v>
      </c>
      <c r="N1422" s="16"/>
      <c r="W1422" s="16" t="s">
        <v>111</v>
      </c>
      <c r="X1422" s="16"/>
      <c r="Y1422" s="45">
        <v>43426</v>
      </c>
      <c r="Z1422" s="16" t="s">
        <v>66</v>
      </c>
      <c r="AA1422" s="45">
        <v>43429</v>
      </c>
      <c r="AB1422" s="16"/>
    </row>
    <row r="1423" spans="1:28" ht="15" customHeight="1">
      <c r="A1423" s="290"/>
      <c r="C1423" s="16">
        <v>101</v>
      </c>
      <c r="D1423" s="2">
        <v>22200</v>
      </c>
      <c r="E1423" s="2" t="s">
        <v>566</v>
      </c>
      <c r="F1423" s="3">
        <v>29509221800477</v>
      </c>
      <c r="G1423" s="16" t="s">
        <v>34</v>
      </c>
      <c r="H1423" s="2" t="s">
        <v>582</v>
      </c>
      <c r="I1423" s="2" t="s">
        <v>66</v>
      </c>
      <c r="J1423" s="4">
        <v>43400</v>
      </c>
      <c r="K1423" s="16" t="s">
        <v>8</v>
      </c>
      <c r="L1423" s="16" t="s">
        <v>12</v>
      </c>
      <c r="M1423" s="2" t="s">
        <v>197</v>
      </c>
      <c r="W1423" s="16" t="s">
        <v>150</v>
      </c>
      <c r="Y1423" s="7">
        <v>43426</v>
      </c>
      <c r="Z1423" s="16" t="s">
        <v>66</v>
      </c>
      <c r="AA1423" s="7">
        <v>43437</v>
      </c>
      <c r="AB1423" s="2" t="s">
        <v>6518</v>
      </c>
    </row>
    <row r="1424" spans="1:28" ht="15" customHeight="1">
      <c r="A1424" s="290"/>
      <c r="C1424" s="16">
        <v>101</v>
      </c>
      <c r="D1424" s="2">
        <v>22201</v>
      </c>
      <c r="E1424" s="2" t="s">
        <v>567</v>
      </c>
      <c r="F1424" s="3">
        <v>29011012306815</v>
      </c>
      <c r="G1424" s="16" t="s">
        <v>34</v>
      </c>
      <c r="H1424" s="2" t="s">
        <v>583</v>
      </c>
      <c r="I1424" s="2" t="s">
        <v>66</v>
      </c>
      <c r="J1424" s="4">
        <v>43400</v>
      </c>
      <c r="K1424" s="16" t="s">
        <v>8</v>
      </c>
      <c r="L1424" s="16" t="s">
        <v>12</v>
      </c>
      <c r="M1424" s="2" t="s">
        <v>55</v>
      </c>
      <c r="W1424" s="16" t="s">
        <v>111</v>
      </c>
      <c r="Y1424" s="7">
        <v>43426</v>
      </c>
      <c r="Z1424" s="16" t="s">
        <v>66</v>
      </c>
      <c r="AA1424" s="7">
        <v>43429</v>
      </c>
    </row>
    <row r="1425" spans="1:36" ht="15" customHeight="1" thickBot="1">
      <c r="A1425" s="291"/>
      <c r="C1425" s="28">
        <v>101</v>
      </c>
      <c r="D1425" s="28">
        <v>22202</v>
      </c>
      <c r="E1425" s="28" t="s">
        <v>568</v>
      </c>
      <c r="F1425" s="29">
        <v>29501062100794</v>
      </c>
      <c r="G1425" s="28" t="s">
        <v>34</v>
      </c>
      <c r="H1425" s="28" t="s">
        <v>584</v>
      </c>
      <c r="I1425" s="28" t="s">
        <v>66</v>
      </c>
      <c r="J1425" s="30">
        <v>43400</v>
      </c>
      <c r="K1425" s="28" t="s">
        <v>8</v>
      </c>
      <c r="L1425" s="28" t="s">
        <v>12</v>
      </c>
      <c r="M1425" s="28" t="s">
        <v>105</v>
      </c>
      <c r="N1425" s="28"/>
      <c r="O1425" s="226"/>
      <c r="P1425" s="28"/>
      <c r="Q1425" s="226"/>
      <c r="R1425" s="28"/>
      <c r="S1425" s="28"/>
      <c r="T1425" s="28"/>
      <c r="U1425" s="28"/>
      <c r="V1425" s="28"/>
      <c r="W1425" s="28" t="s">
        <v>63</v>
      </c>
      <c r="X1425" s="28"/>
      <c r="Y1425" s="30"/>
      <c r="Z1425" s="28" t="s">
        <v>67</v>
      </c>
      <c r="AA1425" s="30"/>
      <c r="AB1425" s="28"/>
    </row>
    <row r="1426" spans="1:36" ht="15" customHeight="1" thickTop="1">
      <c r="A1426" s="289" t="s">
        <v>3124</v>
      </c>
      <c r="C1426" s="16">
        <v>102</v>
      </c>
      <c r="D1426" s="2">
        <v>22203</v>
      </c>
      <c r="E1426" s="2" t="s">
        <v>586</v>
      </c>
      <c r="F1426" s="3">
        <v>29609280104195</v>
      </c>
      <c r="G1426" s="16" t="s">
        <v>34</v>
      </c>
      <c r="H1426" s="2" t="s">
        <v>604</v>
      </c>
      <c r="I1426" s="2" t="s">
        <v>66</v>
      </c>
      <c r="J1426" s="4">
        <v>43407</v>
      </c>
      <c r="K1426" s="16" t="s">
        <v>8</v>
      </c>
      <c r="L1426" s="16" t="s">
        <v>12</v>
      </c>
      <c r="M1426" s="2" t="s">
        <v>13</v>
      </c>
      <c r="W1426" s="16" t="s">
        <v>150</v>
      </c>
      <c r="Y1426" s="7">
        <v>43433</v>
      </c>
      <c r="Z1426" s="16" t="s">
        <v>66</v>
      </c>
      <c r="AA1426" s="7">
        <v>43444</v>
      </c>
      <c r="AD1426" s="296" t="s">
        <v>4508</v>
      </c>
      <c r="AE1426" s="296"/>
      <c r="AF1426" s="296"/>
      <c r="AG1426" s="296"/>
      <c r="AH1426" s="296"/>
      <c r="AI1426" s="296"/>
      <c r="AJ1426" s="99"/>
    </row>
    <row r="1427" spans="1:36" ht="15" customHeight="1">
      <c r="A1427" s="290"/>
      <c r="C1427" s="16">
        <v>102</v>
      </c>
      <c r="D1427" s="2">
        <v>22204</v>
      </c>
      <c r="E1427" s="2" t="s">
        <v>587</v>
      </c>
      <c r="F1427" s="3">
        <v>29112250100517</v>
      </c>
      <c r="G1427" s="16" t="s">
        <v>34</v>
      </c>
      <c r="H1427" s="2" t="s">
        <v>605</v>
      </c>
      <c r="I1427" s="2" t="s">
        <v>66</v>
      </c>
      <c r="J1427" s="4">
        <v>43407</v>
      </c>
      <c r="K1427" s="16" t="s">
        <v>8</v>
      </c>
      <c r="L1427" s="16" t="s">
        <v>12</v>
      </c>
      <c r="M1427" s="2" t="s">
        <v>103</v>
      </c>
      <c r="W1427" s="16" t="s">
        <v>64</v>
      </c>
      <c r="Z1427" s="16" t="s">
        <v>67</v>
      </c>
      <c r="AD1427" s="100" t="s">
        <v>4505</v>
      </c>
      <c r="AE1427" s="101" t="s">
        <v>4506</v>
      </c>
      <c r="AF1427" s="68"/>
      <c r="AG1427" s="100" t="s">
        <v>34</v>
      </c>
      <c r="AH1427" s="100" t="s">
        <v>3817</v>
      </c>
      <c r="AI1427" s="101" t="s">
        <v>4507</v>
      </c>
    </row>
    <row r="1428" spans="1:36" ht="15" customHeight="1">
      <c r="A1428" s="290"/>
      <c r="C1428" s="16">
        <v>102</v>
      </c>
      <c r="D1428" s="2">
        <v>22206</v>
      </c>
      <c r="E1428" s="2" t="s">
        <v>589</v>
      </c>
      <c r="F1428" s="3">
        <v>29809020100501</v>
      </c>
      <c r="G1428" s="2" t="s">
        <v>4</v>
      </c>
      <c r="H1428" s="2" t="s">
        <v>607</v>
      </c>
      <c r="I1428" s="2" t="s">
        <v>66</v>
      </c>
      <c r="J1428" s="4">
        <v>43407</v>
      </c>
      <c r="K1428" s="16" t="s">
        <v>8</v>
      </c>
      <c r="L1428" s="16" t="s">
        <v>12</v>
      </c>
      <c r="M1428" s="2" t="s">
        <v>103</v>
      </c>
      <c r="W1428" s="16" t="s">
        <v>170</v>
      </c>
      <c r="X1428" s="2" t="s">
        <v>66</v>
      </c>
      <c r="Y1428" s="7">
        <v>43445</v>
      </c>
      <c r="Z1428" s="16" t="s">
        <v>66</v>
      </c>
      <c r="AA1428" s="7">
        <v>43451</v>
      </c>
      <c r="AD1428" s="46">
        <v>91</v>
      </c>
      <c r="AE1428" s="46">
        <f>COUNTIF(W1426:W1545,"Resigned")+COUNTIF(W1426:W1545,"Dismissed")</f>
        <v>11</v>
      </c>
      <c r="AF1428" s="68"/>
      <c r="AG1428" s="46">
        <f>AD1428-AE1428</f>
        <v>80</v>
      </c>
      <c r="AH1428" s="46">
        <v>71</v>
      </c>
      <c r="AI1428" s="46">
        <v>19</v>
      </c>
    </row>
    <row r="1429" spans="1:36" ht="15" customHeight="1">
      <c r="A1429" s="290"/>
      <c r="C1429" s="16">
        <v>102</v>
      </c>
      <c r="D1429" s="2">
        <v>22207</v>
      </c>
      <c r="E1429" s="2" t="s">
        <v>590</v>
      </c>
      <c r="F1429" s="3">
        <v>28809038800182</v>
      </c>
      <c r="G1429" s="16" t="s">
        <v>184</v>
      </c>
      <c r="H1429" s="2" t="s">
        <v>608</v>
      </c>
      <c r="I1429" s="2" t="s">
        <v>66</v>
      </c>
      <c r="J1429" s="4">
        <v>43407</v>
      </c>
      <c r="K1429" s="16" t="s">
        <v>8</v>
      </c>
      <c r="L1429" s="16" t="s">
        <v>12</v>
      </c>
      <c r="M1429" s="2" t="s">
        <v>197</v>
      </c>
      <c r="W1429" s="16" t="s">
        <v>170</v>
      </c>
      <c r="X1429" s="2" t="s">
        <v>66</v>
      </c>
      <c r="Y1429" s="7">
        <v>43445</v>
      </c>
      <c r="Z1429" s="16" t="s">
        <v>66</v>
      </c>
      <c r="AA1429" s="7">
        <v>43451</v>
      </c>
    </row>
    <row r="1430" spans="1:36" ht="14.25" customHeight="1">
      <c r="A1430" s="290"/>
      <c r="C1430" s="16">
        <v>102</v>
      </c>
      <c r="D1430" s="2">
        <v>22208</v>
      </c>
      <c r="E1430" s="2" t="s">
        <v>591</v>
      </c>
      <c r="F1430" s="3">
        <v>29308281501015</v>
      </c>
      <c r="G1430" s="16" t="s">
        <v>34</v>
      </c>
      <c r="H1430" s="2" t="s">
        <v>609</v>
      </c>
      <c r="I1430" s="2" t="s">
        <v>66</v>
      </c>
      <c r="J1430" s="4">
        <v>43407</v>
      </c>
      <c r="K1430" s="16" t="s">
        <v>8</v>
      </c>
      <c r="L1430" s="16" t="s">
        <v>12</v>
      </c>
      <c r="M1430" s="2" t="s">
        <v>197</v>
      </c>
      <c r="W1430" s="16" t="s">
        <v>61</v>
      </c>
      <c r="X1430" s="2" t="s">
        <v>66</v>
      </c>
      <c r="Y1430" s="7">
        <v>43445</v>
      </c>
      <c r="Z1430" s="16" t="s">
        <v>66</v>
      </c>
      <c r="AA1430" s="7">
        <v>43444</v>
      </c>
      <c r="AD1430" s="297" t="s">
        <v>4504</v>
      </c>
      <c r="AE1430" s="297"/>
      <c r="AF1430" s="44"/>
      <c r="AG1430" s="298" t="s">
        <v>502</v>
      </c>
      <c r="AH1430" s="298"/>
    </row>
    <row r="1431" spans="1:36" ht="15" customHeight="1">
      <c r="A1431" s="290"/>
      <c r="C1431" s="16">
        <v>102</v>
      </c>
      <c r="D1431" s="2">
        <v>22209</v>
      </c>
      <c r="E1431" s="2" t="s">
        <v>592</v>
      </c>
      <c r="F1431" s="3">
        <v>29606210100631</v>
      </c>
      <c r="G1431" s="16" t="s">
        <v>4</v>
      </c>
      <c r="H1431" s="2" t="s">
        <v>610</v>
      </c>
      <c r="I1431" s="2" t="s">
        <v>66</v>
      </c>
      <c r="J1431" s="4">
        <v>43407</v>
      </c>
      <c r="K1431" s="16" t="s">
        <v>8</v>
      </c>
      <c r="L1431" s="16" t="s">
        <v>12</v>
      </c>
      <c r="M1431" s="2" t="s">
        <v>197</v>
      </c>
      <c r="W1431" s="16" t="s">
        <v>64</v>
      </c>
      <c r="Z1431" s="16" t="s">
        <v>67</v>
      </c>
      <c r="AD1431" s="295">
        <v>18</v>
      </c>
      <c r="AE1431" s="295"/>
      <c r="AF1431" s="44"/>
      <c r="AG1431" s="295">
        <f>COUNTIF(W1426:W1545,"WU")+COUNTIF(W1426:W1545,"Comp. WU")+COUNTIF(W1426:W1545,"Expedia/WU")</f>
        <v>6</v>
      </c>
      <c r="AH1431" s="295"/>
    </row>
    <row r="1432" spans="1:36" ht="15" customHeight="1">
      <c r="A1432" s="290"/>
      <c r="C1432" s="16">
        <v>102</v>
      </c>
      <c r="D1432" s="16">
        <v>22210</v>
      </c>
      <c r="E1432" s="16" t="s">
        <v>593</v>
      </c>
      <c r="F1432" s="3">
        <v>28909110100817</v>
      </c>
      <c r="G1432" s="16" t="s">
        <v>34</v>
      </c>
      <c r="H1432" s="16" t="s">
        <v>611</v>
      </c>
      <c r="I1432" s="16" t="s">
        <v>66</v>
      </c>
      <c r="J1432" s="45">
        <v>43407</v>
      </c>
      <c r="K1432" s="16" t="s">
        <v>8</v>
      </c>
      <c r="L1432" s="16" t="s">
        <v>12</v>
      </c>
      <c r="M1432" s="16" t="s">
        <v>103</v>
      </c>
      <c r="N1432" s="16"/>
      <c r="W1432" s="16" t="s">
        <v>64</v>
      </c>
      <c r="X1432" s="16"/>
      <c r="Y1432" s="45"/>
      <c r="Z1432" s="16" t="s">
        <v>67</v>
      </c>
      <c r="AA1432" s="45"/>
      <c r="AB1432" s="16"/>
      <c r="AD1432" s="44"/>
      <c r="AE1432" s="44"/>
      <c r="AF1432" s="44"/>
      <c r="AG1432" s="44"/>
      <c r="AH1432" s="44"/>
    </row>
    <row r="1433" spans="1:36" ht="15" customHeight="1">
      <c r="A1433" s="290"/>
      <c r="C1433" s="16">
        <v>102</v>
      </c>
      <c r="D1433" s="2">
        <v>22211</v>
      </c>
      <c r="E1433" s="2" t="s">
        <v>594</v>
      </c>
      <c r="F1433" s="3">
        <v>29602160102305</v>
      </c>
      <c r="G1433" s="16" t="s">
        <v>34</v>
      </c>
      <c r="H1433" s="2" t="s">
        <v>612</v>
      </c>
      <c r="I1433" s="2" t="s">
        <v>66</v>
      </c>
      <c r="J1433" s="4">
        <v>43407</v>
      </c>
      <c r="K1433" s="16" t="s">
        <v>8</v>
      </c>
      <c r="L1433" s="16" t="s">
        <v>12</v>
      </c>
      <c r="M1433" s="2" t="s">
        <v>103</v>
      </c>
      <c r="W1433" s="16" t="s">
        <v>61</v>
      </c>
      <c r="Y1433" s="7">
        <v>43433</v>
      </c>
      <c r="Z1433" s="16" t="s">
        <v>66</v>
      </c>
      <c r="AA1433" s="7">
        <v>43444</v>
      </c>
      <c r="AD1433" s="299" t="s">
        <v>4503</v>
      </c>
      <c r="AE1433" s="299"/>
      <c r="AF1433" s="44"/>
      <c r="AG1433" s="300" t="s">
        <v>4502</v>
      </c>
      <c r="AH1433" s="300"/>
    </row>
    <row r="1434" spans="1:36" ht="15" customHeight="1">
      <c r="A1434" s="290"/>
      <c r="C1434" s="16">
        <v>102</v>
      </c>
      <c r="D1434" s="2">
        <v>22212</v>
      </c>
      <c r="E1434" s="2" t="s">
        <v>595</v>
      </c>
      <c r="F1434" s="3">
        <v>29211020103752</v>
      </c>
      <c r="G1434" s="2" t="s">
        <v>34</v>
      </c>
      <c r="H1434" s="2" t="s">
        <v>613</v>
      </c>
      <c r="I1434" s="2" t="s">
        <v>66</v>
      </c>
      <c r="J1434" s="4">
        <v>43407</v>
      </c>
      <c r="K1434" s="16" t="s">
        <v>8</v>
      </c>
      <c r="L1434" s="16" t="s">
        <v>12</v>
      </c>
      <c r="M1434" s="2" t="s">
        <v>622</v>
      </c>
      <c r="W1434" s="16" t="s">
        <v>61</v>
      </c>
      <c r="Y1434" s="7">
        <v>43433</v>
      </c>
      <c r="Z1434" s="16" t="s">
        <v>66</v>
      </c>
      <c r="AA1434" s="7">
        <v>43458</v>
      </c>
      <c r="AB1434" s="2" t="s">
        <v>802</v>
      </c>
      <c r="AD1434" s="295">
        <v>32</v>
      </c>
      <c r="AE1434" s="295"/>
      <c r="AF1434" s="44"/>
      <c r="AG1434" s="295">
        <v>18</v>
      </c>
      <c r="AH1434" s="295"/>
    </row>
    <row r="1435" spans="1:36" ht="15" customHeight="1">
      <c r="A1435" s="290"/>
      <c r="C1435" s="16">
        <v>102</v>
      </c>
      <c r="D1435" s="2">
        <v>22213</v>
      </c>
      <c r="E1435" s="2" t="s">
        <v>596</v>
      </c>
      <c r="F1435" s="3">
        <v>29605170101781</v>
      </c>
      <c r="G1435" s="2" t="s">
        <v>34</v>
      </c>
      <c r="H1435" s="2" t="s">
        <v>614</v>
      </c>
      <c r="I1435" s="2" t="s">
        <v>66</v>
      </c>
      <c r="J1435" s="4">
        <v>43407</v>
      </c>
      <c r="K1435" s="16" t="s">
        <v>8</v>
      </c>
      <c r="L1435" s="16" t="s">
        <v>12</v>
      </c>
      <c r="M1435" s="2" t="s">
        <v>623</v>
      </c>
      <c r="W1435" s="16" t="s">
        <v>61</v>
      </c>
      <c r="Y1435" s="7">
        <v>43433</v>
      </c>
      <c r="Z1435" s="16" t="s">
        <v>66</v>
      </c>
      <c r="AA1435" s="7">
        <v>43444</v>
      </c>
      <c r="AB1435" s="2" t="s">
        <v>5411</v>
      </c>
    </row>
    <row r="1436" spans="1:36" ht="15" customHeight="1">
      <c r="A1436" s="290"/>
      <c r="C1436" s="16">
        <v>102</v>
      </c>
      <c r="D1436" s="2">
        <v>22214</v>
      </c>
      <c r="E1436" s="2" t="s">
        <v>597</v>
      </c>
      <c r="F1436" s="3">
        <v>30004220101355</v>
      </c>
      <c r="G1436" s="2" t="s">
        <v>4</v>
      </c>
      <c r="H1436" s="2" t="s">
        <v>615</v>
      </c>
      <c r="I1436" s="2" t="s">
        <v>66</v>
      </c>
      <c r="J1436" s="4">
        <v>43407</v>
      </c>
      <c r="K1436" s="16" t="s">
        <v>8</v>
      </c>
      <c r="L1436" s="16" t="s">
        <v>12</v>
      </c>
      <c r="M1436" s="2" t="s">
        <v>109</v>
      </c>
      <c r="W1436" s="16" t="s">
        <v>171</v>
      </c>
      <c r="Y1436" s="7">
        <v>43433</v>
      </c>
      <c r="Z1436" s="16" t="s">
        <v>66</v>
      </c>
      <c r="AA1436" s="7">
        <v>43444</v>
      </c>
      <c r="AE1436" s="301" t="s">
        <v>4509</v>
      </c>
      <c r="AF1436" s="301"/>
      <c r="AG1436" s="301"/>
    </row>
    <row r="1437" spans="1:36" ht="15" customHeight="1">
      <c r="A1437" s="290"/>
      <c r="C1437" s="16">
        <v>102</v>
      </c>
      <c r="D1437" s="2">
        <v>22215</v>
      </c>
      <c r="E1437" s="2" t="s">
        <v>598</v>
      </c>
      <c r="F1437" s="3">
        <v>28907171300101</v>
      </c>
      <c r="G1437" s="2" t="s">
        <v>34</v>
      </c>
      <c r="H1437" s="2" t="s">
        <v>616</v>
      </c>
      <c r="I1437" s="2" t="s">
        <v>66</v>
      </c>
      <c r="J1437" s="4">
        <v>43407</v>
      </c>
      <c r="K1437" s="16" t="s">
        <v>8</v>
      </c>
      <c r="L1437" s="16" t="s">
        <v>12</v>
      </c>
      <c r="M1437" s="2" t="s">
        <v>14</v>
      </c>
      <c r="W1437" s="16" t="s">
        <v>61</v>
      </c>
      <c r="Y1437" s="7">
        <v>43433</v>
      </c>
      <c r="Z1437" s="16" t="s">
        <v>66</v>
      </c>
      <c r="AA1437" s="7">
        <v>43444</v>
      </c>
      <c r="AE1437" s="295">
        <f>COUNTIF(W1426:W1545,"Local/Domestic")</f>
        <v>5</v>
      </c>
      <c r="AF1437" s="295"/>
      <c r="AG1437" s="295"/>
    </row>
    <row r="1438" spans="1:36" ht="15" customHeight="1">
      <c r="A1438" s="290"/>
      <c r="C1438" s="16">
        <v>102</v>
      </c>
      <c r="D1438" s="2">
        <v>22216</v>
      </c>
      <c r="E1438" s="2" t="s">
        <v>599</v>
      </c>
      <c r="F1438" s="3">
        <v>29604200101261</v>
      </c>
      <c r="G1438" s="16" t="s">
        <v>34</v>
      </c>
      <c r="H1438" s="2" t="s">
        <v>617</v>
      </c>
      <c r="I1438" s="2" t="s">
        <v>66</v>
      </c>
      <c r="J1438" s="4">
        <v>43407</v>
      </c>
      <c r="K1438" s="16" t="s">
        <v>8</v>
      </c>
      <c r="L1438" s="16" t="s">
        <v>12</v>
      </c>
      <c r="M1438" s="2" t="s">
        <v>15</v>
      </c>
      <c r="W1438" s="16" t="s">
        <v>61</v>
      </c>
      <c r="Y1438" s="7">
        <v>43433</v>
      </c>
      <c r="Z1438" s="16" t="s">
        <v>66</v>
      </c>
      <c r="AA1438" s="7">
        <v>43444</v>
      </c>
    </row>
    <row r="1439" spans="1:36" ht="15" customHeight="1">
      <c r="A1439" s="290"/>
      <c r="C1439" s="16">
        <v>102</v>
      </c>
      <c r="D1439" s="16">
        <v>22217</v>
      </c>
      <c r="E1439" s="16" t="s">
        <v>600</v>
      </c>
      <c r="F1439" s="3">
        <v>29508032102703</v>
      </c>
      <c r="G1439" s="16" t="s">
        <v>34</v>
      </c>
      <c r="H1439" s="16" t="s">
        <v>618</v>
      </c>
      <c r="I1439" s="16" t="s">
        <v>66</v>
      </c>
      <c r="J1439" s="45">
        <v>43407</v>
      </c>
      <c r="K1439" s="16" t="s">
        <v>8</v>
      </c>
      <c r="L1439" s="16" t="s">
        <v>12</v>
      </c>
      <c r="M1439" s="16" t="s">
        <v>624</v>
      </c>
      <c r="N1439" s="16"/>
      <c r="W1439" s="16" t="s">
        <v>61</v>
      </c>
      <c r="X1439" s="16" t="s">
        <v>66</v>
      </c>
      <c r="Y1439" s="45">
        <v>43446</v>
      </c>
      <c r="Z1439" s="16" t="s">
        <v>66</v>
      </c>
      <c r="AA1439" s="45">
        <v>43458</v>
      </c>
      <c r="AB1439" s="16" t="s">
        <v>802</v>
      </c>
    </row>
    <row r="1440" spans="1:36" ht="15" customHeight="1">
      <c r="A1440" s="290"/>
      <c r="C1440" s="16">
        <v>102</v>
      </c>
      <c r="D1440" s="16">
        <v>22218</v>
      </c>
      <c r="E1440" s="16" t="s">
        <v>601</v>
      </c>
      <c r="F1440" s="3">
        <v>29904262702338</v>
      </c>
      <c r="G1440" s="16" t="s">
        <v>4</v>
      </c>
      <c r="H1440" s="16" t="s">
        <v>619</v>
      </c>
      <c r="I1440" s="16" t="s">
        <v>66</v>
      </c>
      <c r="J1440" s="45">
        <v>43407</v>
      </c>
      <c r="K1440" s="16" t="s">
        <v>8</v>
      </c>
      <c r="L1440" s="16" t="s">
        <v>12</v>
      </c>
      <c r="M1440" s="16" t="s">
        <v>16</v>
      </c>
      <c r="N1440" s="16"/>
      <c r="W1440" s="16" t="s">
        <v>61</v>
      </c>
      <c r="X1440" s="16"/>
      <c r="Y1440" s="45">
        <v>43433</v>
      </c>
      <c r="Z1440" s="16" t="s">
        <v>66</v>
      </c>
      <c r="AA1440" s="45">
        <v>43458</v>
      </c>
      <c r="AB1440" s="16" t="s">
        <v>802</v>
      </c>
    </row>
    <row r="1441" spans="1:28" ht="15" customHeight="1">
      <c r="A1441" s="290"/>
      <c r="C1441" s="16">
        <v>102</v>
      </c>
      <c r="D1441" s="2">
        <v>22219</v>
      </c>
      <c r="E1441" s="2" t="s">
        <v>602</v>
      </c>
      <c r="F1441" s="3">
        <v>28711150104334</v>
      </c>
      <c r="G1441" s="2" t="s">
        <v>34</v>
      </c>
      <c r="H1441" s="2" t="s">
        <v>620</v>
      </c>
      <c r="I1441" s="2" t="s">
        <v>66</v>
      </c>
      <c r="J1441" s="4">
        <v>43407</v>
      </c>
      <c r="K1441" s="16" t="s">
        <v>8</v>
      </c>
      <c r="L1441" s="16" t="s">
        <v>12</v>
      </c>
      <c r="M1441" s="2" t="s">
        <v>109</v>
      </c>
      <c r="W1441" s="16" t="s">
        <v>170</v>
      </c>
      <c r="Y1441" s="7">
        <v>43433</v>
      </c>
      <c r="Z1441" s="16" t="s">
        <v>66</v>
      </c>
      <c r="AA1441" s="7">
        <v>43437</v>
      </c>
    </row>
    <row r="1442" spans="1:28" ht="15" customHeight="1" thickBot="1">
      <c r="A1442" s="291"/>
      <c r="C1442" s="28">
        <v>102</v>
      </c>
      <c r="D1442" s="28">
        <v>16679</v>
      </c>
      <c r="E1442" s="28" t="s">
        <v>603</v>
      </c>
      <c r="F1442" s="29">
        <v>28505158800551</v>
      </c>
      <c r="G1442" s="28" t="s">
        <v>34</v>
      </c>
      <c r="H1442" s="28" t="s">
        <v>621</v>
      </c>
      <c r="I1442" s="28" t="s">
        <v>67</v>
      </c>
      <c r="J1442" s="30">
        <v>43407</v>
      </c>
      <c r="K1442" s="28" t="s">
        <v>8</v>
      </c>
      <c r="L1442" s="28" t="s">
        <v>12</v>
      </c>
      <c r="M1442" s="28" t="s">
        <v>625</v>
      </c>
      <c r="N1442" s="28"/>
      <c r="O1442" s="226"/>
      <c r="P1442" s="28"/>
      <c r="Q1442" s="226"/>
      <c r="R1442" s="28"/>
      <c r="S1442" s="28"/>
      <c r="T1442" s="28"/>
      <c r="U1442" s="28"/>
      <c r="V1442" s="28"/>
      <c r="W1442" s="28" t="s">
        <v>170</v>
      </c>
      <c r="X1442" s="28"/>
      <c r="Y1442" s="30">
        <v>43433</v>
      </c>
      <c r="Z1442" s="28" t="s">
        <v>66</v>
      </c>
      <c r="AA1442" s="30">
        <v>43437</v>
      </c>
      <c r="AB1442" s="28" t="s">
        <v>3895</v>
      </c>
    </row>
    <row r="1443" spans="1:28" ht="15" customHeight="1" thickTop="1">
      <c r="A1443" s="289" t="s">
        <v>3128</v>
      </c>
      <c r="C1443" s="16">
        <v>103</v>
      </c>
      <c r="D1443" s="2">
        <v>22430</v>
      </c>
      <c r="E1443" s="2" t="s">
        <v>626</v>
      </c>
      <c r="F1443" s="3">
        <v>29308111900209</v>
      </c>
      <c r="G1443" s="2" t="s">
        <v>34</v>
      </c>
      <c r="H1443" s="2" t="s">
        <v>642</v>
      </c>
      <c r="I1443" s="2" t="s">
        <v>66</v>
      </c>
      <c r="J1443" s="4">
        <v>43414</v>
      </c>
      <c r="K1443" s="16" t="s">
        <v>8</v>
      </c>
      <c r="L1443" s="16" t="s">
        <v>12</v>
      </c>
      <c r="M1443" s="2" t="s">
        <v>656</v>
      </c>
      <c r="R1443" s="23">
        <v>3</v>
      </c>
      <c r="S1443" s="23">
        <v>3</v>
      </c>
      <c r="T1443" s="23">
        <v>2</v>
      </c>
      <c r="U1443" s="23">
        <v>1.5</v>
      </c>
      <c r="V1443" s="23">
        <v>2.5</v>
      </c>
      <c r="W1443" s="16" t="s">
        <v>62</v>
      </c>
      <c r="Y1443" s="7">
        <v>43440</v>
      </c>
      <c r="Z1443" s="16" t="s">
        <v>66</v>
      </c>
      <c r="AA1443" s="7">
        <v>43458</v>
      </c>
    </row>
    <row r="1444" spans="1:28" ht="15" customHeight="1">
      <c r="A1444" s="290"/>
      <c r="C1444" s="16">
        <v>103</v>
      </c>
      <c r="D1444" s="2">
        <v>22431</v>
      </c>
      <c r="E1444" s="2" t="s">
        <v>627</v>
      </c>
      <c r="F1444" s="3">
        <v>29701010124864</v>
      </c>
      <c r="G1444" s="16" t="s">
        <v>34</v>
      </c>
      <c r="H1444" s="2" t="s">
        <v>643</v>
      </c>
      <c r="I1444" s="2" t="s">
        <v>66</v>
      </c>
      <c r="J1444" s="4">
        <v>43414</v>
      </c>
      <c r="K1444" s="16" t="s">
        <v>8</v>
      </c>
      <c r="L1444" s="16" t="s">
        <v>12</v>
      </c>
      <c r="M1444" s="2" t="s">
        <v>657</v>
      </c>
      <c r="R1444" s="23">
        <v>3</v>
      </c>
      <c r="S1444" s="23">
        <v>2.5</v>
      </c>
      <c r="T1444" s="23">
        <v>2.5</v>
      </c>
      <c r="U1444" s="23">
        <v>2</v>
      </c>
      <c r="V1444" s="23">
        <v>3</v>
      </c>
      <c r="W1444" s="16" t="s">
        <v>61</v>
      </c>
      <c r="X1444" s="2" t="s">
        <v>66</v>
      </c>
      <c r="Y1444" s="7">
        <v>43474</v>
      </c>
      <c r="Z1444" s="16" t="s">
        <v>66</v>
      </c>
      <c r="AA1444" s="45">
        <v>43486</v>
      </c>
    </row>
    <row r="1445" spans="1:28" ht="15" customHeight="1">
      <c r="A1445" s="290"/>
      <c r="C1445" s="16">
        <v>103</v>
      </c>
      <c r="D1445" s="2">
        <v>22432</v>
      </c>
      <c r="E1445" s="2" t="s">
        <v>628</v>
      </c>
      <c r="F1445" s="3">
        <v>29307280102587</v>
      </c>
      <c r="G1445" s="2" t="s">
        <v>34</v>
      </c>
      <c r="H1445" s="2" t="s">
        <v>644</v>
      </c>
      <c r="I1445" s="2" t="s">
        <v>66</v>
      </c>
      <c r="J1445" s="4">
        <v>43414</v>
      </c>
      <c r="K1445" s="16" t="s">
        <v>8</v>
      </c>
      <c r="L1445" s="16" t="s">
        <v>12</v>
      </c>
      <c r="M1445" s="2" t="s">
        <v>658</v>
      </c>
      <c r="R1445" s="23">
        <v>3</v>
      </c>
      <c r="S1445" s="23">
        <v>2</v>
      </c>
      <c r="T1445" s="23">
        <v>2.5</v>
      </c>
      <c r="U1445" s="23">
        <v>2</v>
      </c>
      <c r="V1445" s="23">
        <v>3</v>
      </c>
      <c r="W1445" s="16" t="s">
        <v>62</v>
      </c>
      <c r="X1445" s="2" t="s">
        <v>66</v>
      </c>
      <c r="Y1445" s="45">
        <v>43474</v>
      </c>
      <c r="Z1445" s="16" t="s">
        <v>66</v>
      </c>
      <c r="AA1445" s="7">
        <v>43478</v>
      </c>
    </row>
    <row r="1446" spans="1:28" ht="15" customHeight="1">
      <c r="A1446" s="290"/>
      <c r="C1446" s="16">
        <v>103</v>
      </c>
      <c r="D1446" s="2">
        <v>22433</v>
      </c>
      <c r="E1446" s="2" t="s">
        <v>629</v>
      </c>
      <c r="F1446" s="3">
        <v>29211090101935</v>
      </c>
      <c r="G1446" s="16" t="s">
        <v>34</v>
      </c>
      <c r="H1446" s="2" t="s">
        <v>645</v>
      </c>
      <c r="I1446" s="2" t="s">
        <v>66</v>
      </c>
      <c r="J1446" s="4">
        <v>43414</v>
      </c>
      <c r="K1446" s="16" t="s">
        <v>8</v>
      </c>
      <c r="L1446" s="16" t="s">
        <v>12</v>
      </c>
      <c r="M1446" s="2" t="s">
        <v>15</v>
      </c>
      <c r="W1446" s="16" t="s">
        <v>63</v>
      </c>
      <c r="Y1446" s="45"/>
      <c r="Z1446" s="16" t="s">
        <v>67</v>
      </c>
    </row>
    <row r="1447" spans="1:28" ht="15" customHeight="1">
      <c r="A1447" s="290"/>
      <c r="C1447" s="16">
        <v>103</v>
      </c>
      <c r="D1447" s="2">
        <v>22434</v>
      </c>
      <c r="E1447" s="2" t="s">
        <v>630</v>
      </c>
      <c r="F1447" s="3">
        <v>28703078800409</v>
      </c>
      <c r="G1447" s="16" t="s">
        <v>34</v>
      </c>
      <c r="H1447" s="2" t="s">
        <v>646</v>
      </c>
      <c r="I1447" s="2" t="s">
        <v>66</v>
      </c>
      <c r="J1447" s="4">
        <v>43414</v>
      </c>
      <c r="K1447" s="16" t="s">
        <v>8</v>
      </c>
      <c r="L1447" s="16" t="s">
        <v>12</v>
      </c>
      <c r="M1447" s="2" t="s">
        <v>379</v>
      </c>
      <c r="R1447" s="23">
        <v>3</v>
      </c>
      <c r="S1447" s="23">
        <v>3</v>
      </c>
      <c r="T1447" s="23">
        <v>2</v>
      </c>
      <c r="U1447" s="23">
        <v>2</v>
      </c>
      <c r="V1447" s="23">
        <v>3</v>
      </c>
      <c r="W1447" s="16" t="s">
        <v>60</v>
      </c>
      <c r="X1447" s="2" t="s">
        <v>66</v>
      </c>
      <c r="Y1447" s="7">
        <v>43474</v>
      </c>
      <c r="Z1447" s="16" t="s">
        <v>66</v>
      </c>
      <c r="AA1447" s="7">
        <v>43515</v>
      </c>
      <c r="AB1447" s="2" t="s">
        <v>3962</v>
      </c>
    </row>
    <row r="1448" spans="1:28" ht="15" customHeight="1">
      <c r="A1448" s="290"/>
      <c r="C1448" s="16">
        <v>103</v>
      </c>
      <c r="D1448" s="16">
        <v>22435</v>
      </c>
      <c r="E1448" s="16" t="s">
        <v>631</v>
      </c>
      <c r="F1448" s="3">
        <v>29208310100993</v>
      </c>
      <c r="G1448" s="16" t="s">
        <v>34</v>
      </c>
      <c r="H1448" s="16" t="s">
        <v>647</v>
      </c>
      <c r="I1448" s="16" t="s">
        <v>66</v>
      </c>
      <c r="J1448" s="45">
        <v>43414</v>
      </c>
      <c r="K1448" s="16" t="s">
        <v>8</v>
      </c>
      <c r="L1448" s="16" t="s">
        <v>12</v>
      </c>
      <c r="M1448" s="16" t="s">
        <v>657</v>
      </c>
      <c r="N1448" s="16"/>
      <c r="R1448" s="23">
        <v>3</v>
      </c>
      <c r="S1448" s="23">
        <v>2</v>
      </c>
      <c r="T1448" s="23">
        <v>2</v>
      </c>
      <c r="U1448" s="23">
        <v>2</v>
      </c>
      <c r="V1448" s="23">
        <v>3</v>
      </c>
      <c r="W1448" s="16" t="s">
        <v>61</v>
      </c>
      <c r="X1448" s="16"/>
      <c r="Y1448" s="45">
        <v>43440</v>
      </c>
      <c r="Z1448" s="16" t="s">
        <v>66</v>
      </c>
      <c r="AA1448" s="45">
        <v>43458</v>
      </c>
      <c r="AB1448" s="16" t="s">
        <v>802</v>
      </c>
    </row>
    <row r="1449" spans="1:28" ht="15" customHeight="1">
      <c r="A1449" s="290"/>
      <c r="C1449" s="16">
        <v>103</v>
      </c>
      <c r="D1449" s="2">
        <v>22436</v>
      </c>
      <c r="E1449" s="2" t="s">
        <v>632</v>
      </c>
      <c r="F1449" s="3">
        <v>29410180102712</v>
      </c>
      <c r="G1449" s="2" t="s">
        <v>34</v>
      </c>
      <c r="H1449" s="2" t="s">
        <v>648</v>
      </c>
      <c r="I1449" s="2" t="s">
        <v>66</v>
      </c>
      <c r="J1449" s="4">
        <v>43414</v>
      </c>
      <c r="K1449" s="16" t="s">
        <v>8</v>
      </c>
      <c r="L1449" s="16" t="s">
        <v>12</v>
      </c>
      <c r="M1449" s="2" t="s">
        <v>109</v>
      </c>
      <c r="R1449" s="23">
        <v>3</v>
      </c>
      <c r="S1449" s="23">
        <v>2.5</v>
      </c>
      <c r="T1449" s="23">
        <v>2.5</v>
      </c>
      <c r="U1449" s="23">
        <v>2.5</v>
      </c>
      <c r="V1449" s="23">
        <v>3</v>
      </c>
      <c r="W1449" s="16" t="s">
        <v>61</v>
      </c>
      <c r="Y1449" s="7">
        <v>43440</v>
      </c>
      <c r="Z1449" s="16" t="s">
        <v>66</v>
      </c>
      <c r="AA1449" s="7">
        <v>43444</v>
      </c>
    </row>
    <row r="1450" spans="1:28" ht="15" customHeight="1">
      <c r="A1450" s="290"/>
      <c r="C1450" s="16">
        <v>103</v>
      </c>
      <c r="D1450" s="2">
        <v>22205</v>
      </c>
      <c r="E1450" s="2" t="s">
        <v>588</v>
      </c>
      <c r="F1450" s="3">
        <v>28601040102034</v>
      </c>
      <c r="G1450" s="2" t="s">
        <v>34</v>
      </c>
      <c r="H1450" s="2" t="s">
        <v>606</v>
      </c>
      <c r="I1450" s="2" t="s">
        <v>66</v>
      </c>
      <c r="J1450" s="4">
        <v>43414</v>
      </c>
      <c r="K1450" s="16" t="s">
        <v>8</v>
      </c>
      <c r="L1450" s="16" t="s">
        <v>12</v>
      </c>
      <c r="M1450" s="2" t="s">
        <v>658</v>
      </c>
      <c r="R1450" s="23">
        <v>3</v>
      </c>
      <c r="S1450" s="23">
        <v>2</v>
      </c>
      <c r="T1450" s="23">
        <v>2</v>
      </c>
      <c r="U1450" s="23">
        <v>2</v>
      </c>
      <c r="V1450" s="23">
        <v>2.5</v>
      </c>
      <c r="W1450" s="16" t="s">
        <v>61</v>
      </c>
      <c r="Y1450" s="7">
        <v>43440</v>
      </c>
      <c r="Z1450" s="16" t="s">
        <v>66</v>
      </c>
      <c r="AA1450" s="7">
        <v>43458</v>
      </c>
      <c r="AB1450" s="2" t="s">
        <v>802</v>
      </c>
    </row>
    <row r="1451" spans="1:28" ht="15" customHeight="1">
      <c r="A1451" s="290"/>
      <c r="C1451" s="16">
        <v>103</v>
      </c>
      <c r="D1451" s="2">
        <v>22437</v>
      </c>
      <c r="E1451" s="2" t="s">
        <v>633</v>
      </c>
      <c r="F1451" s="3" t="s">
        <v>634</v>
      </c>
      <c r="G1451" s="16" t="s">
        <v>3663</v>
      </c>
      <c r="H1451" s="2" t="s">
        <v>649</v>
      </c>
      <c r="I1451" s="2" t="s">
        <v>66</v>
      </c>
      <c r="J1451" s="4">
        <v>43414</v>
      </c>
      <c r="K1451" s="16" t="s">
        <v>8</v>
      </c>
      <c r="L1451" s="16" t="s">
        <v>12</v>
      </c>
      <c r="M1451" s="2" t="s">
        <v>489</v>
      </c>
      <c r="R1451" s="23">
        <v>3</v>
      </c>
      <c r="S1451" s="23">
        <v>3</v>
      </c>
      <c r="T1451" s="23">
        <v>3</v>
      </c>
      <c r="U1451" s="23">
        <v>3</v>
      </c>
      <c r="V1451" s="23">
        <v>3</v>
      </c>
      <c r="W1451" s="16" t="s">
        <v>150</v>
      </c>
      <c r="Y1451" s="7">
        <v>43440</v>
      </c>
      <c r="Z1451" s="16" t="s">
        <v>66</v>
      </c>
      <c r="AA1451" s="7">
        <v>43444</v>
      </c>
      <c r="AB1451" s="2" t="s">
        <v>502</v>
      </c>
    </row>
    <row r="1452" spans="1:28" ht="15" customHeight="1">
      <c r="A1452" s="290"/>
      <c r="C1452" s="16">
        <v>103</v>
      </c>
      <c r="D1452" s="2">
        <v>22438</v>
      </c>
      <c r="E1452" s="2" t="s">
        <v>635</v>
      </c>
      <c r="F1452" s="3">
        <v>29612248800229</v>
      </c>
      <c r="G1452" s="16" t="s">
        <v>34</v>
      </c>
      <c r="H1452" s="2" t="s">
        <v>650</v>
      </c>
      <c r="I1452" s="2" t="s">
        <v>66</v>
      </c>
      <c r="J1452" s="4">
        <v>43414</v>
      </c>
      <c r="K1452" s="16" t="s">
        <v>8</v>
      </c>
      <c r="L1452" s="16" t="s">
        <v>12</v>
      </c>
      <c r="M1452" s="2" t="s">
        <v>659</v>
      </c>
      <c r="R1452" s="23">
        <v>3</v>
      </c>
      <c r="S1452" s="23">
        <v>2.5</v>
      </c>
      <c r="T1452" s="23">
        <v>2</v>
      </c>
      <c r="U1452" s="23">
        <v>2.5</v>
      </c>
      <c r="V1452" s="23">
        <v>3</v>
      </c>
      <c r="W1452" s="16" t="s">
        <v>171</v>
      </c>
      <c r="Y1452" s="7">
        <v>43440</v>
      </c>
      <c r="Z1452" s="16" t="s">
        <v>66</v>
      </c>
      <c r="AA1452" s="7">
        <v>43444</v>
      </c>
    </row>
    <row r="1453" spans="1:28" ht="15" customHeight="1">
      <c r="A1453" s="290"/>
      <c r="C1453" s="16">
        <v>103</v>
      </c>
      <c r="D1453" s="16">
        <v>22439</v>
      </c>
      <c r="E1453" s="16" t="s">
        <v>636</v>
      </c>
      <c r="F1453" s="3">
        <v>29311108800067</v>
      </c>
      <c r="G1453" s="16" t="s">
        <v>34</v>
      </c>
      <c r="H1453" s="16" t="s">
        <v>651</v>
      </c>
      <c r="I1453" s="16" t="s">
        <v>66</v>
      </c>
      <c r="J1453" s="45">
        <v>43414</v>
      </c>
      <c r="K1453" s="16" t="s">
        <v>8</v>
      </c>
      <c r="L1453" s="16" t="s">
        <v>12</v>
      </c>
      <c r="M1453" s="16" t="s">
        <v>660</v>
      </c>
      <c r="N1453" s="16"/>
      <c r="R1453" s="23">
        <v>3</v>
      </c>
      <c r="S1453" s="23">
        <v>2.5</v>
      </c>
      <c r="T1453" s="23">
        <v>2</v>
      </c>
      <c r="U1453" s="23">
        <v>2.5</v>
      </c>
      <c r="V1453" s="23">
        <v>3</v>
      </c>
      <c r="W1453" s="16" t="s">
        <v>61</v>
      </c>
      <c r="X1453" s="16"/>
      <c r="Y1453" s="45">
        <v>43440</v>
      </c>
      <c r="Z1453" s="16" t="s">
        <v>66</v>
      </c>
      <c r="AA1453" s="45">
        <v>43444</v>
      </c>
      <c r="AB1453" s="16"/>
    </row>
    <row r="1454" spans="1:28" ht="15" customHeight="1">
      <c r="A1454" s="290"/>
      <c r="C1454" s="16">
        <v>103</v>
      </c>
      <c r="D1454" s="16">
        <v>22440</v>
      </c>
      <c r="E1454" s="16" t="s">
        <v>637</v>
      </c>
      <c r="F1454" s="3">
        <v>29412150102834</v>
      </c>
      <c r="G1454" s="16" t="s">
        <v>34</v>
      </c>
      <c r="H1454" s="16" t="s">
        <v>652</v>
      </c>
      <c r="I1454" s="16" t="s">
        <v>66</v>
      </c>
      <c r="J1454" s="45">
        <v>43414</v>
      </c>
      <c r="K1454" s="16" t="s">
        <v>8</v>
      </c>
      <c r="L1454" s="16" t="s">
        <v>12</v>
      </c>
      <c r="M1454" s="16" t="s">
        <v>660</v>
      </c>
      <c r="N1454" s="16"/>
      <c r="W1454" s="16" t="s">
        <v>63</v>
      </c>
      <c r="X1454" s="16"/>
      <c r="Y1454" s="45"/>
      <c r="Z1454" s="16" t="s">
        <v>67</v>
      </c>
      <c r="AA1454" s="45"/>
      <c r="AB1454" s="16"/>
    </row>
    <row r="1455" spans="1:28" ht="15" customHeight="1">
      <c r="A1455" s="290"/>
      <c r="C1455" s="16">
        <v>103</v>
      </c>
      <c r="D1455" s="16">
        <v>22441</v>
      </c>
      <c r="E1455" s="16" t="s">
        <v>638</v>
      </c>
      <c r="F1455" s="3">
        <v>29402228800171</v>
      </c>
      <c r="G1455" s="16" t="s">
        <v>34</v>
      </c>
      <c r="H1455" s="16" t="s">
        <v>653</v>
      </c>
      <c r="I1455" s="16" t="s">
        <v>66</v>
      </c>
      <c r="J1455" s="45">
        <v>43414</v>
      </c>
      <c r="K1455" s="16" t="s">
        <v>8</v>
      </c>
      <c r="L1455" s="16" t="s">
        <v>12</v>
      </c>
      <c r="M1455" s="16" t="s">
        <v>109</v>
      </c>
      <c r="N1455" s="16"/>
      <c r="R1455" s="23">
        <v>3</v>
      </c>
      <c r="S1455" s="23">
        <v>3</v>
      </c>
      <c r="T1455" s="23">
        <v>3</v>
      </c>
      <c r="U1455" s="23">
        <v>3</v>
      </c>
      <c r="V1455" s="23">
        <v>3</v>
      </c>
      <c r="W1455" s="16" t="s">
        <v>150</v>
      </c>
      <c r="X1455" s="16"/>
      <c r="Y1455" s="7">
        <v>43440</v>
      </c>
      <c r="Z1455" s="16" t="s">
        <v>66</v>
      </c>
      <c r="AA1455" s="45">
        <v>43487</v>
      </c>
      <c r="AB1455" s="16" t="s">
        <v>4220</v>
      </c>
    </row>
    <row r="1456" spans="1:28" ht="15" customHeight="1">
      <c r="A1456" s="290"/>
      <c r="C1456" s="16">
        <v>103</v>
      </c>
      <c r="D1456" s="2">
        <v>22442</v>
      </c>
      <c r="E1456" s="2" t="s">
        <v>639</v>
      </c>
      <c r="F1456" s="3">
        <v>29501250105396</v>
      </c>
      <c r="G1456" s="16" t="s">
        <v>34</v>
      </c>
      <c r="H1456" s="2" t="s">
        <v>654</v>
      </c>
      <c r="I1456" s="2" t="s">
        <v>66</v>
      </c>
      <c r="J1456" s="4">
        <v>43414</v>
      </c>
      <c r="K1456" s="16" t="s">
        <v>8</v>
      </c>
      <c r="L1456" s="16" t="s">
        <v>12</v>
      </c>
      <c r="M1456" s="2" t="s">
        <v>658</v>
      </c>
      <c r="R1456" s="23">
        <v>3</v>
      </c>
      <c r="S1456" s="23">
        <v>2</v>
      </c>
      <c r="T1456" s="23">
        <v>2</v>
      </c>
      <c r="U1456" s="23">
        <v>2</v>
      </c>
      <c r="V1456" s="23">
        <v>2.5</v>
      </c>
      <c r="W1456" s="16" t="s">
        <v>61</v>
      </c>
      <c r="Y1456" s="7">
        <v>43440</v>
      </c>
      <c r="Z1456" s="16" t="s">
        <v>66</v>
      </c>
      <c r="AA1456" s="7">
        <v>43458</v>
      </c>
      <c r="AB1456" s="2" t="s">
        <v>802</v>
      </c>
    </row>
    <row r="1457" spans="1:28" ht="15" customHeight="1">
      <c r="A1457" s="290"/>
      <c r="C1457" s="16">
        <v>103</v>
      </c>
      <c r="D1457" s="2">
        <v>22443</v>
      </c>
      <c r="E1457" s="2" t="s">
        <v>640</v>
      </c>
      <c r="F1457" s="3">
        <v>29003198800137</v>
      </c>
      <c r="G1457" s="16" t="s">
        <v>34</v>
      </c>
      <c r="H1457" s="2" t="s">
        <v>655</v>
      </c>
      <c r="I1457" s="2" t="s">
        <v>66</v>
      </c>
      <c r="J1457" s="4">
        <v>43414</v>
      </c>
      <c r="K1457" s="16" t="s">
        <v>8</v>
      </c>
      <c r="L1457" s="16" t="s">
        <v>12</v>
      </c>
      <c r="M1457" s="2" t="s">
        <v>376</v>
      </c>
      <c r="R1457" s="23">
        <v>3</v>
      </c>
      <c r="S1457" s="23">
        <v>3</v>
      </c>
      <c r="T1457" s="23">
        <v>2.5</v>
      </c>
      <c r="U1457" s="23">
        <v>2</v>
      </c>
      <c r="V1457" s="23">
        <v>3</v>
      </c>
      <c r="W1457" s="16" t="s">
        <v>61</v>
      </c>
      <c r="X1457" s="2" t="s">
        <v>66</v>
      </c>
      <c r="Y1457" s="7">
        <v>43458</v>
      </c>
      <c r="Z1457" s="16" t="s">
        <v>66</v>
      </c>
      <c r="AA1457" s="7">
        <v>43458</v>
      </c>
      <c r="AB1457" s="2" t="s">
        <v>803</v>
      </c>
    </row>
    <row r="1458" spans="1:28" ht="15.75" customHeight="1" thickBot="1">
      <c r="A1458" s="291"/>
      <c r="C1458" s="28">
        <v>103</v>
      </c>
      <c r="D1458" s="28"/>
      <c r="E1458" s="28" t="s">
        <v>641</v>
      </c>
      <c r="F1458" s="29"/>
      <c r="G1458" s="28"/>
      <c r="H1458" s="28"/>
      <c r="I1458" s="28" t="s">
        <v>67</v>
      </c>
      <c r="J1458" s="30" t="s">
        <v>330</v>
      </c>
      <c r="K1458" s="28" t="s">
        <v>8</v>
      </c>
      <c r="L1458" s="28" t="s">
        <v>12</v>
      </c>
      <c r="M1458" s="28"/>
      <c r="N1458" s="31" t="s">
        <v>317</v>
      </c>
      <c r="O1458" s="228"/>
      <c r="P1458" s="31"/>
      <c r="Q1458" s="228"/>
      <c r="R1458" s="28"/>
      <c r="S1458" s="28"/>
      <c r="T1458" s="28"/>
      <c r="U1458" s="28"/>
      <c r="V1458" s="28"/>
      <c r="W1458" s="28"/>
      <c r="X1458" s="28"/>
      <c r="Y1458" s="30"/>
      <c r="Z1458" s="28"/>
      <c r="AA1458" s="30"/>
      <c r="AB1458" s="28" t="s">
        <v>662</v>
      </c>
    </row>
    <row r="1459" spans="1:28" ht="15" customHeight="1" thickTop="1">
      <c r="A1459" s="289" t="s">
        <v>3123</v>
      </c>
      <c r="C1459" s="16">
        <v>104</v>
      </c>
      <c r="D1459" s="16">
        <v>22460</v>
      </c>
      <c r="E1459" s="16" t="s">
        <v>663</v>
      </c>
      <c r="F1459" s="3">
        <v>29510012112715</v>
      </c>
      <c r="G1459" s="16" t="s">
        <v>34</v>
      </c>
      <c r="H1459" s="16" t="s">
        <v>680</v>
      </c>
      <c r="I1459" s="16" t="s">
        <v>66</v>
      </c>
      <c r="J1459" s="45">
        <v>43421</v>
      </c>
      <c r="K1459" s="16" t="s">
        <v>8</v>
      </c>
      <c r="L1459" s="16" t="s">
        <v>12</v>
      </c>
      <c r="M1459" s="16" t="s">
        <v>53</v>
      </c>
      <c r="N1459" s="16"/>
      <c r="W1459" s="16" t="s">
        <v>63</v>
      </c>
      <c r="X1459" s="16"/>
      <c r="Y1459" s="45"/>
      <c r="Z1459" s="16" t="s">
        <v>67</v>
      </c>
      <c r="AA1459" s="45"/>
      <c r="AB1459" s="16"/>
    </row>
    <row r="1460" spans="1:28" ht="15" customHeight="1">
      <c r="A1460" s="290"/>
      <c r="C1460" s="16">
        <v>104</v>
      </c>
      <c r="D1460" s="2">
        <v>22461</v>
      </c>
      <c r="E1460" s="2" t="s">
        <v>664</v>
      </c>
      <c r="F1460" s="3">
        <v>29301010133032</v>
      </c>
      <c r="G1460" s="16" t="s">
        <v>34</v>
      </c>
      <c r="H1460" s="16" t="s">
        <v>681</v>
      </c>
      <c r="I1460" s="2" t="s">
        <v>66</v>
      </c>
      <c r="J1460" s="4">
        <v>43421</v>
      </c>
      <c r="K1460" s="16" t="s">
        <v>8</v>
      </c>
      <c r="L1460" s="16" t="s">
        <v>12</v>
      </c>
      <c r="M1460" s="2" t="s">
        <v>696</v>
      </c>
      <c r="W1460" s="16" t="s">
        <v>63</v>
      </c>
      <c r="Z1460" s="16" t="s">
        <v>67</v>
      </c>
    </row>
    <row r="1461" spans="1:28" ht="15" customHeight="1">
      <c r="A1461" s="290"/>
      <c r="C1461" s="16">
        <v>104</v>
      </c>
      <c r="D1461" s="2">
        <v>22462</v>
      </c>
      <c r="E1461" s="2" t="s">
        <v>665</v>
      </c>
      <c r="F1461" s="3">
        <v>30008010100076</v>
      </c>
      <c r="G1461" s="16" t="s">
        <v>4</v>
      </c>
      <c r="H1461" s="2" t="s">
        <v>682</v>
      </c>
      <c r="I1461" s="2" t="s">
        <v>66</v>
      </c>
      <c r="J1461" s="4">
        <v>43421</v>
      </c>
      <c r="K1461" s="16" t="s">
        <v>8</v>
      </c>
      <c r="L1461" s="16" t="s">
        <v>12</v>
      </c>
      <c r="M1461" s="2" t="s">
        <v>103</v>
      </c>
      <c r="R1461" s="23">
        <v>3</v>
      </c>
      <c r="S1461" s="23">
        <v>2.5</v>
      </c>
      <c r="T1461" s="23">
        <v>3</v>
      </c>
      <c r="U1461" s="23">
        <v>2</v>
      </c>
      <c r="V1461" s="23">
        <v>3</v>
      </c>
      <c r="W1461" s="16" t="s">
        <v>60</v>
      </c>
      <c r="Y1461" s="7">
        <v>43447</v>
      </c>
      <c r="Z1461" s="16" t="s">
        <v>66</v>
      </c>
      <c r="AA1461" s="7">
        <v>43451</v>
      </c>
    </row>
    <row r="1462" spans="1:28" ht="15" customHeight="1">
      <c r="A1462" s="290"/>
      <c r="C1462" s="16">
        <v>104</v>
      </c>
      <c r="D1462" s="2">
        <v>22463</v>
      </c>
      <c r="E1462" s="2" t="s">
        <v>666</v>
      </c>
      <c r="F1462" s="3">
        <v>29503100104262</v>
      </c>
      <c r="G1462" s="2" t="s">
        <v>34</v>
      </c>
      <c r="H1462" s="2" t="s">
        <v>683</v>
      </c>
      <c r="I1462" s="2" t="s">
        <v>66</v>
      </c>
      <c r="J1462" s="4">
        <v>43421</v>
      </c>
      <c r="K1462" s="16" t="s">
        <v>8</v>
      </c>
      <c r="L1462" s="16" t="s">
        <v>12</v>
      </c>
      <c r="M1462" s="2" t="s">
        <v>105</v>
      </c>
      <c r="R1462" s="23">
        <v>3</v>
      </c>
      <c r="S1462" s="23">
        <v>2.5</v>
      </c>
      <c r="T1462" s="23">
        <v>2.5</v>
      </c>
      <c r="U1462" s="23">
        <v>2</v>
      </c>
      <c r="V1462" s="23">
        <v>2.5</v>
      </c>
      <c r="W1462" s="16" t="s">
        <v>170</v>
      </c>
      <c r="X1462" s="2" t="s">
        <v>66</v>
      </c>
      <c r="Y1462" s="7">
        <v>43474</v>
      </c>
      <c r="Z1462" s="16" t="s">
        <v>66</v>
      </c>
      <c r="AA1462" s="7">
        <v>43480</v>
      </c>
    </row>
    <row r="1463" spans="1:28" ht="15" customHeight="1">
      <c r="A1463" s="290"/>
      <c r="C1463" s="16">
        <v>104</v>
      </c>
      <c r="D1463" s="2">
        <v>22464</v>
      </c>
      <c r="E1463" s="2" t="s">
        <v>667</v>
      </c>
      <c r="F1463" s="3">
        <v>29506042103233</v>
      </c>
      <c r="G1463" s="2" t="s">
        <v>34</v>
      </c>
      <c r="H1463" s="16" t="s">
        <v>684</v>
      </c>
      <c r="I1463" s="2" t="s">
        <v>66</v>
      </c>
      <c r="J1463" s="4">
        <v>43421</v>
      </c>
      <c r="K1463" s="16" t="s">
        <v>8</v>
      </c>
      <c r="L1463" s="16" t="s">
        <v>12</v>
      </c>
      <c r="M1463" s="2" t="s">
        <v>52</v>
      </c>
      <c r="R1463" s="23">
        <v>2.5</v>
      </c>
      <c r="S1463" s="23">
        <v>2</v>
      </c>
      <c r="T1463" s="23">
        <v>2</v>
      </c>
      <c r="U1463" s="23">
        <v>2</v>
      </c>
      <c r="V1463" s="23">
        <v>2.5</v>
      </c>
      <c r="W1463" s="16" t="s">
        <v>62</v>
      </c>
      <c r="Y1463" s="7">
        <v>43447</v>
      </c>
      <c r="Z1463" s="16" t="s">
        <v>66</v>
      </c>
      <c r="AA1463" s="7">
        <v>43458</v>
      </c>
    </row>
    <row r="1464" spans="1:28" ht="15" customHeight="1">
      <c r="A1464" s="290"/>
      <c r="C1464" s="16">
        <v>104</v>
      </c>
      <c r="D1464" s="2">
        <v>22465</v>
      </c>
      <c r="E1464" s="2" t="s">
        <v>668</v>
      </c>
      <c r="F1464" s="3" t="s">
        <v>669</v>
      </c>
      <c r="G1464" s="16" t="s">
        <v>4</v>
      </c>
      <c r="H1464" s="16" t="s">
        <v>685</v>
      </c>
      <c r="I1464" s="2" t="s">
        <v>66</v>
      </c>
      <c r="J1464" s="4">
        <v>43421</v>
      </c>
      <c r="K1464" s="16" t="s">
        <v>8</v>
      </c>
      <c r="L1464" s="16" t="s">
        <v>12</v>
      </c>
      <c r="M1464" s="2" t="s">
        <v>13</v>
      </c>
      <c r="R1464" s="23">
        <v>3</v>
      </c>
      <c r="S1464" s="23">
        <v>2.5</v>
      </c>
      <c r="T1464" s="23">
        <v>2.5</v>
      </c>
      <c r="U1464" s="23">
        <v>3</v>
      </c>
      <c r="V1464" s="23">
        <v>3</v>
      </c>
      <c r="W1464" s="16" t="s">
        <v>169</v>
      </c>
      <c r="Y1464" s="7">
        <v>43447</v>
      </c>
      <c r="Z1464" s="16" t="s">
        <v>66</v>
      </c>
      <c r="AA1464" s="7">
        <v>43444</v>
      </c>
      <c r="AB1464" s="2" t="s">
        <v>5462</v>
      </c>
    </row>
    <row r="1465" spans="1:28" ht="15" customHeight="1">
      <c r="A1465" s="290"/>
      <c r="C1465" s="16">
        <v>104</v>
      </c>
      <c r="D1465" s="16">
        <v>22466</v>
      </c>
      <c r="E1465" s="16" t="s">
        <v>670</v>
      </c>
      <c r="F1465" s="3">
        <v>29309300102476</v>
      </c>
      <c r="G1465" s="16" t="s">
        <v>184</v>
      </c>
      <c r="H1465" s="16" t="s">
        <v>686</v>
      </c>
      <c r="I1465" s="16" t="s">
        <v>66</v>
      </c>
      <c r="J1465" s="45">
        <v>43421</v>
      </c>
      <c r="K1465" s="16" t="s">
        <v>8</v>
      </c>
      <c r="L1465" s="16" t="s">
        <v>12</v>
      </c>
      <c r="M1465" s="16" t="s">
        <v>55</v>
      </c>
      <c r="N1465" s="16"/>
      <c r="R1465" s="23">
        <v>3</v>
      </c>
      <c r="S1465" s="23">
        <v>2.5</v>
      </c>
      <c r="T1465" s="23">
        <v>2</v>
      </c>
      <c r="U1465" s="23">
        <v>2</v>
      </c>
      <c r="V1465" s="23">
        <v>2.5</v>
      </c>
      <c r="W1465" s="16" t="s">
        <v>62</v>
      </c>
      <c r="X1465" s="16"/>
      <c r="Y1465" s="45">
        <v>43447</v>
      </c>
      <c r="Z1465" s="16" t="s">
        <v>66</v>
      </c>
      <c r="AA1465" s="45">
        <v>43458</v>
      </c>
      <c r="AB1465" s="16"/>
    </row>
    <row r="1466" spans="1:28" ht="15" customHeight="1">
      <c r="A1466" s="290"/>
      <c r="C1466" s="16">
        <v>104</v>
      </c>
      <c r="D1466" s="16">
        <v>22467</v>
      </c>
      <c r="E1466" s="16" t="s">
        <v>671</v>
      </c>
      <c r="F1466" s="3">
        <v>29003290100371</v>
      </c>
      <c r="G1466" s="16" t="s">
        <v>34</v>
      </c>
      <c r="H1466" s="16" t="s">
        <v>687</v>
      </c>
      <c r="I1466" s="16" t="s">
        <v>66</v>
      </c>
      <c r="J1466" s="45">
        <v>43421</v>
      </c>
      <c r="K1466" s="16" t="s">
        <v>8</v>
      </c>
      <c r="L1466" s="16" t="s">
        <v>12</v>
      </c>
      <c r="M1466" s="16" t="s">
        <v>58</v>
      </c>
      <c r="N1466" s="16"/>
      <c r="R1466" s="23">
        <v>3</v>
      </c>
      <c r="S1466" s="23">
        <v>3</v>
      </c>
      <c r="T1466" s="23">
        <v>2</v>
      </c>
      <c r="U1466" s="23">
        <v>2</v>
      </c>
      <c r="V1466" s="23">
        <v>2</v>
      </c>
      <c r="W1466" s="16" t="s">
        <v>62</v>
      </c>
      <c r="X1466" s="16"/>
      <c r="Y1466" s="7">
        <v>43447</v>
      </c>
      <c r="Z1466" s="16" t="s">
        <v>67</v>
      </c>
      <c r="AA1466" s="45"/>
      <c r="AB1466" s="16" t="s">
        <v>3323</v>
      </c>
    </row>
    <row r="1467" spans="1:28" ht="15" customHeight="1">
      <c r="A1467" s="290"/>
      <c r="C1467" s="16">
        <v>104</v>
      </c>
      <c r="D1467" s="2">
        <v>22468</v>
      </c>
      <c r="E1467" s="2" t="s">
        <v>672</v>
      </c>
      <c r="F1467" s="3">
        <v>28903052104691</v>
      </c>
      <c r="G1467" s="16" t="s">
        <v>34</v>
      </c>
      <c r="H1467" s="2" t="s">
        <v>688</v>
      </c>
      <c r="I1467" s="2" t="s">
        <v>66</v>
      </c>
      <c r="J1467" s="4">
        <v>43421</v>
      </c>
      <c r="K1467" s="16" t="s">
        <v>8</v>
      </c>
      <c r="L1467" s="16" t="s">
        <v>12</v>
      </c>
      <c r="M1467" s="2" t="s">
        <v>103</v>
      </c>
      <c r="R1467" s="23">
        <v>3</v>
      </c>
      <c r="S1467" s="23">
        <v>3</v>
      </c>
      <c r="T1467" s="23">
        <v>3</v>
      </c>
      <c r="U1467" s="23">
        <v>2.5</v>
      </c>
      <c r="V1467" s="23">
        <v>3</v>
      </c>
      <c r="W1467" s="16" t="s">
        <v>150</v>
      </c>
      <c r="Y1467" s="7">
        <v>43447</v>
      </c>
      <c r="Z1467" s="16" t="s">
        <v>66</v>
      </c>
      <c r="AA1467" s="7">
        <v>43479</v>
      </c>
      <c r="AB1467" s="2" t="s">
        <v>3375</v>
      </c>
    </row>
    <row r="1468" spans="1:28" ht="15" customHeight="1">
      <c r="A1468" s="290"/>
      <c r="C1468" s="16">
        <v>104</v>
      </c>
      <c r="D1468" s="2">
        <v>22469</v>
      </c>
      <c r="E1468" s="2" t="s">
        <v>673</v>
      </c>
      <c r="F1468" s="3">
        <v>29009291900654</v>
      </c>
      <c r="G1468" s="2" t="s">
        <v>34</v>
      </c>
      <c r="H1468" s="2" t="s">
        <v>689</v>
      </c>
      <c r="I1468" s="2" t="s">
        <v>66</v>
      </c>
      <c r="J1468" s="4">
        <v>43421</v>
      </c>
      <c r="K1468" s="16" t="s">
        <v>8</v>
      </c>
      <c r="L1468" s="16" t="s">
        <v>12</v>
      </c>
      <c r="M1468" s="2" t="s">
        <v>438</v>
      </c>
      <c r="R1468" s="23">
        <v>3</v>
      </c>
      <c r="S1468" s="23">
        <v>2.5</v>
      </c>
      <c r="T1468" s="23">
        <v>2</v>
      </c>
      <c r="U1468" s="23">
        <v>3</v>
      </c>
      <c r="V1468" s="23">
        <v>3</v>
      </c>
      <c r="W1468" s="16" t="s">
        <v>169</v>
      </c>
      <c r="Y1468" s="7">
        <v>43447</v>
      </c>
      <c r="Z1468" s="16" t="s">
        <v>66</v>
      </c>
      <c r="AA1468" s="7">
        <v>43444</v>
      </c>
    </row>
    <row r="1469" spans="1:28" ht="15" customHeight="1">
      <c r="A1469" s="290"/>
      <c r="C1469" s="16">
        <v>104</v>
      </c>
      <c r="D1469" s="2">
        <v>22470</v>
      </c>
      <c r="E1469" s="2" t="s">
        <v>674</v>
      </c>
      <c r="F1469" s="3">
        <v>28310010112332</v>
      </c>
      <c r="G1469" s="16" t="s">
        <v>34</v>
      </c>
      <c r="H1469" s="2" t="s">
        <v>690</v>
      </c>
      <c r="I1469" s="2" t="s">
        <v>66</v>
      </c>
      <c r="J1469" s="4">
        <v>43421</v>
      </c>
      <c r="K1469" s="16" t="s">
        <v>8</v>
      </c>
      <c r="L1469" s="16" t="s">
        <v>12</v>
      </c>
      <c r="M1469" s="2" t="s">
        <v>16</v>
      </c>
      <c r="R1469" s="23">
        <v>3</v>
      </c>
      <c r="S1469" s="23">
        <v>2.5</v>
      </c>
      <c r="T1469" s="23">
        <v>2</v>
      </c>
      <c r="U1469" s="23">
        <v>2</v>
      </c>
      <c r="V1469" s="23">
        <v>3</v>
      </c>
      <c r="W1469" s="16" t="s">
        <v>62</v>
      </c>
      <c r="Y1469" s="7">
        <v>43447</v>
      </c>
      <c r="Z1469" s="16" t="s">
        <v>66</v>
      </c>
      <c r="AA1469" s="7">
        <v>43605</v>
      </c>
      <c r="AB1469" s="2" t="s">
        <v>4366</v>
      </c>
    </row>
    <row r="1470" spans="1:28" ht="15" customHeight="1">
      <c r="A1470" s="290"/>
      <c r="C1470" s="16">
        <v>104</v>
      </c>
      <c r="D1470" s="2">
        <v>22471</v>
      </c>
      <c r="E1470" s="2" t="s">
        <v>675</v>
      </c>
      <c r="F1470" s="3">
        <v>29607301600748</v>
      </c>
      <c r="G1470" s="16" t="s">
        <v>34</v>
      </c>
      <c r="H1470" s="2" t="s">
        <v>691</v>
      </c>
      <c r="I1470" s="2" t="s">
        <v>66</v>
      </c>
      <c r="J1470" s="4">
        <v>43421</v>
      </c>
      <c r="K1470" s="16" t="s">
        <v>8</v>
      </c>
      <c r="L1470" s="16" t="s">
        <v>12</v>
      </c>
      <c r="M1470" s="2" t="s">
        <v>16</v>
      </c>
      <c r="R1470" s="23">
        <v>3</v>
      </c>
      <c r="S1470" s="23">
        <v>3</v>
      </c>
      <c r="T1470" s="23">
        <v>3</v>
      </c>
      <c r="U1470" s="23">
        <v>3</v>
      </c>
      <c r="V1470" s="23">
        <v>3</v>
      </c>
      <c r="W1470" s="16" t="s">
        <v>150</v>
      </c>
      <c r="X1470" s="2" t="s">
        <v>66</v>
      </c>
      <c r="Y1470" s="7">
        <v>43474</v>
      </c>
      <c r="Z1470" s="16" t="s">
        <v>66</v>
      </c>
      <c r="AA1470" s="7">
        <v>43480</v>
      </c>
      <c r="AB1470" s="2" t="s">
        <v>3246</v>
      </c>
    </row>
    <row r="1471" spans="1:28" ht="15" customHeight="1">
      <c r="A1471" s="290"/>
      <c r="C1471" s="16">
        <v>104</v>
      </c>
      <c r="D1471" s="2">
        <v>22472</v>
      </c>
      <c r="E1471" s="2" t="s">
        <v>676</v>
      </c>
      <c r="F1471" s="3">
        <v>29007040104651</v>
      </c>
      <c r="G1471" s="16" t="s">
        <v>34</v>
      </c>
      <c r="H1471" s="2" t="s">
        <v>692</v>
      </c>
      <c r="I1471" s="2" t="s">
        <v>66</v>
      </c>
      <c r="J1471" s="4">
        <v>43421</v>
      </c>
      <c r="K1471" s="16" t="s">
        <v>8</v>
      </c>
      <c r="L1471" s="16" t="s">
        <v>12</v>
      </c>
      <c r="M1471" s="2" t="s">
        <v>108</v>
      </c>
      <c r="R1471" s="23">
        <v>3</v>
      </c>
      <c r="S1471" s="23">
        <v>2.5</v>
      </c>
      <c r="T1471" s="23">
        <v>2</v>
      </c>
      <c r="U1471" s="23">
        <v>2</v>
      </c>
      <c r="V1471" s="23">
        <v>3</v>
      </c>
      <c r="W1471" s="16" t="s">
        <v>63</v>
      </c>
      <c r="X1471" s="2" t="s">
        <v>66</v>
      </c>
      <c r="Z1471" s="16" t="s">
        <v>67</v>
      </c>
      <c r="AB1471" s="2" t="s">
        <v>701</v>
      </c>
    </row>
    <row r="1472" spans="1:28" ht="15" customHeight="1">
      <c r="A1472" s="290"/>
      <c r="C1472" s="16">
        <v>104</v>
      </c>
      <c r="D1472" s="2">
        <v>22473</v>
      </c>
      <c r="E1472" s="2" t="s">
        <v>677</v>
      </c>
      <c r="F1472" s="3">
        <v>29304260201911</v>
      </c>
      <c r="G1472" s="16" t="s">
        <v>34</v>
      </c>
      <c r="H1472" s="2" t="s">
        <v>693</v>
      </c>
      <c r="I1472" s="2" t="s">
        <v>66</v>
      </c>
      <c r="J1472" s="4">
        <v>43421</v>
      </c>
      <c r="K1472" s="16" t="s">
        <v>8</v>
      </c>
      <c r="L1472" s="16" t="s">
        <v>12</v>
      </c>
      <c r="M1472" s="2" t="s">
        <v>697</v>
      </c>
      <c r="R1472" s="23">
        <v>3</v>
      </c>
      <c r="S1472" s="23">
        <v>2.5</v>
      </c>
      <c r="T1472" s="23">
        <v>2</v>
      </c>
      <c r="U1472" s="23">
        <v>2</v>
      </c>
      <c r="V1472" s="23">
        <v>3</v>
      </c>
      <c r="W1472" s="16" t="s">
        <v>62</v>
      </c>
      <c r="X1472" s="2" t="s">
        <v>66</v>
      </c>
      <c r="Y1472" s="7">
        <v>43474</v>
      </c>
      <c r="Z1472" s="16" t="s">
        <v>66</v>
      </c>
      <c r="AA1472" s="7">
        <v>43478</v>
      </c>
    </row>
    <row r="1473" spans="1:28" ht="15" customHeight="1">
      <c r="A1473" s="290"/>
      <c r="C1473" s="16">
        <v>104</v>
      </c>
      <c r="D1473" s="2">
        <v>22474</v>
      </c>
      <c r="E1473" s="2" t="s">
        <v>678</v>
      </c>
      <c r="F1473" s="3">
        <v>29302042102003</v>
      </c>
      <c r="G1473" s="16" t="s">
        <v>34</v>
      </c>
      <c r="H1473" s="2" t="s">
        <v>694</v>
      </c>
      <c r="I1473" s="2" t="s">
        <v>66</v>
      </c>
      <c r="J1473" s="4">
        <v>43421</v>
      </c>
      <c r="K1473" s="16" t="s">
        <v>8</v>
      </c>
      <c r="L1473" s="16" t="s">
        <v>12</v>
      </c>
      <c r="M1473" s="2" t="s">
        <v>103</v>
      </c>
      <c r="R1473" s="23">
        <v>3</v>
      </c>
      <c r="S1473" s="23">
        <v>2.5</v>
      </c>
      <c r="T1473" s="23">
        <v>2</v>
      </c>
      <c r="U1473" s="23">
        <v>2</v>
      </c>
      <c r="V1473" s="23">
        <v>3</v>
      </c>
      <c r="W1473" s="16" t="s">
        <v>61</v>
      </c>
      <c r="Y1473" s="7">
        <v>43447</v>
      </c>
      <c r="Z1473" s="16" t="s">
        <v>66</v>
      </c>
      <c r="AA1473" s="7">
        <v>43458</v>
      </c>
      <c r="AB1473" s="2" t="s">
        <v>802</v>
      </c>
    </row>
    <row r="1474" spans="1:28" ht="15" customHeight="1" thickBot="1">
      <c r="A1474" s="291"/>
      <c r="C1474" s="28">
        <v>104</v>
      </c>
      <c r="D1474" s="28">
        <v>19374</v>
      </c>
      <c r="E1474" s="28" t="s">
        <v>679</v>
      </c>
      <c r="F1474" s="29">
        <v>29501062102533</v>
      </c>
      <c r="G1474" s="28" t="s">
        <v>34</v>
      </c>
      <c r="H1474" s="28" t="s">
        <v>695</v>
      </c>
      <c r="I1474" s="28" t="s">
        <v>67</v>
      </c>
      <c r="J1474" s="30">
        <v>43421</v>
      </c>
      <c r="K1474" s="28" t="s">
        <v>8</v>
      </c>
      <c r="L1474" s="28" t="s">
        <v>12</v>
      </c>
      <c r="M1474" s="28" t="s">
        <v>438</v>
      </c>
      <c r="N1474" s="28"/>
      <c r="O1474" s="226"/>
      <c r="P1474" s="28"/>
      <c r="Q1474" s="226"/>
      <c r="R1474" s="28">
        <v>3</v>
      </c>
      <c r="S1474" s="28">
        <v>3</v>
      </c>
      <c r="T1474" s="28">
        <v>2.5</v>
      </c>
      <c r="U1474" s="28">
        <v>2.5</v>
      </c>
      <c r="V1474" s="28">
        <v>3</v>
      </c>
      <c r="W1474" s="28" t="s">
        <v>170</v>
      </c>
      <c r="X1474" s="28"/>
      <c r="Y1474" s="30">
        <v>43447</v>
      </c>
      <c r="Z1474" s="28" t="s">
        <v>66</v>
      </c>
      <c r="AA1474" s="30">
        <v>43451</v>
      </c>
      <c r="AB1474" s="28"/>
    </row>
    <row r="1475" spans="1:28" ht="15" customHeight="1" thickTop="1">
      <c r="A1475" s="289" t="s">
        <v>3126</v>
      </c>
      <c r="C1475" s="16">
        <v>105</v>
      </c>
      <c r="D1475" s="2">
        <v>22475</v>
      </c>
      <c r="E1475" s="2" t="s">
        <v>713</v>
      </c>
      <c r="F1475" s="3">
        <v>29509202105946</v>
      </c>
      <c r="G1475" s="2" t="s">
        <v>34</v>
      </c>
      <c r="H1475" s="2" t="s">
        <v>724</v>
      </c>
      <c r="I1475" s="2" t="s">
        <v>66</v>
      </c>
      <c r="J1475" s="4">
        <v>43428</v>
      </c>
      <c r="K1475" s="16" t="s">
        <v>8</v>
      </c>
      <c r="L1475" s="16" t="s">
        <v>12</v>
      </c>
      <c r="M1475" s="2" t="s">
        <v>551</v>
      </c>
      <c r="R1475" s="23">
        <v>3</v>
      </c>
      <c r="S1475" s="23">
        <v>3</v>
      </c>
      <c r="T1475" s="23">
        <v>2.5</v>
      </c>
      <c r="U1475" s="23">
        <v>2</v>
      </c>
      <c r="V1475" s="23">
        <v>3</v>
      </c>
      <c r="W1475" s="16" t="s">
        <v>170</v>
      </c>
      <c r="Y1475" s="7">
        <v>43453</v>
      </c>
      <c r="Z1475" s="16" t="s">
        <v>66</v>
      </c>
      <c r="AA1475" s="7">
        <v>43451</v>
      </c>
      <c r="AB1475" s="2" t="s">
        <v>3895</v>
      </c>
    </row>
    <row r="1476" spans="1:28" ht="15" customHeight="1">
      <c r="A1476" s="290"/>
      <c r="C1476" s="16">
        <v>105</v>
      </c>
      <c r="D1476" s="16">
        <v>22476</v>
      </c>
      <c r="E1476" s="16" t="s">
        <v>714</v>
      </c>
      <c r="F1476" s="3">
        <v>27911270105283</v>
      </c>
      <c r="G1476" s="16" t="s">
        <v>34</v>
      </c>
      <c r="H1476" s="16" t="s">
        <v>725</v>
      </c>
      <c r="I1476" s="16" t="s">
        <v>66</v>
      </c>
      <c r="J1476" s="45">
        <v>43428</v>
      </c>
      <c r="K1476" s="16" t="s">
        <v>8</v>
      </c>
      <c r="L1476" s="16" t="s">
        <v>12</v>
      </c>
      <c r="M1476" s="16" t="s">
        <v>14</v>
      </c>
      <c r="N1476" s="16"/>
      <c r="R1476" s="23">
        <v>3</v>
      </c>
      <c r="S1476" s="23">
        <v>2.5</v>
      </c>
      <c r="T1476" s="23">
        <v>2</v>
      </c>
      <c r="U1476" s="23">
        <v>2</v>
      </c>
      <c r="V1476" s="23">
        <v>3</v>
      </c>
      <c r="W1476" s="16" t="s">
        <v>62</v>
      </c>
      <c r="X1476" s="16"/>
      <c r="Y1476" s="45">
        <v>43453</v>
      </c>
      <c r="Z1476" s="16" t="s">
        <v>67</v>
      </c>
      <c r="AA1476" s="45"/>
      <c r="AB1476" s="16" t="s">
        <v>3247</v>
      </c>
    </row>
    <row r="1477" spans="1:28" ht="15" customHeight="1">
      <c r="A1477" s="290"/>
      <c r="C1477" s="16">
        <v>105</v>
      </c>
      <c r="D1477" s="2">
        <v>22477</v>
      </c>
      <c r="E1477" s="2" t="s">
        <v>715</v>
      </c>
      <c r="F1477" s="3">
        <v>29510260101282</v>
      </c>
      <c r="G1477" s="2" t="s">
        <v>34</v>
      </c>
      <c r="H1477" s="2" t="s">
        <v>726</v>
      </c>
      <c r="I1477" s="2" t="s">
        <v>66</v>
      </c>
      <c r="J1477" s="4">
        <v>43428</v>
      </c>
      <c r="K1477" s="16" t="s">
        <v>8</v>
      </c>
      <c r="L1477" s="16" t="s">
        <v>12</v>
      </c>
      <c r="M1477" s="2" t="s">
        <v>14</v>
      </c>
      <c r="R1477" s="23">
        <v>3</v>
      </c>
      <c r="S1477" s="23">
        <v>1.5</v>
      </c>
      <c r="T1477" s="23">
        <v>2</v>
      </c>
      <c r="U1477" s="23">
        <v>2</v>
      </c>
      <c r="V1477" s="23">
        <v>3</v>
      </c>
      <c r="W1477" s="16" t="s">
        <v>62</v>
      </c>
      <c r="Y1477" s="7">
        <v>43453</v>
      </c>
      <c r="Z1477" s="16" t="s">
        <v>66</v>
      </c>
      <c r="AA1477" s="7">
        <v>43458</v>
      </c>
    </row>
    <row r="1478" spans="1:28" ht="15" customHeight="1">
      <c r="A1478" s="290"/>
      <c r="C1478" s="16">
        <v>105</v>
      </c>
      <c r="D1478" s="16">
        <v>22478</v>
      </c>
      <c r="E1478" s="16" t="s">
        <v>716</v>
      </c>
      <c r="F1478" s="3">
        <v>29607032101969</v>
      </c>
      <c r="G1478" s="16" t="s">
        <v>4</v>
      </c>
      <c r="H1478" s="16" t="s">
        <v>727</v>
      </c>
      <c r="I1478" s="16" t="s">
        <v>66</v>
      </c>
      <c r="J1478" s="45">
        <v>43428</v>
      </c>
      <c r="K1478" s="16" t="s">
        <v>8</v>
      </c>
      <c r="L1478" s="16" t="s">
        <v>12</v>
      </c>
      <c r="M1478" s="16" t="s">
        <v>53</v>
      </c>
      <c r="N1478" s="16"/>
      <c r="R1478" s="23">
        <v>3</v>
      </c>
      <c r="S1478" s="23">
        <v>3</v>
      </c>
      <c r="T1478" s="23">
        <v>2.5</v>
      </c>
      <c r="U1478" s="23">
        <v>2.5</v>
      </c>
      <c r="V1478" s="23">
        <v>3</v>
      </c>
      <c r="W1478" s="16" t="s">
        <v>170</v>
      </c>
      <c r="X1478" s="16"/>
      <c r="Y1478" s="45">
        <v>43453</v>
      </c>
      <c r="Z1478" s="16" t="s">
        <v>67</v>
      </c>
      <c r="AA1478" s="45"/>
      <c r="AB1478" s="16" t="s">
        <v>3815</v>
      </c>
    </row>
    <row r="1479" spans="1:28" ht="15" customHeight="1">
      <c r="A1479" s="290"/>
      <c r="C1479" s="16">
        <v>105</v>
      </c>
      <c r="D1479" s="16">
        <v>22479</v>
      </c>
      <c r="E1479" s="16" t="s">
        <v>717</v>
      </c>
      <c r="F1479" s="3">
        <v>28610012123343</v>
      </c>
      <c r="G1479" s="16" t="s">
        <v>34</v>
      </c>
      <c r="H1479" s="16" t="s">
        <v>728</v>
      </c>
      <c r="I1479" s="16" t="s">
        <v>66</v>
      </c>
      <c r="J1479" s="45">
        <v>43428</v>
      </c>
      <c r="K1479" s="16" t="s">
        <v>8</v>
      </c>
      <c r="L1479" s="16" t="s">
        <v>12</v>
      </c>
      <c r="M1479" s="16" t="s">
        <v>13</v>
      </c>
      <c r="N1479" s="16"/>
      <c r="R1479" s="23">
        <v>3</v>
      </c>
      <c r="S1479" s="23">
        <v>2.5</v>
      </c>
      <c r="T1479" s="23">
        <v>2</v>
      </c>
      <c r="U1479" s="23">
        <v>1.5</v>
      </c>
      <c r="V1479" s="23">
        <v>3</v>
      </c>
      <c r="W1479" s="16" t="s">
        <v>62</v>
      </c>
      <c r="X1479" s="16"/>
      <c r="Y1479" s="45">
        <v>43453</v>
      </c>
      <c r="Z1479" s="16" t="s">
        <v>66</v>
      </c>
      <c r="AA1479" s="45">
        <v>43458</v>
      </c>
      <c r="AB1479" s="16"/>
    </row>
    <row r="1480" spans="1:28" ht="15" customHeight="1">
      <c r="A1480" s="290"/>
      <c r="C1480" s="16">
        <v>105</v>
      </c>
      <c r="D1480" s="2">
        <v>22480</v>
      </c>
      <c r="E1480" s="2" t="s">
        <v>718</v>
      </c>
      <c r="F1480" s="3">
        <v>29503301401176</v>
      </c>
      <c r="G1480" s="16" t="s">
        <v>34</v>
      </c>
      <c r="H1480" s="2" t="s">
        <v>729</v>
      </c>
      <c r="I1480" s="2" t="s">
        <v>66</v>
      </c>
      <c r="J1480" s="4">
        <v>43428</v>
      </c>
      <c r="K1480" s="16" t="s">
        <v>8</v>
      </c>
      <c r="L1480" s="16" t="s">
        <v>12</v>
      </c>
      <c r="M1480" s="2" t="s">
        <v>735</v>
      </c>
      <c r="R1480" s="23">
        <v>3</v>
      </c>
      <c r="S1480" s="23">
        <v>2.5</v>
      </c>
      <c r="T1480" s="23">
        <v>2.5</v>
      </c>
      <c r="U1480" s="23">
        <v>2.5</v>
      </c>
      <c r="V1480" s="23">
        <v>3</v>
      </c>
      <c r="W1480" s="16" t="s">
        <v>61</v>
      </c>
      <c r="X1480" s="2" t="s">
        <v>66</v>
      </c>
      <c r="Y1480" s="7">
        <v>43474</v>
      </c>
      <c r="Z1480" s="16" t="s">
        <v>66</v>
      </c>
      <c r="AA1480" s="7">
        <v>43486</v>
      </c>
    </row>
    <row r="1481" spans="1:28" ht="15" customHeight="1">
      <c r="A1481" s="290"/>
      <c r="C1481" s="16">
        <v>105</v>
      </c>
      <c r="D1481" s="2">
        <v>22481</v>
      </c>
      <c r="E1481" s="2" t="s">
        <v>719</v>
      </c>
      <c r="F1481" s="3">
        <v>29609041402222</v>
      </c>
      <c r="G1481" s="16" t="s">
        <v>34</v>
      </c>
      <c r="H1481" s="2" t="s">
        <v>730</v>
      </c>
      <c r="I1481" s="2" t="s">
        <v>66</v>
      </c>
      <c r="J1481" s="4">
        <v>43428</v>
      </c>
      <c r="K1481" s="16" t="s">
        <v>8</v>
      </c>
      <c r="L1481" s="16" t="s">
        <v>12</v>
      </c>
      <c r="M1481" s="2" t="s">
        <v>737</v>
      </c>
      <c r="R1481" s="23">
        <v>3</v>
      </c>
      <c r="S1481" s="23">
        <v>3</v>
      </c>
      <c r="T1481" s="23">
        <v>2.5</v>
      </c>
      <c r="U1481" s="23">
        <v>2.5</v>
      </c>
      <c r="V1481" s="23">
        <v>3</v>
      </c>
      <c r="W1481" s="16" t="s">
        <v>60</v>
      </c>
      <c r="Y1481" s="7">
        <v>43453</v>
      </c>
      <c r="Z1481" s="16" t="s">
        <v>66</v>
      </c>
      <c r="AA1481" s="7">
        <v>43451</v>
      </c>
    </row>
    <row r="1482" spans="1:28" ht="15" customHeight="1">
      <c r="A1482" s="290"/>
      <c r="C1482" s="16">
        <v>105</v>
      </c>
      <c r="D1482" s="2">
        <v>22482</v>
      </c>
      <c r="E1482" s="2" t="s">
        <v>720</v>
      </c>
      <c r="F1482" s="3">
        <v>29609280101668</v>
      </c>
      <c r="G1482" s="16" t="s">
        <v>34</v>
      </c>
      <c r="H1482" s="2" t="s">
        <v>731</v>
      </c>
      <c r="I1482" s="2" t="s">
        <v>66</v>
      </c>
      <c r="J1482" s="4">
        <v>43428</v>
      </c>
      <c r="K1482" s="16" t="s">
        <v>8</v>
      </c>
      <c r="L1482" s="16" t="s">
        <v>12</v>
      </c>
      <c r="M1482" s="2" t="s">
        <v>380</v>
      </c>
      <c r="R1482" s="23">
        <v>3</v>
      </c>
      <c r="S1482" s="23">
        <v>2.5</v>
      </c>
      <c r="T1482" s="23">
        <v>2</v>
      </c>
      <c r="U1482" s="23">
        <v>1.5</v>
      </c>
      <c r="V1482" s="23">
        <v>2.5</v>
      </c>
      <c r="W1482" s="16" t="s">
        <v>61</v>
      </c>
      <c r="Y1482" s="7">
        <v>43453</v>
      </c>
      <c r="Z1482" s="16" t="s">
        <v>66</v>
      </c>
      <c r="AB1482" s="2" t="s">
        <v>802</v>
      </c>
    </row>
    <row r="1483" spans="1:28" ht="15" customHeight="1">
      <c r="A1483" s="290"/>
      <c r="C1483" s="16">
        <v>105</v>
      </c>
      <c r="D1483" s="2">
        <v>22483</v>
      </c>
      <c r="E1483" s="2" t="s">
        <v>721</v>
      </c>
      <c r="F1483" s="3">
        <v>29802080200518</v>
      </c>
      <c r="G1483" s="16" t="s">
        <v>4</v>
      </c>
      <c r="H1483" s="2" t="s">
        <v>732</v>
      </c>
      <c r="I1483" s="2" t="s">
        <v>66</v>
      </c>
      <c r="J1483" s="4">
        <v>43428</v>
      </c>
      <c r="K1483" s="16" t="s">
        <v>8</v>
      </c>
      <c r="L1483" s="16" t="s">
        <v>12</v>
      </c>
      <c r="M1483" s="2" t="s">
        <v>735</v>
      </c>
      <c r="R1483" s="23">
        <v>3</v>
      </c>
      <c r="S1483" s="23">
        <v>3</v>
      </c>
      <c r="T1483" s="23">
        <v>3</v>
      </c>
      <c r="U1483" s="23">
        <v>2</v>
      </c>
      <c r="V1483" s="23">
        <v>3</v>
      </c>
      <c r="W1483" s="16" t="s">
        <v>60</v>
      </c>
      <c r="Y1483" s="7">
        <v>43453</v>
      </c>
      <c r="Z1483" s="16" t="s">
        <v>66</v>
      </c>
      <c r="AA1483" s="7">
        <v>43451</v>
      </c>
    </row>
    <row r="1484" spans="1:28" ht="15" customHeight="1">
      <c r="A1484" s="290"/>
      <c r="C1484" s="16">
        <v>105</v>
      </c>
      <c r="D1484" s="2">
        <v>22484</v>
      </c>
      <c r="E1484" s="2" t="s">
        <v>722</v>
      </c>
      <c r="F1484" s="3">
        <v>28810188800375</v>
      </c>
      <c r="G1484" s="16" t="s">
        <v>3663</v>
      </c>
      <c r="H1484" s="2" t="s">
        <v>733</v>
      </c>
      <c r="I1484" s="2" t="s">
        <v>66</v>
      </c>
      <c r="J1484" s="4">
        <v>43428</v>
      </c>
      <c r="K1484" s="16" t="s">
        <v>8</v>
      </c>
      <c r="L1484" s="16" t="s">
        <v>12</v>
      </c>
      <c r="M1484" s="2" t="s">
        <v>585</v>
      </c>
      <c r="R1484" s="23">
        <v>3</v>
      </c>
      <c r="S1484" s="23">
        <v>2.5</v>
      </c>
      <c r="T1484" s="23">
        <v>2</v>
      </c>
      <c r="U1484" s="23">
        <v>3</v>
      </c>
      <c r="V1484" s="23">
        <v>3</v>
      </c>
      <c r="W1484" s="16" t="s">
        <v>61</v>
      </c>
      <c r="X1484" s="2" t="s">
        <v>66</v>
      </c>
      <c r="Y1484" s="7">
        <v>43474</v>
      </c>
      <c r="Z1484" s="16" t="s">
        <v>66</v>
      </c>
      <c r="AA1484" s="45">
        <v>43486</v>
      </c>
    </row>
    <row r="1485" spans="1:28" ht="15" customHeight="1" thickBot="1">
      <c r="A1485" s="291"/>
      <c r="C1485" s="28">
        <v>105</v>
      </c>
      <c r="D1485" s="28">
        <v>4176</v>
      </c>
      <c r="E1485" s="28" t="s">
        <v>723</v>
      </c>
      <c r="F1485" s="29">
        <v>27602260103646</v>
      </c>
      <c r="G1485" s="28" t="s">
        <v>34</v>
      </c>
      <c r="H1485" s="28" t="s">
        <v>734</v>
      </c>
      <c r="I1485" s="28" t="s">
        <v>67</v>
      </c>
      <c r="J1485" s="30">
        <v>43428</v>
      </c>
      <c r="K1485" s="28" t="s">
        <v>8</v>
      </c>
      <c r="L1485" s="28" t="s">
        <v>12</v>
      </c>
      <c r="M1485" s="28" t="s">
        <v>736</v>
      </c>
      <c r="N1485" s="28"/>
      <c r="O1485" s="226"/>
      <c r="P1485" s="28"/>
      <c r="Q1485" s="226"/>
      <c r="R1485" s="28"/>
      <c r="S1485" s="28"/>
      <c r="T1485" s="28"/>
      <c r="U1485" s="28"/>
      <c r="V1485" s="28"/>
      <c r="W1485" s="28" t="s">
        <v>63</v>
      </c>
      <c r="X1485" s="28"/>
      <c r="Y1485" s="30"/>
      <c r="Z1485" s="28" t="s">
        <v>67</v>
      </c>
      <c r="AA1485" s="30"/>
      <c r="AB1485" s="28"/>
    </row>
    <row r="1486" spans="1:28" ht="15" customHeight="1" thickTop="1">
      <c r="A1486" s="289" t="s">
        <v>3125</v>
      </c>
      <c r="C1486" s="16">
        <v>106</v>
      </c>
      <c r="D1486" s="2">
        <v>22485</v>
      </c>
      <c r="E1486" s="2" t="s">
        <v>738</v>
      </c>
      <c r="F1486" s="3">
        <v>28406090101376</v>
      </c>
      <c r="G1486" s="2" t="s">
        <v>34</v>
      </c>
      <c r="H1486" s="2" t="s">
        <v>753</v>
      </c>
      <c r="I1486" s="2" t="s">
        <v>66</v>
      </c>
      <c r="J1486" s="4">
        <v>43428</v>
      </c>
      <c r="K1486" s="16" t="s">
        <v>8</v>
      </c>
      <c r="L1486" s="16" t="s">
        <v>12</v>
      </c>
      <c r="M1486" s="2" t="s">
        <v>622</v>
      </c>
      <c r="R1486" s="23">
        <v>3</v>
      </c>
      <c r="S1486" s="23">
        <v>2.5</v>
      </c>
      <c r="T1486" s="23">
        <v>3</v>
      </c>
      <c r="U1486" s="23">
        <v>2</v>
      </c>
      <c r="V1486" s="23">
        <v>3</v>
      </c>
      <c r="W1486" s="16" t="s">
        <v>60</v>
      </c>
      <c r="Y1486" s="7">
        <v>43454</v>
      </c>
      <c r="Z1486" s="16" t="s">
        <v>66</v>
      </c>
      <c r="AA1486" s="7">
        <v>43465</v>
      </c>
    </row>
    <row r="1487" spans="1:28" ht="15" customHeight="1">
      <c r="A1487" s="290"/>
      <c r="C1487" s="16">
        <v>106</v>
      </c>
      <c r="D1487" s="16">
        <v>22486</v>
      </c>
      <c r="E1487" s="16" t="s">
        <v>739</v>
      </c>
      <c r="F1487" s="3">
        <v>29209271403335</v>
      </c>
      <c r="G1487" s="16" t="s">
        <v>184</v>
      </c>
      <c r="H1487" s="16" t="s">
        <v>754</v>
      </c>
      <c r="I1487" s="16" t="s">
        <v>66</v>
      </c>
      <c r="J1487" s="45">
        <v>43428</v>
      </c>
      <c r="K1487" s="16" t="s">
        <v>8</v>
      </c>
      <c r="L1487" s="16" t="s">
        <v>12</v>
      </c>
      <c r="M1487" s="16" t="s">
        <v>58</v>
      </c>
      <c r="N1487" s="16"/>
      <c r="R1487" s="23">
        <v>3</v>
      </c>
      <c r="S1487" s="23">
        <v>3</v>
      </c>
      <c r="T1487" s="23">
        <v>2.5</v>
      </c>
      <c r="U1487" s="23">
        <v>2.5</v>
      </c>
      <c r="V1487" s="23">
        <v>3</v>
      </c>
      <c r="W1487" s="16" t="s">
        <v>61</v>
      </c>
      <c r="X1487" s="16"/>
      <c r="Y1487" s="45">
        <v>43454</v>
      </c>
      <c r="Z1487" s="16" t="s">
        <v>66</v>
      </c>
      <c r="AA1487" s="45">
        <v>43458</v>
      </c>
      <c r="AB1487" s="16"/>
    </row>
    <row r="1488" spans="1:28" ht="15" customHeight="1">
      <c r="A1488" s="290"/>
      <c r="C1488" s="16">
        <v>106</v>
      </c>
      <c r="D1488" s="2">
        <v>22487</v>
      </c>
      <c r="E1488" s="2" t="s">
        <v>740</v>
      </c>
      <c r="F1488" s="3">
        <v>29511221200555</v>
      </c>
      <c r="G1488" s="16" t="s">
        <v>4</v>
      </c>
      <c r="H1488" s="2" t="s">
        <v>755</v>
      </c>
      <c r="I1488" s="2" t="s">
        <v>66</v>
      </c>
      <c r="J1488" s="4">
        <v>43428</v>
      </c>
      <c r="K1488" s="16" t="s">
        <v>8</v>
      </c>
      <c r="L1488" s="16" t="s">
        <v>12</v>
      </c>
      <c r="M1488" s="2" t="s">
        <v>697</v>
      </c>
      <c r="R1488" s="23">
        <v>3</v>
      </c>
      <c r="S1488" s="23">
        <v>3</v>
      </c>
      <c r="T1488" s="23">
        <v>3</v>
      </c>
      <c r="U1488" s="23">
        <v>3</v>
      </c>
      <c r="V1488" s="23">
        <v>3</v>
      </c>
      <c r="W1488" s="16" t="s">
        <v>150</v>
      </c>
      <c r="Y1488" s="7">
        <v>43454</v>
      </c>
      <c r="Z1488" s="16" t="s">
        <v>66</v>
      </c>
      <c r="AA1488" s="7">
        <v>43465</v>
      </c>
      <c r="AB1488" s="2" t="s">
        <v>3246</v>
      </c>
    </row>
    <row r="1489" spans="1:35" ht="15" customHeight="1">
      <c r="A1489" s="290"/>
      <c r="C1489" s="16">
        <v>106</v>
      </c>
      <c r="D1489" s="2">
        <v>22488</v>
      </c>
      <c r="E1489" s="2" t="s">
        <v>741</v>
      </c>
      <c r="F1489" s="3">
        <v>29009250106773</v>
      </c>
      <c r="G1489" s="2" t="s">
        <v>34</v>
      </c>
      <c r="H1489" s="2" t="s">
        <v>756</v>
      </c>
      <c r="I1489" s="2" t="s">
        <v>66</v>
      </c>
      <c r="J1489" s="4">
        <v>43428</v>
      </c>
      <c r="K1489" s="16" t="s">
        <v>8</v>
      </c>
      <c r="L1489" s="16" t="s">
        <v>12</v>
      </c>
      <c r="M1489" s="2" t="s">
        <v>58</v>
      </c>
      <c r="R1489" s="23">
        <v>3</v>
      </c>
      <c r="S1489" s="23">
        <v>3</v>
      </c>
      <c r="T1489" s="23">
        <v>2.5</v>
      </c>
      <c r="U1489" s="23">
        <v>2</v>
      </c>
      <c r="V1489" s="23">
        <v>3</v>
      </c>
      <c r="W1489" s="16" t="s">
        <v>170</v>
      </c>
      <c r="X1489" s="2" t="s">
        <v>66</v>
      </c>
      <c r="Y1489" s="7">
        <v>43474</v>
      </c>
      <c r="Z1489" s="16" t="s">
        <v>66</v>
      </c>
      <c r="AA1489" s="7">
        <v>43480</v>
      </c>
    </row>
    <row r="1490" spans="1:35" ht="15" customHeight="1">
      <c r="A1490" s="290"/>
      <c r="C1490" s="16">
        <v>106</v>
      </c>
      <c r="D1490" s="2">
        <v>22489</v>
      </c>
      <c r="E1490" s="2" t="s">
        <v>742</v>
      </c>
      <c r="F1490" s="3">
        <v>29212061800928</v>
      </c>
      <c r="G1490" s="16" t="s">
        <v>34</v>
      </c>
      <c r="H1490" s="2" t="s">
        <v>757</v>
      </c>
      <c r="I1490" s="2" t="s">
        <v>66</v>
      </c>
      <c r="J1490" s="4">
        <v>43428</v>
      </c>
      <c r="K1490" s="16" t="s">
        <v>8</v>
      </c>
      <c r="L1490" s="16" t="s">
        <v>12</v>
      </c>
      <c r="M1490" s="2" t="s">
        <v>53</v>
      </c>
      <c r="R1490" s="23">
        <v>3</v>
      </c>
      <c r="S1490" s="23">
        <v>3</v>
      </c>
      <c r="T1490" s="23">
        <v>2</v>
      </c>
      <c r="U1490" s="23">
        <v>2.5</v>
      </c>
      <c r="V1490" s="23">
        <v>3</v>
      </c>
      <c r="W1490" s="16" t="s">
        <v>61</v>
      </c>
      <c r="X1490" s="2" t="s">
        <v>66</v>
      </c>
      <c r="Y1490" s="7">
        <v>43474</v>
      </c>
      <c r="Z1490" s="16" t="s">
        <v>66</v>
      </c>
      <c r="AA1490" s="45">
        <v>43486</v>
      </c>
    </row>
    <row r="1491" spans="1:35" ht="15" customHeight="1">
      <c r="A1491" s="290"/>
      <c r="C1491" s="16">
        <v>106</v>
      </c>
      <c r="D1491" s="2">
        <v>22490</v>
      </c>
      <c r="E1491" s="2" t="s">
        <v>743</v>
      </c>
      <c r="F1491" s="3">
        <v>29612070104525</v>
      </c>
      <c r="G1491" s="2" t="s">
        <v>34</v>
      </c>
      <c r="H1491" s="2" t="s">
        <v>758</v>
      </c>
      <c r="I1491" s="2" t="s">
        <v>66</v>
      </c>
      <c r="J1491" s="4">
        <v>43428</v>
      </c>
      <c r="K1491" s="16" t="s">
        <v>8</v>
      </c>
      <c r="L1491" s="16" t="s">
        <v>12</v>
      </c>
      <c r="M1491" s="2" t="s">
        <v>768</v>
      </c>
      <c r="R1491" s="23">
        <v>3</v>
      </c>
      <c r="S1491" s="23">
        <v>3</v>
      </c>
      <c r="T1491" s="23">
        <v>2</v>
      </c>
      <c r="U1491" s="23">
        <v>2.5</v>
      </c>
      <c r="V1491" s="23">
        <v>3</v>
      </c>
      <c r="W1491" s="16" t="s">
        <v>61</v>
      </c>
      <c r="Y1491" s="7">
        <v>43454</v>
      </c>
      <c r="Z1491" s="16" t="s">
        <v>66</v>
      </c>
      <c r="AA1491" s="7">
        <v>43458</v>
      </c>
    </row>
    <row r="1492" spans="1:35" ht="15" customHeight="1">
      <c r="A1492" s="290"/>
      <c r="C1492" s="16">
        <v>106</v>
      </c>
      <c r="D1492" s="2">
        <v>22491</v>
      </c>
      <c r="E1492" s="2" t="s">
        <v>744</v>
      </c>
      <c r="F1492" s="3">
        <v>29107202300098</v>
      </c>
      <c r="G1492" s="16" t="s">
        <v>34</v>
      </c>
      <c r="H1492" s="2" t="s">
        <v>759</v>
      </c>
      <c r="I1492" s="2" t="s">
        <v>66</v>
      </c>
      <c r="J1492" s="4">
        <v>43428</v>
      </c>
      <c r="K1492" s="16" t="s">
        <v>8</v>
      </c>
      <c r="L1492" s="16" t="s">
        <v>12</v>
      </c>
      <c r="M1492" s="2" t="s">
        <v>14</v>
      </c>
      <c r="R1492" s="23">
        <v>3</v>
      </c>
      <c r="S1492" s="23">
        <v>2.5</v>
      </c>
      <c r="T1492" s="23">
        <v>2.5</v>
      </c>
      <c r="U1492" s="23">
        <v>2.5</v>
      </c>
      <c r="V1492" s="23">
        <v>3</v>
      </c>
      <c r="W1492" s="16" t="s">
        <v>60</v>
      </c>
      <c r="X1492" s="2" t="s">
        <v>66</v>
      </c>
      <c r="Y1492" s="7">
        <v>43474</v>
      </c>
      <c r="Z1492" s="16" t="s">
        <v>66</v>
      </c>
      <c r="AA1492" s="7">
        <v>43480</v>
      </c>
    </row>
    <row r="1493" spans="1:35" ht="15" customHeight="1">
      <c r="A1493" s="290"/>
      <c r="C1493" s="16">
        <v>106</v>
      </c>
      <c r="D1493" s="2">
        <v>22492</v>
      </c>
      <c r="E1493" s="2" t="s">
        <v>745</v>
      </c>
      <c r="F1493" s="3">
        <v>28609221401514</v>
      </c>
      <c r="G1493" s="16" t="s">
        <v>34</v>
      </c>
      <c r="H1493" s="2" t="s">
        <v>760</v>
      </c>
      <c r="I1493" s="2" t="s">
        <v>66</v>
      </c>
      <c r="J1493" s="4">
        <v>43428</v>
      </c>
      <c r="K1493" s="16" t="s">
        <v>8</v>
      </c>
      <c r="L1493" s="16" t="s">
        <v>12</v>
      </c>
      <c r="M1493" s="2" t="s">
        <v>52</v>
      </c>
      <c r="W1493" s="16" t="s">
        <v>64</v>
      </c>
      <c r="Z1493" s="16" t="s">
        <v>67</v>
      </c>
    </row>
    <row r="1494" spans="1:35" ht="15" customHeight="1">
      <c r="A1494" s="290"/>
      <c r="C1494" s="16">
        <v>106</v>
      </c>
      <c r="D1494" s="16">
        <v>22493</v>
      </c>
      <c r="E1494" s="16" t="s">
        <v>746</v>
      </c>
      <c r="F1494" s="3">
        <v>29502082102978</v>
      </c>
      <c r="G1494" s="16" t="s">
        <v>4</v>
      </c>
      <c r="H1494" s="16" t="s">
        <v>761</v>
      </c>
      <c r="I1494" s="16" t="s">
        <v>66</v>
      </c>
      <c r="J1494" s="45">
        <v>43428</v>
      </c>
      <c r="K1494" s="16" t="s">
        <v>8</v>
      </c>
      <c r="L1494" s="16" t="s">
        <v>12</v>
      </c>
      <c r="M1494" s="16" t="s">
        <v>769</v>
      </c>
      <c r="N1494" s="16"/>
      <c r="R1494" s="23">
        <v>3</v>
      </c>
      <c r="S1494" s="23">
        <v>3</v>
      </c>
      <c r="T1494" s="23">
        <v>2.5</v>
      </c>
      <c r="U1494" s="23">
        <v>2</v>
      </c>
      <c r="V1494" s="23">
        <v>3</v>
      </c>
      <c r="W1494" s="16" t="s">
        <v>170</v>
      </c>
      <c r="X1494" s="16"/>
      <c r="Y1494" s="45">
        <v>43454</v>
      </c>
      <c r="Z1494" s="16" t="s">
        <v>66</v>
      </c>
      <c r="AA1494" s="45">
        <v>43465</v>
      </c>
      <c r="AB1494" s="16" t="s">
        <v>3898</v>
      </c>
    </row>
    <row r="1495" spans="1:35" ht="15" customHeight="1">
      <c r="A1495" s="290"/>
      <c r="C1495" s="16">
        <v>106</v>
      </c>
      <c r="D1495" s="16">
        <v>22494</v>
      </c>
      <c r="E1495" s="16" t="s">
        <v>747</v>
      </c>
      <c r="F1495" s="3">
        <v>29607252102486</v>
      </c>
      <c r="G1495" s="16" t="s">
        <v>34</v>
      </c>
      <c r="H1495" s="16" t="s">
        <v>762</v>
      </c>
      <c r="I1495" s="16" t="s">
        <v>66</v>
      </c>
      <c r="J1495" s="45">
        <v>43428</v>
      </c>
      <c r="K1495" s="16" t="s">
        <v>8</v>
      </c>
      <c r="L1495" s="16" t="s">
        <v>12</v>
      </c>
      <c r="M1495" s="16" t="s">
        <v>53</v>
      </c>
      <c r="N1495" s="16"/>
      <c r="R1495" s="23">
        <v>3</v>
      </c>
      <c r="S1495" s="23">
        <v>2.5</v>
      </c>
      <c r="T1495" s="23">
        <v>2</v>
      </c>
      <c r="U1495" s="23">
        <v>2</v>
      </c>
      <c r="V1495" s="23">
        <v>2.5</v>
      </c>
      <c r="W1495" s="16" t="s">
        <v>62</v>
      </c>
      <c r="X1495" s="16"/>
      <c r="Y1495" s="45">
        <v>43454</v>
      </c>
      <c r="Z1495" s="16" t="s">
        <v>66</v>
      </c>
      <c r="AA1495" s="45">
        <v>43458</v>
      </c>
      <c r="AB1495" s="16"/>
    </row>
    <row r="1496" spans="1:35" ht="15" customHeight="1">
      <c r="A1496" s="290"/>
      <c r="C1496" s="16">
        <v>106</v>
      </c>
      <c r="D1496" s="2">
        <v>22495</v>
      </c>
      <c r="E1496" s="2" t="s">
        <v>748</v>
      </c>
      <c r="F1496" s="3">
        <v>29509022404414</v>
      </c>
      <c r="G1496" s="16" t="s">
        <v>34</v>
      </c>
      <c r="H1496" s="2" t="s">
        <v>763</v>
      </c>
      <c r="I1496" s="2" t="s">
        <v>66</v>
      </c>
      <c r="J1496" s="4">
        <v>43428</v>
      </c>
      <c r="K1496" s="16" t="s">
        <v>8</v>
      </c>
      <c r="L1496" s="16" t="s">
        <v>12</v>
      </c>
      <c r="M1496" s="2" t="s">
        <v>622</v>
      </c>
      <c r="R1496" s="23">
        <v>3</v>
      </c>
      <c r="S1496" s="23">
        <v>2.5</v>
      </c>
      <c r="T1496" s="23">
        <v>2</v>
      </c>
      <c r="U1496" s="23">
        <v>2</v>
      </c>
      <c r="V1496" s="23">
        <v>3</v>
      </c>
      <c r="W1496" s="16" t="s">
        <v>62</v>
      </c>
      <c r="X1496" s="2" t="s">
        <v>66</v>
      </c>
      <c r="Y1496" s="7">
        <v>43474</v>
      </c>
      <c r="Z1496" s="16" t="s">
        <v>66</v>
      </c>
      <c r="AA1496" s="7">
        <v>43478</v>
      </c>
    </row>
    <row r="1497" spans="1:35" ht="15" customHeight="1">
      <c r="A1497" s="290"/>
      <c r="C1497" s="16">
        <v>106</v>
      </c>
      <c r="D1497" s="2">
        <v>22496</v>
      </c>
      <c r="E1497" s="2" t="s">
        <v>749</v>
      </c>
      <c r="F1497" s="3">
        <v>27809080105911</v>
      </c>
      <c r="G1497" s="16" t="s">
        <v>34</v>
      </c>
      <c r="H1497" s="2" t="s">
        <v>764</v>
      </c>
      <c r="I1497" s="2" t="s">
        <v>66</v>
      </c>
      <c r="J1497" s="4">
        <v>43428</v>
      </c>
      <c r="K1497" s="16" t="s">
        <v>8</v>
      </c>
      <c r="L1497" s="16" t="s">
        <v>12</v>
      </c>
      <c r="M1497" s="2" t="s">
        <v>771</v>
      </c>
      <c r="R1497" s="23">
        <v>3</v>
      </c>
      <c r="S1497" s="23">
        <v>2.5</v>
      </c>
      <c r="T1497" s="23">
        <v>2</v>
      </c>
      <c r="U1497" s="23">
        <v>3</v>
      </c>
      <c r="V1497" s="23">
        <v>3</v>
      </c>
      <c r="W1497" s="16" t="s">
        <v>61</v>
      </c>
      <c r="Y1497" s="7">
        <v>43454</v>
      </c>
      <c r="Z1497" s="16" t="s">
        <v>66</v>
      </c>
      <c r="AA1497" s="7">
        <v>43458</v>
      </c>
      <c r="AB1497" s="2" t="s">
        <v>3957</v>
      </c>
    </row>
    <row r="1498" spans="1:35" ht="15" customHeight="1">
      <c r="A1498" s="290"/>
      <c r="C1498" s="16">
        <v>106</v>
      </c>
      <c r="D1498" s="2">
        <v>22497</v>
      </c>
      <c r="E1498" s="2" t="s">
        <v>750</v>
      </c>
      <c r="F1498" s="3">
        <v>29703232103345</v>
      </c>
      <c r="G1498" s="16" t="s">
        <v>4</v>
      </c>
      <c r="H1498" s="2" t="s">
        <v>765</v>
      </c>
      <c r="I1498" s="2" t="s">
        <v>66</v>
      </c>
      <c r="J1498" s="4">
        <v>43428</v>
      </c>
      <c r="K1498" s="16" t="s">
        <v>8</v>
      </c>
      <c r="L1498" s="16" t="s">
        <v>12</v>
      </c>
      <c r="M1498" s="2" t="s">
        <v>622</v>
      </c>
      <c r="R1498" s="23">
        <v>3</v>
      </c>
      <c r="S1498" s="23">
        <v>2.5</v>
      </c>
      <c r="T1498" s="23">
        <v>2</v>
      </c>
      <c r="U1498" s="23">
        <v>2</v>
      </c>
      <c r="V1498" s="23">
        <v>3</v>
      </c>
      <c r="W1498" s="16" t="s">
        <v>63</v>
      </c>
      <c r="X1498" s="2" t="s">
        <v>66</v>
      </c>
      <c r="Z1498" s="16" t="s">
        <v>67</v>
      </c>
      <c r="AB1498" s="2" t="s">
        <v>701</v>
      </c>
    </row>
    <row r="1499" spans="1:35" ht="15" customHeight="1">
      <c r="A1499" s="290"/>
      <c r="C1499" s="16">
        <v>106</v>
      </c>
      <c r="D1499" s="2">
        <v>22498</v>
      </c>
      <c r="E1499" s="2" t="s">
        <v>751</v>
      </c>
      <c r="F1499" s="3">
        <v>29605171600489</v>
      </c>
      <c r="G1499" s="16" t="s">
        <v>34</v>
      </c>
      <c r="H1499" s="2" t="s">
        <v>766</v>
      </c>
      <c r="I1499" s="2" t="s">
        <v>66</v>
      </c>
      <c r="J1499" s="4">
        <v>43428</v>
      </c>
      <c r="K1499" s="16" t="s">
        <v>8</v>
      </c>
      <c r="L1499" s="16" t="s">
        <v>12</v>
      </c>
      <c r="M1499" s="2" t="s">
        <v>551</v>
      </c>
      <c r="R1499" s="23">
        <v>3</v>
      </c>
      <c r="S1499" s="23">
        <v>2.5</v>
      </c>
      <c r="T1499" s="23">
        <v>2.5</v>
      </c>
      <c r="U1499" s="23">
        <v>2</v>
      </c>
      <c r="V1499" s="23">
        <v>3</v>
      </c>
      <c r="W1499" s="16" t="s">
        <v>171</v>
      </c>
      <c r="Y1499" s="7">
        <v>43454</v>
      </c>
      <c r="Z1499" s="16" t="s">
        <v>66</v>
      </c>
      <c r="AA1499" s="7">
        <v>43458</v>
      </c>
    </row>
    <row r="1500" spans="1:35" ht="15.75" customHeight="1" thickBot="1">
      <c r="A1500" s="291"/>
      <c r="C1500" s="28">
        <v>106</v>
      </c>
      <c r="D1500" s="28">
        <v>22499</v>
      </c>
      <c r="E1500" s="28" t="s">
        <v>752</v>
      </c>
      <c r="F1500" s="29">
        <v>29502252200392</v>
      </c>
      <c r="G1500" s="28" t="s">
        <v>34</v>
      </c>
      <c r="H1500" s="28" t="s">
        <v>767</v>
      </c>
      <c r="I1500" s="28" t="s">
        <v>66</v>
      </c>
      <c r="J1500" s="30">
        <v>43428</v>
      </c>
      <c r="K1500" s="28" t="s">
        <v>8</v>
      </c>
      <c r="L1500" s="28" t="s">
        <v>12</v>
      </c>
      <c r="M1500" s="28" t="s">
        <v>770</v>
      </c>
      <c r="N1500" s="28"/>
      <c r="O1500" s="226"/>
      <c r="P1500" s="28"/>
      <c r="Q1500" s="226"/>
      <c r="R1500" s="37">
        <v>3</v>
      </c>
      <c r="S1500" s="37">
        <v>2.5</v>
      </c>
      <c r="T1500" s="37">
        <v>2.5</v>
      </c>
      <c r="U1500" s="37">
        <v>2.5</v>
      </c>
      <c r="V1500" s="37">
        <v>3</v>
      </c>
      <c r="W1500" s="28" t="s">
        <v>61</v>
      </c>
      <c r="X1500" s="28"/>
      <c r="Y1500" s="30">
        <v>43454</v>
      </c>
      <c r="Z1500" s="28" t="s">
        <v>66</v>
      </c>
      <c r="AA1500" s="30">
        <v>43458</v>
      </c>
      <c r="AB1500" s="28"/>
    </row>
    <row r="1501" spans="1:35" ht="15.75" customHeight="1" thickTop="1">
      <c r="A1501" s="284" t="s">
        <v>3124</v>
      </c>
      <c r="C1501" s="16">
        <v>107</v>
      </c>
      <c r="D1501" s="2">
        <v>22501</v>
      </c>
      <c r="E1501" s="2" t="s">
        <v>3137</v>
      </c>
      <c r="F1501" s="3">
        <v>29406160101488</v>
      </c>
      <c r="G1501" s="2" t="s">
        <v>34</v>
      </c>
      <c r="H1501" s="2" t="s">
        <v>3154</v>
      </c>
      <c r="I1501" s="2" t="s">
        <v>66</v>
      </c>
      <c r="J1501" s="4">
        <v>43435</v>
      </c>
      <c r="K1501" s="16" t="s">
        <v>8</v>
      </c>
      <c r="L1501" s="16" t="s">
        <v>12</v>
      </c>
      <c r="M1501" s="2" t="s">
        <v>52</v>
      </c>
      <c r="N1501" s="16"/>
      <c r="R1501" s="36">
        <v>3</v>
      </c>
      <c r="S1501" s="36">
        <v>3</v>
      </c>
      <c r="T1501" s="36">
        <v>2.5</v>
      </c>
      <c r="U1501" s="36">
        <v>2.5</v>
      </c>
      <c r="V1501" s="36">
        <v>3</v>
      </c>
      <c r="W1501" s="16" t="s">
        <v>60</v>
      </c>
      <c r="Y1501" s="7">
        <v>43460</v>
      </c>
      <c r="Z1501" s="16" t="s">
        <v>67</v>
      </c>
      <c r="AA1501" s="27"/>
      <c r="AB1501" s="2" t="s">
        <v>3811</v>
      </c>
      <c r="AD1501" s="296" t="s">
        <v>4510</v>
      </c>
      <c r="AE1501" s="296"/>
      <c r="AF1501" s="296"/>
      <c r="AG1501" s="296"/>
      <c r="AH1501" s="296"/>
      <c r="AI1501" s="296"/>
    </row>
    <row r="1502" spans="1:35" ht="15" customHeight="1">
      <c r="A1502" s="285"/>
      <c r="C1502" s="16">
        <v>107</v>
      </c>
      <c r="D1502" s="16">
        <v>22502</v>
      </c>
      <c r="E1502" s="16" t="s">
        <v>3138</v>
      </c>
      <c r="F1502" s="3">
        <v>29101162100114</v>
      </c>
      <c r="G1502" s="16" t="s">
        <v>34</v>
      </c>
      <c r="H1502" s="16" t="s">
        <v>3155</v>
      </c>
      <c r="I1502" s="16" t="s">
        <v>66</v>
      </c>
      <c r="J1502" s="45">
        <v>43435</v>
      </c>
      <c r="K1502" s="16" t="s">
        <v>8</v>
      </c>
      <c r="L1502" s="16" t="s">
        <v>12</v>
      </c>
      <c r="M1502" s="16" t="s">
        <v>3171</v>
      </c>
      <c r="N1502" s="16"/>
      <c r="R1502" s="23">
        <v>3</v>
      </c>
      <c r="S1502" s="23">
        <v>2</v>
      </c>
      <c r="T1502" s="23">
        <v>2.5</v>
      </c>
      <c r="U1502" s="23">
        <v>2.5</v>
      </c>
      <c r="V1502" s="23">
        <v>3</v>
      </c>
      <c r="W1502" s="16" t="s">
        <v>62</v>
      </c>
      <c r="X1502" s="16" t="s">
        <v>66</v>
      </c>
      <c r="Y1502" s="45">
        <v>43489</v>
      </c>
      <c r="Z1502" s="16" t="s">
        <v>66</v>
      </c>
      <c r="AA1502" s="45">
        <v>43513</v>
      </c>
      <c r="AB1502" s="16"/>
      <c r="AD1502" s="100" t="s">
        <v>4505</v>
      </c>
      <c r="AE1502" s="101" t="s">
        <v>4506</v>
      </c>
      <c r="AF1502" s="68"/>
      <c r="AG1502" s="100" t="s">
        <v>34</v>
      </c>
      <c r="AH1502" s="100" t="s">
        <v>3817</v>
      </c>
      <c r="AI1502" s="101" t="s">
        <v>4507</v>
      </c>
    </row>
    <row r="1503" spans="1:35" ht="15" customHeight="1">
      <c r="A1503" s="285"/>
      <c r="C1503" s="16">
        <v>107</v>
      </c>
      <c r="D1503" s="2">
        <v>22503</v>
      </c>
      <c r="E1503" s="2" t="s">
        <v>3139</v>
      </c>
      <c r="F1503" s="3">
        <v>29007022102692</v>
      </c>
      <c r="G1503" s="2" t="s">
        <v>34</v>
      </c>
      <c r="H1503" s="2" t="s">
        <v>3156</v>
      </c>
      <c r="I1503" s="2" t="s">
        <v>66</v>
      </c>
      <c r="J1503" s="4">
        <v>43435</v>
      </c>
      <c r="K1503" s="16" t="s">
        <v>8</v>
      </c>
      <c r="L1503" s="16" t="s">
        <v>12</v>
      </c>
      <c r="M1503" s="2" t="s">
        <v>623</v>
      </c>
      <c r="N1503" s="16"/>
      <c r="R1503" s="23">
        <v>3</v>
      </c>
      <c r="S1503" s="23">
        <v>2</v>
      </c>
      <c r="T1503" s="23">
        <v>2</v>
      </c>
      <c r="U1503" s="23">
        <v>2</v>
      </c>
      <c r="V1503" s="23">
        <v>3</v>
      </c>
      <c r="W1503" s="16" t="s">
        <v>62</v>
      </c>
      <c r="Y1503" s="7">
        <v>43460</v>
      </c>
      <c r="Z1503" s="16" t="s">
        <v>66</v>
      </c>
      <c r="AA1503" s="7">
        <v>43467</v>
      </c>
      <c r="AD1503" s="46">
        <v>85</v>
      </c>
      <c r="AE1503" s="46">
        <f>COUNTIF(W1501:W1622,"Resigned")+COUNTIF(W1501:W1622,"Dismissed")</f>
        <v>11</v>
      </c>
      <c r="AF1503" s="68"/>
      <c r="AG1503" s="46">
        <f>AD1503-AE1503</f>
        <v>74</v>
      </c>
      <c r="AH1503" s="46">
        <v>67</v>
      </c>
      <c r="AI1503" s="46">
        <v>18</v>
      </c>
    </row>
    <row r="1504" spans="1:35" ht="15" customHeight="1">
      <c r="A1504" s="285"/>
      <c r="C1504" s="16">
        <v>107</v>
      </c>
      <c r="D1504" s="2">
        <v>22504</v>
      </c>
      <c r="E1504" s="2" t="s">
        <v>3140</v>
      </c>
      <c r="F1504" s="3">
        <v>29109251405159</v>
      </c>
      <c r="G1504" s="16" t="s">
        <v>4</v>
      </c>
      <c r="H1504" s="2" t="s">
        <v>3157</v>
      </c>
      <c r="I1504" s="2" t="s">
        <v>66</v>
      </c>
      <c r="J1504" s="4">
        <v>43435</v>
      </c>
      <c r="K1504" s="16" t="s">
        <v>8</v>
      </c>
      <c r="L1504" s="16" t="s">
        <v>12</v>
      </c>
      <c r="M1504" s="2" t="s">
        <v>55</v>
      </c>
      <c r="N1504" s="16"/>
      <c r="R1504" s="23">
        <v>3</v>
      </c>
      <c r="S1504" s="23">
        <v>2</v>
      </c>
      <c r="T1504" s="23">
        <v>2</v>
      </c>
      <c r="U1504" s="23">
        <v>2</v>
      </c>
      <c r="V1504" s="23">
        <v>3</v>
      </c>
      <c r="W1504" s="16" t="s">
        <v>62</v>
      </c>
      <c r="Y1504" s="7">
        <v>43460</v>
      </c>
      <c r="Z1504" s="16" t="s">
        <v>66</v>
      </c>
      <c r="AA1504" s="7">
        <v>43467</v>
      </c>
      <c r="AD1504" s="44"/>
      <c r="AE1504" s="44"/>
      <c r="AF1504" s="44"/>
      <c r="AG1504" s="44"/>
      <c r="AH1504" s="44"/>
      <c r="AI1504" s="44"/>
    </row>
    <row r="1505" spans="1:35" ht="15" customHeight="1">
      <c r="A1505" s="285"/>
      <c r="C1505" s="16">
        <v>107</v>
      </c>
      <c r="D1505" s="2">
        <v>22505</v>
      </c>
      <c r="E1505" s="2" t="s">
        <v>3141</v>
      </c>
      <c r="F1505" s="3">
        <v>29601060101291</v>
      </c>
      <c r="G1505" s="16" t="s">
        <v>3663</v>
      </c>
      <c r="H1505" s="16" t="s">
        <v>3158</v>
      </c>
      <c r="I1505" s="2" t="s">
        <v>66</v>
      </c>
      <c r="J1505" s="4">
        <v>43435</v>
      </c>
      <c r="K1505" s="16" t="s">
        <v>8</v>
      </c>
      <c r="L1505" s="16" t="s">
        <v>12</v>
      </c>
      <c r="M1505" s="2" t="s">
        <v>3172</v>
      </c>
      <c r="N1505" s="16"/>
      <c r="R1505" s="23">
        <v>3</v>
      </c>
      <c r="S1505" s="23">
        <v>3</v>
      </c>
      <c r="T1505" s="23">
        <v>2.5</v>
      </c>
      <c r="U1505" s="23">
        <v>2</v>
      </c>
      <c r="V1505" s="23">
        <v>3</v>
      </c>
      <c r="W1505" s="16" t="s">
        <v>170</v>
      </c>
      <c r="Y1505" s="7">
        <v>43460</v>
      </c>
      <c r="Z1505" s="16" t="s">
        <v>66</v>
      </c>
      <c r="AA1505" s="7">
        <v>43465</v>
      </c>
      <c r="AB1505" s="75" t="s">
        <v>4216</v>
      </c>
      <c r="AD1505" s="297" t="s">
        <v>4504</v>
      </c>
      <c r="AE1505" s="297"/>
      <c r="AF1505" s="44"/>
      <c r="AG1505" s="298" t="s">
        <v>502</v>
      </c>
      <c r="AH1505" s="298"/>
      <c r="AI1505" s="44"/>
    </row>
    <row r="1506" spans="1:35" ht="15" customHeight="1">
      <c r="A1506" s="285"/>
      <c r="C1506" s="16">
        <v>107</v>
      </c>
      <c r="D1506" s="2">
        <v>22506</v>
      </c>
      <c r="E1506" s="2" t="s">
        <v>3142</v>
      </c>
      <c r="F1506" s="3">
        <v>28909302107169</v>
      </c>
      <c r="G1506" s="2" t="s">
        <v>34</v>
      </c>
      <c r="H1506" s="2" t="s">
        <v>3159</v>
      </c>
      <c r="I1506" s="2" t="s">
        <v>66</v>
      </c>
      <c r="J1506" s="4">
        <v>43435</v>
      </c>
      <c r="K1506" s="16" t="s">
        <v>8</v>
      </c>
      <c r="L1506" s="16" t="s">
        <v>12</v>
      </c>
      <c r="M1506" s="2" t="s">
        <v>55</v>
      </c>
      <c r="N1506" s="16"/>
      <c r="R1506" s="23">
        <v>3</v>
      </c>
      <c r="S1506" s="23">
        <v>2.5</v>
      </c>
      <c r="T1506" s="23">
        <v>2</v>
      </c>
      <c r="U1506" s="23">
        <v>2.5</v>
      </c>
      <c r="V1506" s="23">
        <v>3</v>
      </c>
      <c r="W1506" s="16" t="s">
        <v>62</v>
      </c>
      <c r="X1506" s="2" t="s">
        <v>66</v>
      </c>
      <c r="Y1506" s="45">
        <v>43489</v>
      </c>
      <c r="Z1506" s="16" t="s">
        <v>66</v>
      </c>
      <c r="AA1506" s="7">
        <v>43513</v>
      </c>
      <c r="AB1506" s="2" t="s">
        <v>3812</v>
      </c>
      <c r="AD1506" s="295">
        <v>21</v>
      </c>
      <c r="AE1506" s="295"/>
      <c r="AF1506" s="44"/>
      <c r="AG1506" s="295">
        <f>COUNTIF(W1501:W1622,"WU")+COUNTIF(W1501:W1622,"Comp. WU")+COUNTIF(W1501:W1622,"Expedia/WU")+COUNTIF(W1501:W1622,"Expedia\WU")+COUNTIF(W1501:W1622,"WU-ME")</f>
        <v>4</v>
      </c>
      <c r="AH1506" s="295"/>
      <c r="AI1506" s="44"/>
    </row>
    <row r="1507" spans="1:35" ht="15" customHeight="1">
      <c r="A1507" s="285"/>
      <c r="C1507" s="16">
        <v>107</v>
      </c>
      <c r="D1507" s="16">
        <v>22507</v>
      </c>
      <c r="E1507" s="16" t="s">
        <v>3143</v>
      </c>
      <c r="F1507" s="3">
        <v>29506031700523</v>
      </c>
      <c r="G1507" s="16" t="s">
        <v>34</v>
      </c>
      <c r="H1507" s="16" t="s">
        <v>3160</v>
      </c>
      <c r="I1507" s="16" t="s">
        <v>66</v>
      </c>
      <c r="J1507" s="45">
        <v>43435</v>
      </c>
      <c r="K1507" s="16" t="s">
        <v>8</v>
      </c>
      <c r="L1507" s="16" t="s">
        <v>12</v>
      </c>
      <c r="M1507" s="16" t="s">
        <v>52</v>
      </c>
      <c r="N1507" s="16"/>
      <c r="R1507" s="23">
        <v>3</v>
      </c>
      <c r="S1507" s="23">
        <v>2.5</v>
      </c>
      <c r="T1507" s="23">
        <v>2.5</v>
      </c>
      <c r="U1507" s="23">
        <v>2.5</v>
      </c>
      <c r="V1507" s="23">
        <v>3</v>
      </c>
      <c r="W1507" s="16" t="s">
        <v>60</v>
      </c>
      <c r="X1507" s="16"/>
      <c r="Y1507" s="45">
        <v>43460</v>
      </c>
      <c r="Z1507" s="16" t="s">
        <v>66</v>
      </c>
      <c r="AA1507" s="45">
        <v>43465</v>
      </c>
      <c r="AB1507" s="16"/>
      <c r="AD1507" s="44"/>
      <c r="AE1507" s="44"/>
      <c r="AF1507" s="44"/>
      <c r="AG1507" s="44"/>
      <c r="AH1507" s="44"/>
      <c r="AI1507" s="44"/>
    </row>
    <row r="1508" spans="1:35" ht="15" customHeight="1">
      <c r="A1508" s="285"/>
      <c r="C1508" s="16">
        <v>107</v>
      </c>
      <c r="D1508" s="16">
        <v>22508</v>
      </c>
      <c r="E1508" s="16" t="s">
        <v>3144</v>
      </c>
      <c r="F1508" s="3">
        <v>29109012803487</v>
      </c>
      <c r="G1508" s="16" t="s">
        <v>34</v>
      </c>
      <c r="H1508" s="16" t="s">
        <v>3161</v>
      </c>
      <c r="I1508" s="16" t="s">
        <v>66</v>
      </c>
      <c r="J1508" s="45">
        <v>43435</v>
      </c>
      <c r="K1508" s="16" t="s">
        <v>8</v>
      </c>
      <c r="L1508" s="16" t="s">
        <v>12</v>
      </c>
      <c r="M1508" s="16" t="s">
        <v>13</v>
      </c>
      <c r="N1508" s="16"/>
      <c r="R1508" s="23">
        <v>3</v>
      </c>
      <c r="S1508" s="23">
        <v>1.5</v>
      </c>
      <c r="T1508" s="23">
        <v>2</v>
      </c>
      <c r="U1508" s="23">
        <v>2</v>
      </c>
      <c r="V1508" s="23">
        <v>3</v>
      </c>
      <c r="W1508" s="16" t="s">
        <v>62</v>
      </c>
      <c r="X1508" s="16"/>
      <c r="Y1508" s="45">
        <v>43460</v>
      </c>
      <c r="Z1508" s="16" t="s">
        <v>66</v>
      </c>
      <c r="AA1508" s="45">
        <v>43467</v>
      </c>
      <c r="AB1508" s="16"/>
      <c r="AD1508" s="299" t="s">
        <v>4503</v>
      </c>
      <c r="AE1508" s="299"/>
      <c r="AF1508" s="44"/>
      <c r="AG1508" s="300" t="s">
        <v>4502</v>
      </c>
      <c r="AH1508" s="300"/>
      <c r="AI1508" s="44"/>
    </row>
    <row r="1509" spans="1:35" ht="15" customHeight="1">
      <c r="A1509" s="285"/>
      <c r="C1509" s="16">
        <v>107</v>
      </c>
      <c r="D1509" s="2">
        <v>22509</v>
      </c>
      <c r="E1509" s="2" t="s">
        <v>3145</v>
      </c>
      <c r="F1509" s="3">
        <v>29410212101322</v>
      </c>
      <c r="G1509" s="16" t="s">
        <v>34</v>
      </c>
      <c r="H1509" s="16" t="s">
        <v>3162</v>
      </c>
      <c r="I1509" s="2" t="s">
        <v>66</v>
      </c>
      <c r="J1509" s="4">
        <v>43435</v>
      </c>
      <c r="K1509" s="16" t="s">
        <v>8</v>
      </c>
      <c r="L1509" s="16" t="s">
        <v>12</v>
      </c>
      <c r="M1509" s="2" t="s">
        <v>623</v>
      </c>
      <c r="N1509" s="16"/>
      <c r="R1509" s="23">
        <v>3</v>
      </c>
      <c r="S1509" s="23">
        <v>2</v>
      </c>
      <c r="T1509" s="23">
        <v>2.5</v>
      </c>
      <c r="U1509" s="23">
        <v>2</v>
      </c>
      <c r="V1509" s="23">
        <v>3</v>
      </c>
      <c r="W1509" s="16" t="s">
        <v>62</v>
      </c>
      <c r="Y1509" s="7">
        <v>43460</v>
      </c>
      <c r="Z1509" s="16" t="s">
        <v>66</v>
      </c>
      <c r="AA1509" s="7">
        <v>43474</v>
      </c>
      <c r="AD1509" s="295">
        <v>15</v>
      </c>
      <c r="AE1509" s="295"/>
      <c r="AF1509" s="44"/>
      <c r="AG1509" s="295">
        <v>33</v>
      </c>
      <c r="AH1509" s="295"/>
      <c r="AI1509" s="44"/>
    </row>
    <row r="1510" spans="1:35" ht="15" customHeight="1">
      <c r="A1510" s="285"/>
      <c r="C1510" s="16">
        <v>107</v>
      </c>
      <c r="D1510" s="2">
        <v>22510</v>
      </c>
      <c r="E1510" s="2" t="s">
        <v>3146</v>
      </c>
      <c r="F1510" s="3">
        <v>29407102202165</v>
      </c>
      <c r="G1510" s="16" t="s">
        <v>34</v>
      </c>
      <c r="H1510" s="16" t="s">
        <v>3163</v>
      </c>
      <c r="I1510" s="2" t="s">
        <v>66</v>
      </c>
      <c r="J1510" s="4">
        <v>43435</v>
      </c>
      <c r="K1510" s="16" t="s">
        <v>8</v>
      </c>
      <c r="L1510" s="16" t="s">
        <v>12</v>
      </c>
      <c r="M1510" s="2" t="s">
        <v>103</v>
      </c>
      <c r="N1510" s="16"/>
      <c r="R1510" s="23">
        <v>3</v>
      </c>
      <c r="S1510" s="23">
        <v>3</v>
      </c>
      <c r="T1510" s="23">
        <v>2</v>
      </c>
      <c r="U1510" s="23">
        <v>2</v>
      </c>
      <c r="V1510" s="23">
        <v>3</v>
      </c>
      <c r="W1510" s="16" t="s">
        <v>60</v>
      </c>
      <c r="X1510" s="2" t="s">
        <v>66</v>
      </c>
      <c r="Y1510" s="45">
        <v>43489</v>
      </c>
      <c r="Z1510" s="16" t="s">
        <v>66</v>
      </c>
      <c r="AA1510" s="7">
        <v>43508</v>
      </c>
      <c r="AD1510" s="44"/>
      <c r="AE1510" s="44"/>
      <c r="AF1510" s="44"/>
      <c r="AG1510" s="44"/>
      <c r="AH1510" s="44"/>
      <c r="AI1510" s="44"/>
    </row>
    <row r="1511" spans="1:35" ht="15" customHeight="1">
      <c r="A1511" s="285"/>
      <c r="C1511" s="16">
        <v>107</v>
      </c>
      <c r="D1511" s="16">
        <v>22511</v>
      </c>
      <c r="E1511" s="16" t="s">
        <v>3147</v>
      </c>
      <c r="F1511" s="3">
        <v>29609291201044</v>
      </c>
      <c r="G1511" s="16" t="s">
        <v>34</v>
      </c>
      <c r="H1511" s="16" t="s">
        <v>3164</v>
      </c>
      <c r="I1511" s="16" t="s">
        <v>66</v>
      </c>
      <c r="J1511" s="7">
        <v>43435</v>
      </c>
      <c r="K1511" s="16" t="s">
        <v>8</v>
      </c>
      <c r="L1511" s="16" t="s">
        <v>12</v>
      </c>
      <c r="M1511" s="16" t="s">
        <v>52</v>
      </c>
      <c r="N1511" s="16"/>
      <c r="R1511" s="23">
        <v>3</v>
      </c>
      <c r="S1511" s="23">
        <v>2.5</v>
      </c>
      <c r="T1511" s="23">
        <v>2.5</v>
      </c>
      <c r="U1511" s="23">
        <v>3</v>
      </c>
      <c r="V1511" s="23">
        <v>3</v>
      </c>
      <c r="W1511" s="16" t="s">
        <v>60</v>
      </c>
      <c r="X1511" s="16"/>
      <c r="Y1511" s="7">
        <v>43460</v>
      </c>
      <c r="Z1511" s="16" t="s">
        <v>66</v>
      </c>
      <c r="AA1511" s="7">
        <v>43465</v>
      </c>
      <c r="AB1511" s="16"/>
      <c r="AD1511" s="44"/>
      <c r="AE1511" s="301" t="s">
        <v>4509</v>
      </c>
      <c r="AF1511" s="301"/>
      <c r="AG1511" s="301"/>
      <c r="AH1511" s="44"/>
      <c r="AI1511" s="44"/>
    </row>
    <row r="1512" spans="1:35" ht="15.75" customHeight="1">
      <c r="A1512" s="285"/>
      <c r="C1512" s="25">
        <v>107</v>
      </c>
      <c r="D1512" s="25">
        <v>22512</v>
      </c>
      <c r="E1512" s="25" t="s">
        <v>3148</v>
      </c>
      <c r="F1512" s="26">
        <v>29004032103191</v>
      </c>
      <c r="G1512" s="25" t="s">
        <v>34</v>
      </c>
      <c r="H1512" s="25" t="s">
        <v>3165</v>
      </c>
      <c r="I1512" s="25" t="s">
        <v>66</v>
      </c>
      <c r="J1512" s="27">
        <v>43435</v>
      </c>
      <c r="K1512" s="25" t="s">
        <v>8</v>
      </c>
      <c r="L1512" s="25" t="s">
        <v>12</v>
      </c>
      <c r="M1512" s="25" t="s">
        <v>585</v>
      </c>
      <c r="N1512" s="25"/>
      <c r="O1512" s="224"/>
      <c r="P1512" s="25"/>
      <c r="Q1512" s="224"/>
      <c r="R1512" s="23">
        <v>3</v>
      </c>
      <c r="S1512" s="23">
        <v>2.5</v>
      </c>
      <c r="T1512" s="23">
        <v>2.5</v>
      </c>
      <c r="U1512" s="23">
        <v>2</v>
      </c>
      <c r="V1512" s="23">
        <v>3</v>
      </c>
      <c r="W1512" s="25" t="s">
        <v>171</v>
      </c>
      <c r="X1512" s="25" t="s">
        <v>66</v>
      </c>
      <c r="Y1512" s="45">
        <v>43489</v>
      </c>
      <c r="Z1512" s="25" t="s">
        <v>66</v>
      </c>
      <c r="AA1512" s="27">
        <v>43513</v>
      </c>
      <c r="AB1512" s="25" t="s">
        <v>4218</v>
      </c>
      <c r="AD1512" s="44"/>
      <c r="AE1512" s="295">
        <v>1</v>
      </c>
      <c r="AF1512" s="295"/>
      <c r="AG1512" s="295"/>
      <c r="AH1512" s="44"/>
      <c r="AI1512" s="44"/>
    </row>
    <row r="1513" spans="1:35" ht="15" customHeight="1">
      <c r="A1513" s="285"/>
      <c r="C1513" s="16">
        <v>107</v>
      </c>
      <c r="D1513" s="2">
        <v>22513</v>
      </c>
      <c r="E1513" s="2" t="s">
        <v>3149</v>
      </c>
      <c r="F1513" s="3">
        <v>29601280103325</v>
      </c>
      <c r="G1513" s="2" t="s">
        <v>34</v>
      </c>
      <c r="H1513" s="16" t="s">
        <v>3166</v>
      </c>
      <c r="I1513" s="2" t="s">
        <v>66</v>
      </c>
      <c r="J1513" s="4">
        <v>43435</v>
      </c>
      <c r="K1513" s="16" t="s">
        <v>8</v>
      </c>
      <c r="L1513" s="16" t="s">
        <v>12</v>
      </c>
      <c r="M1513" s="2" t="s">
        <v>105</v>
      </c>
      <c r="N1513" s="16"/>
      <c r="R1513" s="23">
        <v>3</v>
      </c>
      <c r="S1513" s="23">
        <v>3</v>
      </c>
      <c r="T1513" s="23">
        <v>2.5</v>
      </c>
      <c r="U1513" s="23">
        <v>2</v>
      </c>
      <c r="V1513" s="23">
        <v>3</v>
      </c>
      <c r="W1513" s="16" t="s">
        <v>60</v>
      </c>
      <c r="Y1513" s="7">
        <v>43460</v>
      </c>
      <c r="Z1513" s="16" t="s">
        <v>66</v>
      </c>
      <c r="AA1513" s="7">
        <v>43465</v>
      </c>
    </row>
    <row r="1514" spans="1:35" ht="15" customHeight="1">
      <c r="A1514" s="285"/>
      <c r="C1514" s="16">
        <v>107</v>
      </c>
      <c r="D1514" s="2">
        <v>22514</v>
      </c>
      <c r="E1514" s="2" t="s">
        <v>3150</v>
      </c>
      <c r="F1514" s="3">
        <v>29305280101791</v>
      </c>
      <c r="G1514" s="16" t="s">
        <v>3663</v>
      </c>
      <c r="H1514" s="16" t="s">
        <v>3167</v>
      </c>
      <c r="I1514" s="2" t="s">
        <v>66</v>
      </c>
      <c r="J1514" s="4">
        <v>43435</v>
      </c>
      <c r="K1514" s="16" t="s">
        <v>8</v>
      </c>
      <c r="L1514" s="16" t="s">
        <v>12</v>
      </c>
      <c r="M1514" s="2" t="s">
        <v>3173</v>
      </c>
      <c r="N1514" s="16"/>
      <c r="R1514" s="23">
        <v>3</v>
      </c>
      <c r="S1514" s="23">
        <v>3</v>
      </c>
      <c r="T1514" s="23">
        <v>2</v>
      </c>
      <c r="U1514" s="23">
        <v>2.5</v>
      </c>
      <c r="V1514" s="23">
        <v>3</v>
      </c>
      <c r="W1514" s="16" t="s">
        <v>60</v>
      </c>
      <c r="X1514" s="2" t="s">
        <v>66</v>
      </c>
      <c r="Y1514" s="45">
        <v>43489</v>
      </c>
      <c r="Z1514" s="16" t="s">
        <v>66</v>
      </c>
      <c r="AA1514" s="7">
        <v>43515</v>
      </c>
      <c r="AB1514" s="25" t="s">
        <v>3959</v>
      </c>
    </row>
    <row r="1515" spans="1:35" ht="15" customHeight="1">
      <c r="A1515" s="285"/>
      <c r="C1515" s="16">
        <v>107</v>
      </c>
      <c r="D1515" s="2">
        <v>22515</v>
      </c>
      <c r="E1515" s="2" t="s">
        <v>3151</v>
      </c>
      <c r="F1515" s="3">
        <v>29212098800774</v>
      </c>
      <c r="G1515" s="16" t="s">
        <v>34</v>
      </c>
      <c r="H1515" s="16" t="s">
        <v>3168</v>
      </c>
      <c r="I1515" s="2" t="s">
        <v>66</v>
      </c>
      <c r="J1515" s="4">
        <v>43435</v>
      </c>
      <c r="K1515" s="16" t="s">
        <v>8</v>
      </c>
      <c r="L1515" s="16" t="s">
        <v>12</v>
      </c>
      <c r="M1515" s="2" t="s">
        <v>109</v>
      </c>
      <c r="N1515" s="16"/>
      <c r="R1515" s="23">
        <v>3</v>
      </c>
      <c r="S1515" s="23">
        <v>3</v>
      </c>
      <c r="T1515" s="23">
        <v>2.5</v>
      </c>
      <c r="U1515" s="23">
        <v>2.5</v>
      </c>
      <c r="V1515" s="23">
        <v>3</v>
      </c>
      <c r="W1515" s="16" t="s">
        <v>60</v>
      </c>
      <c r="Y1515" s="7">
        <v>43460</v>
      </c>
      <c r="Z1515" s="16" t="s">
        <v>66</v>
      </c>
      <c r="AA1515" s="7">
        <v>43465</v>
      </c>
      <c r="AB1515" s="75" t="s">
        <v>3963</v>
      </c>
    </row>
    <row r="1516" spans="1:35" ht="15" customHeight="1">
      <c r="A1516" s="285"/>
      <c r="C1516" s="16">
        <v>107</v>
      </c>
      <c r="D1516" s="2">
        <v>22516</v>
      </c>
      <c r="E1516" s="2" t="s">
        <v>3152</v>
      </c>
      <c r="F1516" s="3">
        <v>29503090102967</v>
      </c>
      <c r="G1516" s="2" t="s">
        <v>34</v>
      </c>
      <c r="H1516" s="16" t="s">
        <v>3169</v>
      </c>
      <c r="I1516" s="2" t="s">
        <v>66</v>
      </c>
      <c r="J1516" s="4">
        <v>43435</v>
      </c>
      <c r="K1516" s="16" t="s">
        <v>8</v>
      </c>
      <c r="L1516" s="16" t="s">
        <v>12</v>
      </c>
      <c r="M1516" s="2" t="s">
        <v>16</v>
      </c>
      <c r="N1516" s="16"/>
      <c r="R1516" s="23">
        <v>3</v>
      </c>
      <c r="S1516" s="23">
        <v>2.5</v>
      </c>
      <c r="T1516" s="23">
        <v>3</v>
      </c>
      <c r="U1516" s="23">
        <v>2.5</v>
      </c>
      <c r="V1516" s="23">
        <v>3</v>
      </c>
      <c r="W1516" s="16" t="s">
        <v>60</v>
      </c>
      <c r="Y1516" s="7">
        <v>43460</v>
      </c>
      <c r="Z1516" s="16" t="s">
        <v>67</v>
      </c>
      <c r="AB1516" s="16" t="s">
        <v>3859</v>
      </c>
    </row>
    <row r="1517" spans="1:35" ht="15.75" customHeight="1" thickBot="1">
      <c r="A1517" s="286"/>
      <c r="C1517" s="28">
        <v>107</v>
      </c>
      <c r="D1517" s="28">
        <v>22763</v>
      </c>
      <c r="E1517" s="28" t="s">
        <v>3153</v>
      </c>
      <c r="F1517" s="29">
        <v>29310310102278</v>
      </c>
      <c r="G1517" s="28" t="s">
        <v>34</v>
      </c>
      <c r="H1517" s="28" t="s">
        <v>3170</v>
      </c>
      <c r="I1517" s="28" t="s">
        <v>66</v>
      </c>
      <c r="J1517" s="30">
        <v>43435</v>
      </c>
      <c r="K1517" s="28" t="s">
        <v>8</v>
      </c>
      <c r="L1517" s="28" t="s">
        <v>12</v>
      </c>
      <c r="M1517" s="28" t="s">
        <v>3174</v>
      </c>
      <c r="N1517" s="28"/>
      <c r="O1517" s="226"/>
      <c r="P1517" s="28"/>
      <c r="Q1517" s="226"/>
      <c r="R1517" s="37">
        <v>3</v>
      </c>
      <c r="S1517" s="37">
        <v>2.5</v>
      </c>
      <c r="T1517" s="37">
        <v>2</v>
      </c>
      <c r="U1517" s="37">
        <v>2</v>
      </c>
      <c r="V1517" s="37">
        <v>3</v>
      </c>
      <c r="W1517" s="28" t="s">
        <v>62</v>
      </c>
      <c r="X1517" s="28"/>
      <c r="Y1517" s="30">
        <v>43460</v>
      </c>
      <c r="Z1517" s="28" t="s">
        <v>66</v>
      </c>
      <c r="AA1517" s="30">
        <v>43467</v>
      </c>
      <c r="AB1517" s="28"/>
    </row>
    <row r="1518" spans="1:35" ht="15.75" customHeight="1" thickTop="1">
      <c r="A1518" s="284" t="s">
        <v>3118</v>
      </c>
      <c r="C1518" s="25" t="s">
        <v>804</v>
      </c>
      <c r="D1518" s="25">
        <v>22184</v>
      </c>
      <c r="E1518" s="25" t="s">
        <v>776</v>
      </c>
      <c r="F1518" s="26">
        <v>29302101203269</v>
      </c>
      <c r="G1518" s="25" t="s">
        <v>34</v>
      </c>
      <c r="H1518" s="25" t="s">
        <v>787</v>
      </c>
      <c r="I1518" s="25" t="s">
        <v>66</v>
      </c>
      <c r="J1518" s="27">
        <v>43403</v>
      </c>
      <c r="K1518" s="25" t="s">
        <v>798</v>
      </c>
      <c r="L1518" s="25" t="s">
        <v>12</v>
      </c>
      <c r="M1518" s="25" t="s">
        <v>102</v>
      </c>
      <c r="N1518" s="25"/>
      <c r="O1518" s="224"/>
      <c r="P1518" s="25"/>
      <c r="Q1518" s="224"/>
      <c r="R1518" s="25"/>
      <c r="S1518" s="25"/>
      <c r="T1518" s="25"/>
      <c r="U1518" s="25"/>
      <c r="V1518" s="25"/>
      <c r="W1518" s="25" t="s">
        <v>62</v>
      </c>
      <c r="X1518" s="25"/>
      <c r="Y1518" s="7">
        <v>43430</v>
      </c>
      <c r="Z1518" s="25" t="s">
        <v>66</v>
      </c>
      <c r="AA1518" s="7">
        <v>43438</v>
      </c>
      <c r="AB1518" s="25"/>
    </row>
    <row r="1519" spans="1:35" ht="15" customHeight="1">
      <c r="A1519" s="285"/>
      <c r="C1519" s="16" t="s">
        <v>804</v>
      </c>
      <c r="D1519" s="2">
        <v>22186</v>
      </c>
      <c r="E1519" s="2" t="s">
        <v>777</v>
      </c>
      <c r="F1519" s="3">
        <v>29606222102442</v>
      </c>
      <c r="G1519" s="2" t="s">
        <v>34</v>
      </c>
      <c r="H1519" s="16" t="s">
        <v>788</v>
      </c>
      <c r="I1519" s="2" t="s">
        <v>66</v>
      </c>
      <c r="J1519" s="4">
        <v>43403</v>
      </c>
      <c r="K1519" s="16" t="s">
        <v>798</v>
      </c>
      <c r="L1519" s="16" t="s">
        <v>12</v>
      </c>
      <c r="M1519" s="2" t="s">
        <v>799</v>
      </c>
      <c r="N1519" s="16"/>
      <c r="W1519" s="16" t="s">
        <v>170</v>
      </c>
      <c r="X1519" s="16" t="s">
        <v>66</v>
      </c>
      <c r="Y1519" s="7">
        <v>43468</v>
      </c>
      <c r="Z1519" s="16" t="s">
        <v>66</v>
      </c>
      <c r="AA1519" s="7">
        <v>43472</v>
      </c>
      <c r="AB1519" s="16" t="s">
        <v>3322</v>
      </c>
    </row>
    <row r="1520" spans="1:35" ht="15" customHeight="1">
      <c r="A1520" s="285"/>
      <c r="C1520" s="16" t="s">
        <v>804</v>
      </c>
      <c r="D1520" s="16">
        <v>22180</v>
      </c>
      <c r="E1520" s="16" t="s">
        <v>778</v>
      </c>
      <c r="F1520" s="3">
        <v>29605162100481</v>
      </c>
      <c r="G1520" s="16" t="s">
        <v>34</v>
      </c>
      <c r="H1520" s="16" t="s">
        <v>789</v>
      </c>
      <c r="I1520" s="16" t="s">
        <v>66</v>
      </c>
      <c r="J1520" s="7">
        <v>43403</v>
      </c>
      <c r="K1520" s="16" t="s">
        <v>798</v>
      </c>
      <c r="L1520" s="16" t="s">
        <v>12</v>
      </c>
      <c r="M1520" s="16" t="s">
        <v>53</v>
      </c>
      <c r="N1520" s="16"/>
      <c r="W1520" s="16" t="s">
        <v>62</v>
      </c>
      <c r="X1520" s="16"/>
      <c r="Y1520" s="7">
        <v>43430</v>
      </c>
      <c r="Z1520" s="16" t="s">
        <v>66</v>
      </c>
      <c r="AA1520" s="7">
        <v>43438</v>
      </c>
      <c r="AB1520" s="16"/>
    </row>
    <row r="1521" spans="1:28" ht="15.75" customHeight="1">
      <c r="A1521" s="285"/>
      <c r="C1521" s="25" t="s">
        <v>804</v>
      </c>
      <c r="D1521" s="25">
        <v>22185</v>
      </c>
      <c r="E1521" s="25" t="s">
        <v>779</v>
      </c>
      <c r="F1521" s="26">
        <v>29609281301482</v>
      </c>
      <c r="G1521" s="25" t="s">
        <v>34</v>
      </c>
      <c r="H1521" s="25" t="s">
        <v>790</v>
      </c>
      <c r="I1521" s="25" t="s">
        <v>66</v>
      </c>
      <c r="J1521" s="27">
        <v>43403</v>
      </c>
      <c r="K1521" s="25" t="s">
        <v>798</v>
      </c>
      <c r="L1521" s="25" t="s">
        <v>12</v>
      </c>
      <c r="M1521" s="25" t="s">
        <v>800</v>
      </c>
      <c r="N1521" s="25"/>
      <c r="O1521" s="224"/>
      <c r="P1521" s="25"/>
      <c r="Q1521" s="224"/>
      <c r="R1521" s="25"/>
      <c r="S1521" s="25"/>
      <c r="T1521" s="25"/>
      <c r="U1521" s="25"/>
      <c r="V1521" s="25"/>
      <c r="W1521" s="16" t="s">
        <v>62</v>
      </c>
      <c r="X1521" s="16" t="s">
        <v>66</v>
      </c>
      <c r="Y1521" s="7">
        <v>43468</v>
      </c>
      <c r="Z1521" s="25" t="s">
        <v>66</v>
      </c>
      <c r="AA1521" s="27">
        <v>43474</v>
      </c>
      <c r="AB1521" s="16" t="s">
        <v>3322</v>
      </c>
    </row>
    <row r="1522" spans="1:28" ht="15" customHeight="1">
      <c r="A1522" s="285"/>
      <c r="C1522" s="16" t="s">
        <v>804</v>
      </c>
      <c r="D1522" s="2">
        <v>22182</v>
      </c>
      <c r="E1522" s="2" t="s">
        <v>780</v>
      </c>
      <c r="F1522" s="3">
        <v>29606250100803</v>
      </c>
      <c r="G1522" s="2" t="s">
        <v>34</v>
      </c>
      <c r="H1522" s="2" t="s">
        <v>791</v>
      </c>
      <c r="I1522" s="2" t="s">
        <v>66</v>
      </c>
      <c r="J1522" s="4">
        <v>43403</v>
      </c>
      <c r="K1522" s="16" t="s">
        <v>798</v>
      </c>
      <c r="L1522" s="16" t="s">
        <v>12</v>
      </c>
      <c r="M1522" s="2" t="s">
        <v>53</v>
      </c>
      <c r="W1522" s="16" t="s">
        <v>62</v>
      </c>
      <c r="X1522" s="16" t="s">
        <v>66</v>
      </c>
      <c r="Y1522" s="7">
        <v>43468</v>
      </c>
      <c r="Z1522" s="16" t="s">
        <v>66</v>
      </c>
      <c r="AA1522" s="7">
        <v>43467</v>
      </c>
      <c r="AB1522" s="16" t="s">
        <v>3322</v>
      </c>
    </row>
    <row r="1523" spans="1:28" ht="15" customHeight="1">
      <c r="A1523" s="285"/>
      <c r="C1523" s="16" t="s">
        <v>804</v>
      </c>
      <c r="D1523" s="2">
        <v>22183</v>
      </c>
      <c r="E1523" s="2" t="s">
        <v>781</v>
      </c>
      <c r="F1523" s="3">
        <v>29410250103843</v>
      </c>
      <c r="G1523" s="2" t="s">
        <v>34</v>
      </c>
      <c r="H1523" s="2" t="s">
        <v>792</v>
      </c>
      <c r="I1523" s="2" t="s">
        <v>66</v>
      </c>
      <c r="J1523" s="4">
        <v>43403</v>
      </c>
      <c r="K1523" s="16" t="s">
        <v>798</v>
      </c>
      <c r="L1523" s="16" t="s">
        <v>12</v>
      </c>
      <c r="M1523" s="2" t="s">
        <v>15</v>
      </c>
      <c r="W1523" s="16" t="s">
        <v>170</v>
      </c>
      <c r="X1523" s="16" t="s">
        <v>66</v>
      </c>
      <c r="Y1523" s="7">
        <v>43468</v>
      </c>
      <c r="Z1523" s="16" t="s">
        <v>66</v>
      </c>
      <c r="AA1523" s="7">
        <v>43472</v>
      </c>
      <c r="AB1523" s="16" t="s">
        <v>3322</v>
      </c>
    </row>
    <row r="1524" spans="1:28" ht="15" customHeight="1">
      <c r="A1524" s="285"/>
      <c r="C1524" s="16" t="s">
        <v>804</v>
      </c>
      <c r="D1524" s="2">
        <v>22181</v>
      </c>
      <c r="E1524" s="2" t="s">
        <v>782</v>
      </c>
      <c r="F1524" s="3">
        <v>29604150101231</v>
      </c>
      <c r="G1524" s="2" t="s">
        <v>34</v>
      </c>
      <c r="H1524" s="2" t="s">
        <v>793</v>
      </c>
      <c r="I1524" s="2" t="s">
        <v>66</v>
      </c>
      <c r="J1524" s="4">
        <v>43403</v>
      </c>
      <c r="K1524" s="16" t="s">
        <v>798</v>
      </c>
      <c r="L1524" s="16" t="s">
        <v>12</v>
      </c>
      <c r="M1524" s="2" t="s">
        <v>226</v>
      </c>
      <c r="W1524" s="16" t="s">
        <v>62</v>
      </c>
      <c r="Y1524" s="7">
        <v>43430</v>
      </c>
      <c r="Z1524" s="16" t="s">
        <v>66</v>
      </c>
      <c r="AA1524" s="7">
        <v>43438</v>
      </c>
    </row>
    <row r="1525" spans="1:28" ht="15" customHeight="1">
      <c r="A1525" s="285"/>
      <c r="C1525" s="16" t="s">
        <v>804</v>
      </c>
      <c r="D1525" s="2">
        <v>22176</v>
      </c>
      <c r="E1525" s="2" t="s">
        <v>783</v>
      </c>
      <c r="F1525" s="3">
        <v>29504161600404</v>
      </c>
      <c r="G1525" s="16" t="s">
        <v>34</v>
      </c>
      <c r="H1525" s="2" t="s">
        <v>794</v>
      </c>
      <c r="I1525" s="2" t="s">
        <v>66</v>
      </c>
      <c r="J1525" s="4">
        <v>43403</v>
      </c>
      <c r="K1525" s="16" t="s">
        <v>798</v>
      </c>
      <c r="L1525" s="16" t="s">
        <v>12</v>
      </c>
      <c r="M1525" s="2" t="s">
        <v>197</v>
      </c>
      <c r="W1525" s="16" t="s">
        <v>62</v>
      </c>
      <c r="Y1525" s="7">
        <v>43430</v>
      </c>
      <c r="Z1525" s="16" t="s">
        <v>67</v>
      </c>
      <c r="AB1525" s="2" t="s">
        <v>3381</v>
      </c>
    </row>
    <row r="1526" spans="1:28" ht="15" customHeight="1">
      <c r="A1526" s="285"/>
      <c r="C1526" s="16" t="s">
        <v>804</v>
      </c>
      <c r="D1526" s="2">
        <v>22179</v>
      </c>
      <c r="E1526" s="2" t="s">
        <v>784</v>
      </c>
      <c r="F1526" s="3">
        <v>29610150101265</v>
      </c>
      <c r="G1526" s="2" t="s">
        <v>34</v>
      </c>
      <c r="H1526" s="2" t="s">
        <v>795</v>
      </c>
      <c r="I1526" s="2" t="s">
        <v>66</v>
      </c>
      <c r="J1526" s="4">
        <v>43403</v>
      </c>
      <c r="K1526" s="16" t="s">
        <v>798</v>
      </c>
      <c r="L1526" s="16" t="s">
        <v>12</v>
      </c>
      <c r="M1526" s="2" t="s">
        <v>551</v>
      </c>
      <c r="W1526" s="16" t="s">
        <v>62</v>
      </c>
      <c r="X1526" s="16"/>
      <c r="Y1526" s="7">
        <v>43430</v>
      </c>
      <c r="Z1526" s="16" t="s">
        <v>66</v>
      </c>
      <c r="AA1526" s="7">
        <v>43438</v>
      </c>
    </row>
    <row r="1527" spans="1:28" ht="15" customHeight="1">
      <c r="A1527" s="285"/>
      <c r="C1527" s="16" t="s">
        <v>804</v>
      </c>
      <c r="D1527" s="2">
        <v>22178</v>
      </c>
      <c r="E1527" s="2" t="s">
        <v>785</v>
      </c>
      <c r="F1527" s="3">
        <v>28703018800345</v>
      </c>
      <c r="G1527" s="2" t="s">
        <v>34</v>
      </c>
      <c r="H1527" s="2" t="s">
        <v>796</v>
      </c>
      <c r="I1527" s="2" t="s">
        <v>66</v>
      </c>
      <c r="J1527" s="4">
        <v>43403</v>
      </c>
      <c r="K1527" s="16" t="s">
        <v>798</v>
      </c>
      <c r="L1527" s="16" t="s">
        <v>12</v>
      </c>
      <c r="M1527" s="2" t="s">
        <v>109</v>
      </c>
      <c r="W1527" s="16" t="s">
        <v>62</v>
      </c>
      <c r="Y1527" s="7">
        <v>43430</v>
      </c>
      <c r="Z1527" s="16" t="s">
        <v>66</v>
      </c>
      <c r="AA1527" s="7">
        <v>43438</v>
      </c>
    </row>
    <row r="1528" spans="1:28" ht="16.5" customHeight="1" thickBot="1">
      <c r="A1528" s="286"/>
      <c r="C1528" s="28" t="s">
        <v>804</v>
      </c>
      <c r="D1528" s="28">
        <v>22177</v>
      </c>
      <c r="E1528" s="28" t="s">
        <v>786</v>
      </c>
      <c r="F1528" s="29">
        <v>29507221400301</v>
      </c>
      <c r="G1528" s="28" t="s">
        <v>34</v>
      </c>
      <c r="H1528" s="28" t="s">
        <v>797</v>
      </c>
      <c r="I1528" s="28" t="s">
        <v>66</v>
      </c>
      <c r="J1528" s="30">
        <v>43403</v>
      </c>
      <c r="K1528" s="28" t="s">
        <v>798</v>
      </c>
      <c r="L1528" s="28" t="s">
        <v>12</v>
      </c>
      <c r="M1528" s="28" t="s">
        <v>801</v>
      </c>
      <c r="N1528" s="28"/>
      <c r="O1528" s="226"/>
      <c r="P1528" s="28"/>
      <c r="Q1528" s="226"/>
      <c r="R1528" s="28"/>
      <c r="S1528" s="28"/>
      <c r="T1528" s="28"/>
      <c r="U1528" s="28"/>
      <c r="V1528" s="28"/>
      <c r="W1528" s="28" t="s">
        <v>62</v>
      </c>
      <c r="X1528" s="28"/>
      <c r="Y1528" s="30">
        <v>43430</v>
      </c>
      <c r="Z1528" s="28" t="s">
        <v>66</v>
      </c>
      <c r="AA1528" s="30">
        <v>43438</v>
      </c>
      <c r="AB1528" s="28"/>
    </row>
    <row r="1529" spans="1:28" ht="15.75" customHeight="1" thickTop="1">
      <c r="A1529" s="284" t="s">
        <v>3127</v>
      </c>
      <c r="C1529" s="25" t="s">
        <v>3195</v>
      </c>
      <c r="D1529" s="25">
        <v>22444</v>
      </c>
      <c r="E1529" s="25" t="s">
        <v>3179</v>
      </c>
      <c r="F1529" s="26">
        <v>28903182100604</v>
      </c>
      <c r="G1529" s="25" t="s">
        <v>34</v>
      </c>
      <c r="H1529" s="25" t="s">
        <v>3196</v>
      </c>
      <c r="I1529" s="25" t="s">
        <v>66</v>
      </c>
      <c r="J1529" s="27">
        <v>43421</v>
      </c>
      <c r="K1529" s="25" t="s">
        <v>798</v>
      </c>
      <c r="L1529" s="25" t="s">
        <v>12</v>
      </c>
      <c r="M1529" s="25" t="s">
        <v>3214</v>
      </c>
      <c r="N1529" s="25"/>
      <c r="O1529" s="224"/>
      <c r="P1529" s="25"/>
      <c r="Q1529" s="224"/>
      <c r="R1529" s="23">
        <v>3</v>
      </c>
      <c r="S1529" s="23">
        <v>3</v>
      </c>
      <c r="T1529" s="23">
        <v>2</v>
      </c>
      <c r="U1529" s="23">
        <v>2.5</v>
      </c>
      <c r="V1529" s="23">
        <v>3</v>
      </c>
      <c r="W1529" s="16" t="s">
        <v>61</v>
      </c>
      <c r="X1529" s="16" t="s">
        <v>66</v>
      </c>
      <c r="Y1529" s="45">
        <v>43479</v>
      </c>
      <c r="Z1529" s="25" t="s">
        <v>66</v>
      </c>
      <c r="AA1529" s="27">
        <v>43486</v>
      </c>
      <c r="AB1529" s="16" t="s">
        <v>3348</v>
      </c>
    </row>
    <row r="1530" spans="1:28" ht="15" customHeight="1">
      <c r="A1530" s="285"/>
      <c r="C1530" s="16" t="s">
        <v>3195</v>
      </c>
      <c r="D1530" s="2">
        <v>22445</v>
      </c>
      <c r="E1530" s="2" t="s">
        <v>3180</v>
      </c>
      <c r="F1530" s="3">
        <v>29512232101679</v>
      </c>
      <c r="G1530" s="2" t="s">
        <v>34</v>
      </c>
      <c r="H1530" s="16" t="s">
        <v>3197</v>
      </c>
      <c r="I1530" s="2" t="s">
        <v>66</v>
      </c>
      <c r="J1530" s="4">
        <v>43421</v>
      </c>
      <c r="K1530" s="16" t="s">
        <v>798</v>
      </c>
      <c r="L1530" s="16" t="s">
        <v>12</v>
      </c>
      <c r="M1530" s="2" t="s">
        <v>53</v>
      </c>
      <c r="N1530" s="16"/>
      <c r="W1530" s="16" t="s">
        <v>340</v>
      </c>
      <c r="X1530" s="16"/>
      <c r="Y1530" s="7">
        <v>43446</v>
      </c>
    </row>
    <row r="1531" spans="1:28" ht="15" customHeight="1">
      <c r="A1531" s="285"/>
      <c r="C1531" s="16" t="s">
        <v>3195</v>
      </c>
      <c r="D1531" s="2">
        <v>22446</v>
      </c>
      <c r="E1531" s="2" t="s">
        <v>3181</v>
      </c>
      <c r="F1531" s="3">
        <v>28805248800414</v>
      </c>
      <c r="G1531" s="2" t="s">
        <v>34</v>
      </c>
      <c r="H1531" s="16" t="s">
        <v>3198</v>
      </c>
      <c r="I1531" s="2" t="s">
        <v>66</v>
      </c>
      <c r="J1531" s="4">
        <v>43421</v>
      </c>
      <c r="K1531" s="16" t="s">
        <v>798</v>
      </c>
      <c r="L1531" s="16" t="s">
        <v>12</v>
      </c>
      <c r="M1531" s="2" t="s">
        <v>105</v>
      </c>
      <c r="N1531" s="16"/>
      <c r="W1531" s="16" t="s">
        <v>62</v>
      </c>
      <c r="Y1531" s="7">
        <v>43446</v>
      </c>
      <c r="Z1531" s="16" t="s">
        <v>66</v>
      </c>
      <c r="AA1531" s="7">
        <v>43450</v>
      </c>
    </row>
    <row r="1532" spans="1:28" ht="15" customHeight="1">
      <c r="A1532" s="285"/>
      <c r="C1532" s="16" t="s">
        <v>3195</v>
      </c>
      <c r="D1532" s="2">
        <v>22447</v>
      </c>
      <c r="E1532" s="2" t="s">
        <v>3182</v>
      </c>
      <c r="F1532" s="3" t="s">
        <v>3183</v>
      </c>
      <c r="G1532" s="2" t="s">
        <v>34</v>
      </c>
      <c r="H1532" s="16" t="s">
        <v>3199</v>
      </c>
      <c r="I1532" s="2" t="s">
        <v>66</v>
      </c>
      <c r="J1532" s="4">
        <v>43421</v>
      </c>
      <c r="K1532" s="16" t="s">
        <v>798</v>
      </c>
      <c r="L1532" s="16" t="s">
        <v>12</v>
      </c>
      <c r="M1532" s="2" t="s">
        <v>52</v>
      </c>
      <c r="N1532" s="16"/>
      <c r="W1532" s="16" t="s">
        <v>62</v>
      </c>
      <c r="X1532" s="16"/>
      <c r="Y1532" s="7">
        <v>43446</v>
      </c>
      <c r="Z1532" s="16" t="s">
        <v>66</v>
      </c>
      <c r="AA1532" s="7">
        <v>43450</v>
      </c>
    </row>
    <row r="1533" spans="1:28" ht="15" customHeight="1">
      <c r="A1533" s="285"/>
      <c r="C1533" s="16" t="s">
        <v>3195</v>
      </c>
      <c r="D1533" s="2">
        <v>22448</v>
      </c>
      <c r="E1533" s="2" t="s">
        <v>3184</v>
      </c>
      <c r="F1533" s="3">
        <v>29601152100682</v>
      </c>
      <c r="G1533" s="2" t="s">
        <v>34</v>
      </c>
      <c r="H1533" s="16" t="s">
        <v>3200</v>
      </c>
      <c r="I1533" s="2" t="s">
        <v>66</v>
      </c>
      <c r="J1533" s="4">
        <v>43421</v>
      </c>
      <c r="K1533" s="16" t="s">
        <v>798</v>
      </c>
      <c r="L1533" s="16" t="s">
        <v>12</v>
      </c>
      <c r="M1533" s="2" t="s">
        <v>103</v>
      </c>
      <c r="N1533" s="16"/>
      <c r="R1533" s="23">
        <v>3</v>
      </c>
      <c r="S1533" s="23">
        <v>2.5</v>
      </c>
      <c r="T1533" s="23">
        <v>2.5</v>
      </c>
      <c r="U1533" s="23">
        <v>2</v>
      </c>
      <c r="V1533" s="23">
        <v>3</v>
      </c>
      <c r="W1533" s="16" t="s">
        <v>170</v>
      </c>
      <c r="X1533" s="16" t="s">
        <v>66</v>
      </c>
      <c r="Y1533" s="7">
        <v>43479</v>
      </c>
      <c r="Z1533" s="16" t="s">
        <v>66</v>
      </c>
      <c r="AA1533" s="7">
        <v>43480</v>
      </c>
      <c r="AB1533" s="16" t="s">
        <v>3348</v>
      </c>
    </row>
    <row r="1534" spans="1:28" ht="15" customHeight="1">
      <c r="A1534" s="285"/>
      <c r="C1534" s="16" t="s">
        <v>3195</v>
      </c>
      <c r="D1534" s="2">
        <v>22449</v>
      </c>
      <c r="E1534" s="2" t="s">
        <v>3185</v>
      </c>
      <c r="F1534" s="3">
        <v>29509070103647</v>
      </c>
      <c r="G1534" s="16" t="s">
        <v>34</v>
      </c>
      <c r="H1534" s="16" t="s">
        <v>3201</v>
      </c>
      <c r="I1534" s="2" t="s">
        <v>66</v>
      </c>
      <c r="J1534" s="4">
        <v>43421</v>
      </c>
      <c r="K1534" s="16" t="s">
        <v>798</v>
      </c>
      <c r="L1534" s="16" t="s">
        <v>12</v>
      </c>
      <c r="M1534" s="2" t="s">
        <v>380</v>
      </c>
      <c r="N1534" s="16"/>
      <c r="R1534" s="23">
        <v>3</v>
      </c>
      <c r="S1534" s="23">
        <v>2.5</v>
      </c>
      <c r="T1534" s="23">
        <v>2.5</v>
      </c>
      <c r="U1534" s="23">
        <v>3</v>
      </c>
      <c r="V1534" s="23">
        <v>3</v>
      </c>
      <c r="W1534" s="16" t="s">
        <v>61</v>
      </c>
      <c r="X1534" s="16" t="s">
        <v>66</v>
      </c>
      <c r="Y1534" s="7">
        <v>43479</v>
      </c>
      <c r="Z1534" s="16" t="s">
        <v>66</v>
      </c>
      <c r="AA1534" s="27">
        <v>43486</v>
      </c>
      <c r="AB1534" s="16" t="s">
        <v>3348</v>
      </c>
    </row>
    <row r="1535" spans="1:28" ht="15" customHeight="1">
      <c r="A1535" s="285"/>
      <c r="C1535" s="16" t="s">
        <v>3195</v>
      </c>
      <c r="D1535" s="2">
        <v>22450</v>
      </c>
      <c r="E1535" s="2" t="s">
        <v>3186</v>
      </c>
      <c r="F1535" s="3">
        <v>29211032100686</v>
      </c>
      <c r="G1535" s="2" t="s">
        <v>34</v>
      </c>
      <c r="H1535" s="16" t="s">
        <v>3202</v>
      </c>
      <c r="I1535" s="2" t="s">
        <v>66</v>
      </c>
      <c r="J1535" s="4">
        <v>43421</v>
      </c>
      <c r="K1535" s="16" t="s">
        <v>798</v>
      </c>
      <c r="L1535" s="16" t="s">
        <v>12</v>
      </c>
      <c r="M1535" s="2" t="s">
        <v>438</v>
      </c>
      <c r="N1535" s="16"/>
      <c r="W1535" s="16" t="s">
        <v>340</v>
      </c>
      <c r="Y1535" s="7">
        <v>43446</v>
      </c>
    </row>
    <row r="1536" spans="1:28" ht="15" customHeight="1">
      <c r="A1536" s="285"/>
      <c r="C1536" s="16" t="s">
        <v>3195</v>
      </c>
      <c r="D1536" s="2">
        <v>22451</v>
      </c>
      <c r="E1536" s="16" t="s">
        <v>1485</v>
      </c>
      <c r="F1536" s="3">
        <v>29401168800316</v>
      </c>
      <c r="G1536" s="16" t="s">
        <v>4</v>
      </c>
      <c r="H1536" s="16" t="s">
        <v>3203</v>
      </c>
      <c r="I1536" s="2" t="s">
        <v>66</v>
      </c>
      <c r="J1536" s="4">
        <v>43421</v>
      </c>
      <c r="K1536" s="16" t="s">
        <v>798</v>
      </c>
      <c r="L1536" s="16" t="s">
        <v>12</v>
      </c>
      <c r="M1536" s="2" t="s">
        <v>103</v>
      </c>
      <c r="N1536" s="16"/>
      <c r="W1536" s="16" t="s">
        <v>340</v>
      </c>
      <c r="Y1536" s="7">
        <v>43446</v>
      </c>
    </row>
    <row r="1537" spans="1:28" ht="15" customHeight="1">
      <c r="A1537" s="285"/>
      <c r="C1537" s="16" t="s">
        <v>3195</v>
      </c>
      <c r="D1537" s="16">
        <v>22452</v>
      </c>
      <c r="E1537" s="16" t="s">
        <v>3187</v>
      </c>
      <c r="F1537" s="3">
        <v>29507138800187</v>
      </c>
      <c r="G1537" s="16" t="s">
        <v>34</v>
      </c>
      <c r="H1537" s="16" t="s">
        <v>3204</v>
      </c>
      <c r="I1537" s="16" t="s">
        <v>66</v>
      </c>
      <c r="J1537" s="7">
        <v>43421</v>
      </c>
      <c r="K1537" s="16" t="s">
        <v>798</v>
      </c>
      <c r="L1537" s="16" t="s">
        <v>12</v>
      </c>
      <c r="M1537" s="16" t="s">
        <v>3214</v>
      </c>
      <c r="N1537" s="16"/>
      <c r="W1537" s="16" t="s">
        <v>340</v>
      </c>
      <c r="X1537" s="16"/>
      <c r="Y1537" s="7">
        <v>43446</v>
      </c>
      <c r="AB1537" s="16"/>
    </row>
    <row r="1538" spans="1:28" ht="15.75" customHeight="1">
      <c r="A1538" s="285"/>
      <c r="C1538" s="25" t="s">
        <v>3195</v>
      </c>
      <c r="D1538" s="25">
        <v>22453</v>
      </c>
      <c r="E1538" s="25" t="s">
        <v>3188</v>
      </c>
      <c r="F1538" s="26">
        <v>28208010107593</v>
      </c>
      <c r="G1538" s="25" t="s">
        <v>34</v>
      </c>
      <c r="H1538" s="25" t="s">
        <v>3205</v>
      </c>
      <c r="I1538" s="25" t="s">
        <v>66</v>
      </c>
      <c r="J1538" s="27">
        <v>43421</v>
      </c>
      <c r="K1538" s="25" t="s">
        <v>798</v>
      </c>
      <c r="L1538" s="25" t="s">
        <v>12</v>
      </c>
      <c r="M1538" s="25" t="s">
        <v>799</v>
      </c>
      <c r="N1538" s="25"/>
      <c r="O1538" s="224"/>
      <c r="P1538" s="25"/>
      <c r="Q1538" s="224"/>
      <c r="R1538" s="25"/>
      <c r="S1538" s="25"/>
      <c r="T1538" s="25"/>
      <c r="U1538" s="25"/>
      <c r="V1538" s="25"/>
      <c r="W1538" s="25" t="s">
        <v>171</v>
      </c>
      <c r="X1538" s="25"/>
      <c r="Y1538" s="7">
        <v>43446</v>
      </c>
      <c r="Z1538" s="25" t="s">
        <v>66</v>
      </c>
      <c r="AA1538" s="7">
        <v>43444</v>
      </c>
      <c r="AB1538" s="25"/>
    </row>
    <row r="1539" spans="1:28" ht="15" customHeight="1">
      <c r="A1539" s="285"/>
      <c r="C1539" s="25" t="s">
        <v>3195</v>
      </c>
      <c r="D1539" s="2">
        <v>22454</v>
      </c>
      <c r="E1539" s="2" t="s">
        <v>3189</v>
      </c>
      <c r="F1539" s="3">
        <v>29103212201114</v>
      </c>
      <c r="G1539" s="2" t="s">
        <v>34</v>
      </c>
      <c r="H1539" s="2" t="s">
        <v>3206</v>
      </c>
      <c r="I1539" s="2" t="s">
        <v>66</v>
      </c>
      <c r="J1539" s="4">
        <v>43421</v>
      </c>
      <c r="K1539" s="2" t="s">
        <v>798</v>
      </c>
      <c r="L1539" s="2" t="s">
        <v>12</v>
      </c>
      <c r="M1539" s="2" t="s">
        <v>105</v>
      </c>
      <c r="R1539" s="23">
        <v>3</v>
      </c>
      <c r="S1539" s="23">
        <v>2</v>
      </c>
      <c r="T1539" s="23">
        <v>2</v>
      </c>
      <c r="U1539" s="23">
        <v>2</v>
      </c>
      <c r="V1539" s="23">
        <v>3</v>
      </c>
      <c r="W1539" s="16" t="s">
        <v>62</v>
      </c>
      <c r="X1539" s="16" t="s">
        <v>66</v>
      </c>
      <c r="Y1539" s="7">
        <v>43480</v>
      </c>
      <c r="Z1539" s="16" t="s">
        <v>66</v>
      </c>
      <c r="AA1539" s="27">
        <v>43499</v>
      </c>
      <c r="AB1539" s="16" t="s">
        <v>3807</v>
      </c>
    </row>
    <row r="1540" spans="1:28" ht="15" customHeight="1">
      <c r="A1540" s="285"/>
      <c r="C1540" s="25" t="s">
        <v>3195</v>
      </c>
      <c r="D1540" s="16">
        <v>22455</v>
      </c>
      <c r="E1540" s="16" t="s">
        <v>3190</v>
      </c>
      <c r="F1540" s="3">
        <v>28510291701438</v>
      </c>
      <c r="G1540" s="16" t="s">
        <v>34</v>
      </c>
      <c r="H1540" s="16" t="s">
        <v>3207</v>
      </c>
      <c r="I1540" s="16" t="s">
        <v>66</v>
      </c>
      <c r="J1540" s="45">
        <v>43421</v>
      </c>
      <c r="K1540" s="16" t="s">
        <v>798</v>
      </c>
      <c r="L1540" s="16" t="s">
        <v>12</v>
      </c>
      <c r="M1540" s="16" t="s">
        <v>103</v>
      </c>
      <c r="N1540" s="16"/>
      <c r="R1540" s="23">
        <v>3</v>
      </c>
      <c r="S1540" s="23">
        <v>2.5</v>
      </c>
      <c r="T1540" s="23">
        <v>2</v>
      </c>
      <c r="U1540" s="23">
        <v>1.5</v>
      </c>
      <c r="V1540" s="23">
        <v>3</v>
      </c>
      <c r="W1540" s="16" t="s">
        <v>62</v>
      </c>
      <c r="X1540" s="16" t="s">
        <v>66</v>
      </c>
      <c r="Y1540" s="45">
        <v>43480</v>
      </c>
      <c r="Z1540" s="16" t="s">
        <v>66</v>
      </c>
      <c r="AA1540" s="27">
        <v>43499</v>
      </c>
      <c r="AB1540" s="16" t="s">
        <v>3807</v>
      </c>
    </row>
    <row r="1541" spans="1:28" ht="15" customHeight="1">
      <c r="A1541" s="285"/>
      <c r="C1541" s="25" t="s">
        <v>3195</v>
      </c>
      <c r="D1541" s="16">
        <v>22456</v>
      </c>
      <c r="E1541" s="16" t="s">
        <v>3191</v>
      </c>
      <c r="F1541" s="3">
        <v>29405050105881</v>
      </c>
      <c r="G1541" s="16" t="s">
        <v>34</v>
      </c>
      <c r="H1541" s="16" t="s">
        <v>3208</v>
      </c>
      <c r="I1541" s="16" t="s">
        <v>66</v>
      </c>
      <c r="J1541" s="45">
        <v>43421</v>
      </c>
      <c r="K1541" s="16" t="s">
        <v>798</v>
      </c>
      <c r="L1541" s="16" t="s">
        <v>12</v>
      </c>
      <c r="M1541" s="16" t="s">
        <v>15</v>
      </c>
      <c r="N1541" s="16"/>
      <c r="W1541" s="16" t="s">
        <v>62</v>
      </c>
      <c r="X1541" s="16"/>
      <c r="Y1541" s="45">
        <v>43446</v>
      </c>
      <c r="Z1541" s="16" t="s">
        <v>66</v>
      </c>
      <c r="AA1541" s="45">
        <v>43458</v>
      </c>
      <c r="AB1541" s="16"/>
    </row>
    <row r="1542" spans="1:28" ht="15" customHeight="1">
      <c r="A1542" s="285"/>
      <c r="C1542" s="25" t="s">
        <v>3195</v>
      </c>
      <c r="D1542" s="2">
        <v>22457</v>
      </c>
      <c r="E1542" s="2" t="s">
        <v>3192</v>
      </c>
      <c r="F1542" s="3">
        <v>28502271400587</v>
      </c>
      <c r="G1542" s="2" t="s">
        <v>34</v>
      </c>
      <c r="H1542" s="2" t="s">
        <v>3209</v>
      </c>
      <c r="I1542" s="2" t="s">
        <v>66</v>
      </c>
      <c r="J1542" s="4">
        <v>43421</v>
      </c>
      <c r="K1542" s="2" t="s">
        <v>798</v>
      </c>
      <c r="L1542" s="2" t="s">
        <v>12</v>
      </c>
      <c r="M1542" s="2" t="s">
        <v>52</v>
      </c>
      <c r="W1542" s="16" t="s">
        <v>340</v>
      </c>
      <c r="Y1542" s="7">
        <v>43446</v>
      </c>
    </row>
    <row r="1543" spans="1:28" ht="15" customHeight="1">
      <c r="A1543" s="285"/>
      <c r="C1543" s="25" t="s">
        <v>3195</v>
      </c>
      <c r="D1543" s="2">
        <v>22458</v>
      </c>
      <c r="E1543" s="2" t="s">
        <v>3193</v>
      </c>
      <c r="F1543" s="3">
        <v>29602112102221</v>
      </c>
      <c r="G1543" s="2" t="s">
        <v>34</v>
      </c>
      <c r="H1543" s="2" t="s">
        <v>3210</v>
      </c>
      <c r="I1543" s="2" t="s">
        <v>66</v>
      </c>
      <c r="J1543" s="4">
        <v>43421</v>
      </c>
      <c r="K1543" s="2" t="s">
        <v>798</v>
      </c>
      <c r="L1543" s="2" t="s">
        <v>12</v>
      </c>
      <c r="M1543" s="2" t="s">
        <v>226</v>
      </c>
      <c r="W1543" s="16" t="s">
        <v>62</v>
      </c>
      <c r="Y1543" s="7">
        <v>43446</v>
      </c>
      <c r="Z1543" s="16" t="s">
        <v>66</v>
      </c>
      <c r="AA1543" s="7">
        <v>43458</v>
      </c>
    </row>
    <row r="1544" spans="1:28" ht="15" customHeight="1">
      <c r="A1544" s="285"/>
      <c r="C1544" s="25" t="s">
        <v>3195</v>
      </c>
      <c r="D1544" s="2">
        <v>7823</v>
      </c>
      <c r="E1544" s="2" t="s">
        <v>3194</v>
      </c>
      <c r="F1544" s="3">
        <v>29302180105561</v>
      </c>
      <c r="G1544" s="2" t="s">
        <v>34</v>
      </c>
      <c r="H1544" s="2" t="s">
        <v>3211</v>
      </c>
      <c r="I1544" s="2" t="s">
        <v>67</v>
      </c>
      <c r="J1544" s="4">
        <v>43421</v>
      </c>
      <c r="K1544" s="2" t="s">
        <v>798</v>
      </c>
      <c r="L1544" s="2" t="s">
        <v>12</v>
      </c>
      <c r="M1544" s="2" t="s">
        <v>226</v>
      </c>
      <c r="R1544" s="23">
        <v>3</v>
      </c>
      <c r="S1544" s="23">
        <v>2.5</v>
      </c>
      <c r="T1544" s="23">
        <v>2.5</v>
      </c>
      <c r="U1544" s="23">
        <v>2.5</v>
      </c>
      <c r="V1544" s="23">
        <v>3</v>
      </c>
      <c r="W1544" s="16" t="s">
        <v>170</v>
      </c>
      <c r="X1544" s="16" t="s">
        <v>66</v>
      </c>
      <c r="Y1544" s="7">
        <v>43479</v>
      </c>
      <c r="Z1544" s="16" t="s">
        <v>66</v>
      </c>
      <c r="AA1544" s="7">
        <v>43480</v>
      </c>
      <c r="AB1544" s="16" t="s">
        <v>3348</v>
      </c>
    </row>
    <row r="1545" spans="1:28" ht="15.75" customHeight="1" thickBot="1">
      <c r="A1545" s="286"/>
      <c r="C1545" s="28" t="s">
        <v>3195</v>
      </c>
      <c r="D1545" s="28">
        <v>22500</v>
      </c>
      <c r="E1545" s="28" t="s">
        <v>3212</v>
      </c>
      <c r="F1545" s="29">
        <v>29304110300202</v>
      </c>
      <c r="G1545" s="28" t="s">
        <v>34</v>
      </c>
      <c r="H1545" s="28" t="s">
        <v>3213</v>
      </c>
      <c r="I1545" s="28" t="s">
        <v>66</v>
      </c>
      <c r="J1545" s="30">
        <v>43421</v>
      </c>
      <c r="K1545" s="28" t="s">
        <v>798</v>
      </c>
      <c r="L1545" s="28" t="s">
        <v>12</v>
      </c>
      <c r="M1545" s="28" t="s">
        <v>58</v>
      </c>
      <c r="N1545" s="28"/>
      <c r="O1545" s="226"/>
      <c r="P1545" s="28"/>
      <c r="Q1545" s="226"/>
      <c r="R1545" s="28"/>
      <c r="S1545" s="28"/>
      <c r="T1545" s="28"/>
      <c r="U1545" s="28"/>
      <c r="V1545" s="28"/>
      <c r="W1545" s="38" t="s">
        <v>59</v>
      </c>
      <c r="X1545" s="38" t="s">
        <v>66</v>
      </c>
      <c r="Y1545" s="30"/>
      <c r="Z1545" s="28"/>
      <c r="AA1545" s="30"/>
      <c r="AB1545" s="28" t="s">
        <v>3244</v>
      </c>
    </row>
    <row r="1546" spans="1:28" ht="15.75" customHeight="1" thickTop="1">
      <c r="A1546" s="285" t="s">
        <v>3118</v>
      </c>
      <c r="C1546" s="25" t="s">
        <v>702</v>
      </c>
      <c r="D1546" s="25">
        <v>2910163</v>
      </c>
      <c r="E1546" s="25" t="s">
        <v>321</v>
      </c>
      <c r="F1546" s="26">
        <v>29103181400636</v>
      </c>
      <c r="G1546" s="25" t="s">
        <v>34</v>
      </c>
      <c r="H1546" s="34" t="s">
        <v>331</v>
      </c>
      <c r="I1546" s="25" t="s">
        <v>67</v>
      </c>
      <c r="J1546" s="27" t="s">
        <v>330</v>
      </c>
      <c r="K1546" s="25" t="s">
        <v>8</v>
      </c>
      <c r="L1546" s="25" t="s">
        <v>12</v>
      </c>
      <c r="M1546" s="25"/>
      <c r="N1546" s="35" t="s">
        <v>317</v>
      </c>
      <c r="O1546" s="229"/>
      <c r="P1546" s="35"/>
      <c r="Q1546" s="229"/>
      <c r="R1546" s="35"/>
      <c r="S1546" s="35"/>
      <c r="T1546" s="35"/>
      <c r="U1546" s="35"/>
      <c r="V1546" s="35"/>
      <c r="W1546" s="25" t="s">
        <v>61</v>
      </c>
      <c r="X1546" s="25" t="s">
        <v>66</v>
      </c>
      <c r="Y1546" s="27">
        <v>43395</v>
      </c>
      <c r="Z1546" s="25" t="s">
        <v>66</v>
      </c>
      <c r="AA1546" s="27">
        <v>43411</v>
      </c>
      <c r="AB1546" s="25"/>
    </row>
    <row r="1547" spans="1:28" ht="15" customHeight="1">
      <c r="A1547" s="285"/>
      <c r="C1547" s="25" t="s">
        <v>702</v>
      </c>
      <c r="D1547" s="2">
        <v>2910164</v>
      </c>
      <c r="E1547" s="2" t="s">
        <v>322</v>
      </c>
      <c r="G1547" s="2" t="s">
        <v>34</v>
      </c>
      <c r="H1547" s="8" t="s">
        <v>338</v>
      </c>
      <c r="I1547" s="2" t="s">
        <v>67</v>
      </c>
      <c r="J1547" s="4" t="s">
        <v>330</v>
      </c>
      <c r="K1547" s="2" t="s">
        <v>8</v>
      </c>
      <c r="L1547" s="2" t="s">
        <v>12</v>
      </c>
      <c r="N1547" s="11" t="s">
        <v>317</v>
      </c>
      <c r="O1547" s="227"/>
      <c r="P1547" s="11"/>
      <c r="Q1547" s="227"/>
      <c r="R1547" s="11"/>
      <c r="S1547" s="11"/>
      <c r="T1547" s="11"/>
      <c r="U1547" s="11"/>
      <c r="V1547" s="11"/>
      <c r="W1547" s="16" t="s">
        <v>62</v>
      </c>
      <c r="Y1547" s="7">
        <v>43381</v>
      </c>
    </row>
    <row r="1548" spans="1:28" ht="15" customHeight="1">
      <c r="A1548" s="285"/>
      <c r="C1548" s="25" t="s">
        <v>702</v>
      </c>
      <c r="D1548" s="2">
        <v>2464779</v>
      </c>
      <c r="E1548" s="2" t="s">
        <v>323</v>
      </c>
      <c r="G1548" s="2" t="s">
        <v>34</v>
      </c>
      <c r="H1548" s="8" t="s">
        <v>333</v>
      </c>
      <c r="I1548" s="2" t="s">
        <v>67</v>
      </c>
      <c r="J1548" s="4" t="s">
        <v>330</v>
      </c>
      <c r="K1548" s="2" t="s">
        <v>8</v>
      </c>
      <c r="L1548" s="2" t="s">
        <v>12</v>
      </c>
      <c r="N1548" s="11" t="s">
        <v>317</v>
      </c>
      <c r="O1548" s="227"/>
      <c r="P1548" s="11"/>
      <c r="Q1548" s="227"/>
      <c r="R1548" s="11"/>
      <c r="S1548" s="11"/>
      <c r="T1548" s="11"/>
      <c r="U1548" s="11"/>
      <c r="V1548" s="11"/>
      <c r="W1548" s="16" t="s">
        <v>62</v>
      </c>
      <c r="Y1548" s="7">
        <v>43381</v>
      </c>
      <c r="AB1548" s="2" t="s">
        <v>6591</v>
      </c>
    </row>
    <row r="1549" spans="1:28" ht="15" customHeight="1">
      <c r="A1549" s="285"/>
      <c r="C1549" s="25" t="s">
        <v>702</v>
      </c>
      <c r="D1549" s="2">
        <v>2245953</v>
      </c>
      <c r="E1549" s="2" t="s">
        <v>324</v>
      </c>
      <c r="G1549" s="2" t="s">
        <v>34</v>
      </c>
      <c r="H1549" s="8" t="s">
        <v>334</v>
      </c>
      <c r="I1549" s="2" t="s">
        <v>67</v>
      </c>
      <c r="J1549" s="4" t="s">
        <v>330</v>
      </c>
      <c r="K1549" s="2" t="s">
        <v>8</v>
      </c>
      <c r="L1549" s="2" t="s">
        <v>12</v>
      </c>
      <c r="N1549" s="11" t="s">
        <v>317</v>
      </c>
      <c r="O1549" s="227"/>
      <c r="P1549" s="11"/>
      <c r="Q1549" s="227"/>
      <c r="R1549" s="11"/>
      <c r="S1549" s="11"/>
      <c r="T1549" s="11"/>
      <c r="U1549" s="11"/>
      <c r="V1549" s="11"/>
      <c r="W1549" s="16" t="s">
        <v>170</v>
      </c>
      <c r="Y1549" s="7">
        <v>43381</v>
      </c>
    </row>
    <row r="1550" spans="1:28" ht="15.75" customHeight="1">
      <c r="A1550" s="285"/>
      <c r="C1550" s="25" t="s">
        <v>702</v>
      </c>
      <c r="D1550" s="2">
        <v>2464770</v>
      </c>
      <c r="E1550" s="2" t="s">
        <v>325</v>
      </c>
      <c r="G1550" s="2" t="s">
        <v>34</v>
      </c>
      <c r="H1550" s="8" t="s">
        <v>335</v>
      </c>
      <c r="I1550" s="2" t="s">
        <v>67</v>
      </c>
      <c r="J1550" s="4" t="s">
        <v>330</v>
      </c>
      <c r="K1550" s="2" t="s">
        <v>8</v>
      </c>
      <c r="L1550" s="2" t="s">
        <v>12</v>
      </c>
      <c r="N1550" s="11" t="s">
        <v>317</v>
      </c>
      <c r="O1550" s="227"/>
      <c r="P1550" s="11"/>
      <c r="Q1550" s="227"/>
      <c r="R1550" s="11"/>
      <c r="S1550" s="11"/>
      <c r="T1550" s="11"/>
      <c r="U1550" s="11"/>
      <c r="V1550" s="11"/>
      <c r="W1550" s="16" t="s">
        <v>60</v>
      </c>
      <c r="X1550" s="2" t="s">
        <v>66</v>
      </c>
      <c r="Y1550" s="7">
        <v>43395</v>
      </c>
      <c r="Z1550" s="16" t="s">
        <v>66</v>
      </c>
      <c r="AA1550" s="7">
        <v>43437</v>
      </c>
      <c r="AB1550" s="2" t="s">
        <v>4088</v>
      </c>
    </row>
    <row r="1551" spans="1:28" ht="15.75" customHeight="1">
      <c r="A1551" s="285"/>
      <c r="C1551" s="25" t="s">
        <v>702</v>
      </c>
      <c r="D1551" s="2">
        <v>2464780</v>
      </c>
      <c r="E1551" s="2" t="s">
        <v>326</v>
      </c>
      <c r="G1551" s="2" t="s">
        <v>34</v>
      </c>
      <c r="H1551" s="8" t="s">
        <v>337</v>
      </c>
      <c r="I1551" s="2" t="s">
        <v>67</v>
      </c>
      <c r="J1551" s="4" t="s">
        <v>330</v>
      </c>
      <c r="K1551" s="2" t="s">
        <v>8</v>
      </c>
      <c r="L1551" s="2" t="s">
        <v>12</v>
      </c>
      <c r="N1551" s="11" t="s">
        <v>317</v>
      </c>
      <c r="O1551" s="227"/>
      <c r="P1551" s="11"/>
      <c r="Q1551" s="227"/>
      <c r="R1551" s="11"/>
      <c r="S1551" s="11"/>
      <c r="T1551" s="11"/>
      <c r="U1551" s="11"/>
      <c r="V1551" s="11"/>
      <c r="W1551" s="16" t="s">
        <v>60</v>
      </c>
      <c r="Y1551" s="7">
        <v>43381</v>
      </c>
    </row>
    <row r="1552" spans="1:28" ht="15.75" customHeight="1">
      <c r="A1552" s="285"/>
      <c r="C1552" s="25" t="s">
        <v>702</v>
      </c>
      <c r="D1552" s="2">
        <v>2488728</v>
      </c>
      <c r="E1552" s="2" t="s">
        <v>327</v>
      </c>
      <c r="G1552" s="2" t="s">
        <v>34</v>
      </c>
      <c r="H1552" s="8" t="s">
        <v>339</v>
      </c>
      <c r="I1552" s="2" t="s">
        <v>67</v>
      </c>
      <c r="J1552" s="4" t="s">
        <v>330</v>
      </c>
      <c r="K1552" s="2" t="s">
        <v>8</v>
      </c>
      <c r="L1552" s="2" t="s">
        <v>12</v>
      </c>
      <c r="N1552" s="11" t="s">
        <v>317</v>
      </c>
      <c r="O1552" s="227"/>
      <c r="P1552" s="11"/>
      <c r="Q1552" s="227"/>
      <c r="R1552" s="11"/>
      <c r="S1552" s="11"/>
      <c r="T1552" s="11"/>
      <c r="U1552" s="11"/>
      <c r="V1552" s="11"/>
      <c r="W1552" s="16" t="s">
        <v>62</v>
      </c>
      <c r="Y1552" s="7">
        <v>43381</v>
      </c>
    </row>
    <row r="1553" spans="1:28" ht="15.75" customHeight="1">
      <c r="A1553" s="285"/>
      <c r="C1553" s="16" t="s">
        <v>702</v>
      </c>
      <c r="D1553" s="16">
        <v>2619877</v>
      </c>
      <c r="E1553" s="16" t="s">
        <v>328</v>
      </c>
      <c r="F1553" s="3">
        <v>29004022100755</v>
      </c>
      <c r="G1553" s="16" t="s">
        <v>34</v>
      </c>
      <c r="H1553" s="8" t="s">
        <v>332</v>
      </c>
      <c r="I1553" s="16" t="s">
        <v>67</v>
      </c>
      <c r="J1553" s="45" t="s">
        <v>330</v>
      </c>
      <c r="K1553" s="16" t="s">
        <v>8</v>
      </c>
      <c r="L1553" s="16" t="s">
        <v>12</v>
      </c>
      <c r="M1553" s="16"/>
      <c r="N1553" s="11" t="s">
        <v>317</v>
      </c>
      <c r="O1553" s="227"/>
      <c r="P1553" s="11"/>
      <c r="Q1553" s="227"/>
      <c r="R1553" s="11"/>
      <c r="S1553" s="11"/>
      <c r="T1553" s="11"/>
      <c r="U1553" s="11"/>
      <c r="V1553" s="11"/>
      <c r="W1553" s="16" t="s">
        <v>171</v>
      </c>
      <c r="X1553" s="16"/>
      <c r="Y1553" s="45">
        <v>43381</v>
      </c>
      <c r="Z1553" s="16" t="s">
        <v>66</v>
      </c>
      <c r="AA1553" s="45">
        <v>43411</v>
      </c>
      <c r="AB1553" s="16"/>
    </row>
    <row r="1554" spans="1:28" ht="15.75" customHeight="1" thickBot="1">
      <c r="A1554" s="286"/>
      <c r="C1554" s="28" t="s">
        <v>702</v>
      </c>
      <c r="D1554" s="28">
        <v>2619883</v>
      </c>
      <c r="E1554" s="28" t="s">
        <v>329</v>
      </c>
      <c r="F1554" s="29"/>
      <c r="G1554" s="28" t="s">
        <v>34</v>
      </c>
      <c r="H1554" s="28" t="s">
        <v>336</v>
      </c>
      <c r="I1554" s="28" t="s">
        <v>67</v>
      </c>
      <c r="J1554" s="30" t="s">
        <v>330</v>
      </c>
      <c r="K1554" s="28" t="s">
        <v>8</v>
      </c>
      <c r="L1554" s="28" t="s">
        <v>12</v>
      </c>
      <c r="M1554" s="28"/>
      <c r="N1554" s="31" t="s">
        <v>317</v>
      </c>
      <c r="O1554" s="228"/>
      <c r="P1554" s="31"/>
      <c r="Q1554" s="228"/>
      <c r="R1554" s="28"/>
      <c r="S1554" s="28"/>
      <c r="T1554" s="28"/>
      <c r="U1554" s="28"/>
      <c r="V1554" s="28"/>
      <c r="W1554" s="28" t="s">
        <v>340</v>
      </c>
      <c r="X1554" s="28"/>
      <c r="Y1554" s="30">
        <v>43381</v>
      </c>
      <c r="Z1554" s="28"/>
      <c r="AA1554" s="30"/>
      <c r="AB1554" s="28"/>
    </row>
    <row r="1555" spans="1:28" ht="15.75" customHeight="1" thickTop="1">
      <c r="A1555" s="303" t="s">
        <v>3118</v>
      </c>
      <c r="C1555" s="25">
        <v>108</v>
      </c>
      <c r="D1555" s="25">
        <v>22764</v>
      </c>
      <c r="E1555" s="25" t="s">
        <v>3220</v>
      </c>
      <c r="F1555" s="26">
        <v>29504290201052</v>
      </c>
      <c r="G1555" s="25" t="s">
        <v>34</v>
      </c>
      <c r="H1555" s="25" t="s">
        <v>3231</v>
      </c>
      <c r="I1555" s="25" t="s">
        <v>66</v>
      </c>
      <c r="J1555" s="27">
        <v>43444</v>
      </c>
      <c r="K1555" s="25" t="s">
        <v>8</v>
      </c>
      <c r="L1555" s="25" t="s">
        <v>12</v>
      </c>
      <c r="M1555" s="25" t="s">
        <v>771</v>
      </c>
      <c r="N1555" s="25"/>
      <c r="O1555" s="224"/>
      <c r="P1555" s="25"/>
      <c r="Q1555" s="224"/>
      <c r="R1555" s="23">
        <v>3</v>
      </c>
      <c r="S1555" s="23">
        <v>2.5</v>
      </c>
      <c r="T1555" s="23">
        <v>2.5</v>
      </c>
      <c r="U1555" s="23">
        <v>2.5</v>
      </c>
      <c r="V1555" s="23">
        <v>3</v>
      </c>
      <c r="W1555" s="25" t="s">
        <v>61</v>
      </c>
      <c r="X1555" s="25"/>
      <c r="Y1555" s="27">
        <v>43468</v>
      </c>
      <c r="Z1555" s="25" t="s">
        <v>66</v>
      </c>
      <c r="AA1555" s="27">
        <v>43486</v>
      </c>
      <c r="AB1555" s="25"/>
    </row>
    <row r="1556" spans="1:28" ht="15" customHeight="1">
      <c r="A1556" s="304"/>
      <c r="C1556" s="25">
        <v>108</v>
      </c>
      <c r="D1556" s="2">
        <v>22765</v>
      </c>
      <c r="E1556" s="16" t="s">
        <v>3221</v>
      </c>
      <c r="F1556" s="3">
        <v>29611010105411</v>
      </c>
      <c r="G1556" s="16" t="s">
        <v>4</v>
      </c>
      <c r="H1556" s="2" t="s">
        <v>3232</v>
      </c>
      <c r="I1556" s="2" t="s">
        <v>66</v>
      </c>
      <c r="J1556" s="4">
        <v>43444</v>
      </c>
      <c r="K1556" s="2" t="s">
        <v>8</v>
      </c>
      <c r="L1556" s="2" t="s">
        <v>12</v>
      </c>
      <c r="M1556" s="2" t="s">
        <v>16</v>
      </c>
      <c r="R1556" s="23">
        <v>3</v>
      </c>
      <c r="S1556" s="23">
        <v>3</v>
      </c>
      <c r="T1556" s="23">
        <v>2</v>
      </c>
      <c r="U1556" s="23">
        <v>2.5</v>
      </c>
      <c r="V1556" s="23">
        <v>3</v>
      </c>
      <c r="W1556" s="16" t="s">
        <v>171</v>
      </c>
      <c r="Y1556" s="7">
        <v>43468</v>
      </c>
      <c r="Z1556" s="16" t="s">
        <v>66</v>
      </c>
      <c r="AA1556" s="27">
        <v>43486</v>
      </c>
    </row>
    <row r="1557" spans="1:28" ht="15" customHeight="1">
      <c r="A1557" s="304"/>
      <c r="C1557" s="25">
        <v>108</v>
      </c>
      <c r="D1557" s="16">
        <v>22766</v>
      </c>
      <c r="E1557" s="32" t="s">
        <v>3222</v>
      </c>
      <c r="F1557" s="3">
        <v>29406208800715</v>
      </c>
      <c r="G1557" s="16" t="s">
        <v>34</v>
      </c>
      <c r="H1557" s="16" t="s">
        <v>3233</v>
      </c>
      <c r="I1557" s="16" t="s">
        <v>66</v>
      </c>
      <c r="J1557" s="45">
        <v>43444</v>
      </c>
      <c r="K1557" s="16" t="s">
        <v>8</v>
      </c>
      <c r="L1557" s="16" t="s">
        <v>12</v>
      </c>
      <c r="M1557" s="16" t="s">
        <v>109</v>
      </c>
      <c r="N1557" s="16"/>
      <c r="R1557" s="23">
        <v>3</v>
      </c>
      <c r="S1557" s="23">
        <v>3</v>
      </c>
      <c r="T1557" s="23">
        <v>2.5</v>
      </c>
      <c r="U1557" s="23">
        <v>3</v>
      </c>
      <c r="V1557" s="23">
        <v>3</v>
      </c>
      <c r="W1557" s="16" t="s">
        <v>60</v>
      </c>
      <c r="X1557" s="16"/>
      <c r="Y1557" s="45">
        <v>43468</v>
      </c>
      <c r="Z1557" s="16" t="s">
        <v>66</v>
      </c>
      <c r="AA1557" s="45">
        <v>43472</v>
      </c>
      <c r="AB1557" s="16"/>
    </row>
    <row r="1558" spans="1:28" ht="15" customHeight="1">
      <c r="A1558" s="304"/>
      <c r="C1558" s="25">
        <v>108</v>
      </c>
      <c r="D1558" s="16">
        <v>22767</v>
      </c>
      <c r="E1558" s="33" t="s">
        <v>3223</v>
      </c>
      <c r="F1558" s="3">
        <v>29111101601531</v>
      </c>
      <c r="G1558" s="16" t="s">
        <v>34</v>
      </c>
      <c r="H1558" s="16" t="s">
        <v>3234</v>
      </c>
      <c r="I1558" s="16" t="s">
        <v>66</v>
      </c>
      <c r="J1558" s="45">
        <v>43444</v>
      </c>
      <c r="K1558" s="16" t="s">
        <v>8</v>
      </c>
      <c r="L1558" s="16" t="s">
        <v>12</v>
      </c>
      <c r="M1558" s="16" t="s">
        <v>52</v>
      </c>
      <c r="N1558" s="16"/>
      <c r="R1558" s="23">
        <v>3</v>
      </c>
      <c r="S1558" s="23">
        <v>3</v>
      </c>
      <c r="T1558" s="23">
        <v>3</v>
      </c>
      <c r="U1558" s="23">
        <v>3</v>
      </c>
      <c r="V1558" s="23">
        <v>3</v>
      </c>
      <c r="W1558" s="16" t="s">
        <v>60</v>
      </c>
      <c r="X1558" s="16"/>
      <c r="Y1558" s="45">
        <v>43468</v>
      </c>
      <c r="Z1558" s="16" t="s">
        <v>66</v>
      </c>
      <c r="AA1558" s="45">
        <v>43472</v>
      </c>
      <c r="AB1558" s="16"/>
    </row>
    <row r="1559" spans="1:28" ht="15" customHeight="1">
      <c r="A1559" s="304"/>
      <c r="C1559" s="25">
        <v>108</v>
      </c>
      <c r="D1559" s="2">
        <v>22768</v>
      </c>
      <c r="E1559" s="33" t="s">
        <v>3224</v>
      </c>
      <c r="F1559" s="3">
        <v>29202011705473</v>
      </c>
      <c r="G1559" s="16" t="s">
        <v>34</v>
      </c>
      <c r="H1559" s="2" t="s">
        <v>3235</v>
      </c>
      <c r="I1559" s="2" t="s">
        <v>66</v>
      </c>
      <c r="J1559" s="4">
        <v>43444</v>
      </c>
      <c r="K1559" s="2" t="s">
        <v>8</v>
      </c>
      <c r="L1559" s="2" t="s">
        <v>12</v>
      </c>
      <c r="M1559" s="2" t="s">
        <v>53</v>
      </c>
      <c r="R1559" s="23">
        <v>3</v>
      </c>
      <c r="S1559" s="23">
        <v>3</v>
      </c>
      <c r="T1559" s="23">
        <v>2</v>
      </c>
      <c r="U1559" s="23">
        <v>2.5</v>
      </c>
      <c r="V1559" s="23">
        <v>3</v>
      </c>
      <c r="W1559" s="16" t="s">
        <v>171</v>
      </c>
      <c r="Y1559" s="7">
        <v>43468</v>
      </c>
      <c r="Z1559" s="16" t="s">
        <v>66</v>
      </c>
      <c r="AA1559" s="27">
        <v>43486</v>
      </c>
      <c r="AB1559" s="2" t="s">
        <v>6289</v>
      </c>
    </row>
    <row r="1560" spans="1:28" ht="15" customHeight="1">
      <c r="A1560" s="304"/>
      <c r="C1560" s="25">
        <v>108</v>
      </c>
      <c r="D1560" s="2">
        <v>22769</v>
      </c>
      <c r="E1560" s="32" t="s">
        <v>3225</v>
      </c>
      <c r="F1560" s="3">
        <v>28110010118714</v>
      </c>
      <c r="G1560" s="16" t="s">
        <v>34</v>
      </c>
      <c r="H1560" s="2" t="s">
        <v>3236</v>
      </c>
      <c r="I1560" s="2" t="s">
        <v>66</v>
      </c>
      <c r="J1560" s="4">
        <v>43444</v>
      </c>
      <c r="K1560" s="2" t="s">
        <v>8</v>
      </c>
      <c r="L1560" s="2" t="s">
        <v>12</v>
      </c>
      <c r="M1560" s="16" t="s">
        <v>771</v>
      </c>
      <c r="R1560" s="23">
        <v>3</v>
      </c>
      <c r="S1560" s="23">
        <v>2</v>
      </c>
      <c r="T1560" s="23">
        <v>2</v>
      </c>
      <c r="U1560" s="23">
        <v>2</v>
      </c>
      <c r="V1560" s="23">
        <v>3</v>
      </c>
      <c r="W1560" s="16" t="s">
        <v>62</v>
      </c>
      <c r="Y1560" s="7">
        <v>43468</v>
      </c>
      <c r="Z1560" s="16" t="s">
        <v>66</v>
      </c>
      <c r="AA1560" s="7">
        <v>43467</v>
      </c>
      <c r="AB1560" s="2" t="s">
        <v>6520</v>
      </c>
    </row>
    <row r="1561" spans="1:28" ht="15" customHeight="1">
      <c r="A1561" s="304"/>
      <c r="C1561" s="25">
        <v>108</v>
      </c>
      <c r="D1561" s="2">
        <v>22770</v>
      </c>
      <c r="E1561" s="32" t="s">
        <v>3226</v>
      </c>
      <c r="F1561" s="3">
        <v>29504302100796</v>
      </c>
      <c r="G1561" s="16" t="s">
        <v>34</v>
      </c>
      <c r="H1561" s="2" t="s">
        <v>3237</v>
      </c>
      <c r="I1561" s="2" t="s">
        <v>66</v>
      </c>
      <c r="J1561" s="4">
        <v>43444</v>
      </c>
      <c r="K1561" s="2" t="s">
        <v>8</v>
      </c>
      <c r="L1561" s="2" t="s">
        <v>12</v>
      </c>
      <c r="M1561" s="2" t="s">
        <v>15</v>
      </c>
      <c r="R1561" s="23">
        <v>3</v>
      </c>
      <c r="S1561" s="23">
        <v>2</v>
      </c>
      <c r="T1561" s="23">
        <v>2.5</v>
      </c>
      <c r="U1561" s="23">
        <v>2.5</v>
      </c>
      <c r="V1561" s="23">
        <v>3</v>
      </c>
      <c r="W1561" s="16" t="s">
        <v>60</v>
      </c>
      <c r="X1561" s="2" t="s">
        <v>66</v>
      </c>
      <c r="Y1561" s="45">
        <v>43489</v>
      </c>
      <c r="Z1561" s="16" t="s">
        <v>66</v>
      </c>
      <c r="AA1561" s="45">
        <v>43508</v>
      </c>
    </row>
    <row r="1562" spans="1:28" ht="15" customHeight="1">
      <c r="A1562" s="304"/>
      <c r="C1562" s="25">
        <v>108</v>
      </c>
      <c r="D1562" s="2">
        <v>22771</v>
      </c>
      <c r="E1562" s="33" t="s">
        <v>3227</v>
      </c>
      <c r="F1562" s="3">
        <v>27906130101993</v>
      </c>
      <c r="G1562" s="16" t="s">
        <v>3663</v>
      </c>
      <c r="H1562" s="2" t="s">
        <v>3238</v>
      </c>
      <c r="I1562" s="2" t="s">
        <v>66</v>
      </c>
      <c r="J1562" s="4">
        <v>43444</v>
      </c>
      <c r="K1562" s="2" t="s">
        <v>8</v>
      </c>
      <c r="L1562" s="2" t="s">
        <v>12</v>
      </c>
      <c r="M1562" s="2" t="s">
        <v>197</v>
      </c>
      <c r="R1562" s="23">
        <v>3</v>
      </c>
      <c r="S1562" s="23">
        <v>3</v>
      </c>
      <c r="T1562" s="23">
        <v>2</v>
      </c>
      <c r="U1562" s="23">
        <v>2</v>
      </c>
      <c r="V1562" s="23">
        <v>3</v>
      </c>
      <c r="W1562" s="16" t="s">
        <v>62</v>
      </c>
      <c r="Y1562" s="7">
        <v>43468</v>
      </c>
      <c r="Z1562" s="16" t="s">
        <v>66</v>
      </c>
      <c r="AA1562" s="7">
        <v>43467</v>
      </c>
    </row>
    <row r="1563" spans="1:28" ht="15" customHeight="1">
      <c r="A1563" s="304"/>
      <c r="C1563" s="25">
        <v>108</v>
      </c>
      <c r="D1563" s="2">
        <v>22772</v>
      </c>
      <c r="E1563" s="33" t="s">
        <v>3228</v>
      </c>
      <c r="F1563" s="3">
        <v>28812010100879</v>
      </c>
      <c r="G1563" s="2" t="s">
        <v>34</v>
      </c>
      <c r="H1563" s="2" t="s">
        <v>3239</v>
      </c>
      <c r="I1563" s="2" t="s">
        <v>66</v>
      </c>
      <c r="J1563" s="4">
        <v>43444</v>
      </c>
      <c r="K1563" s="2" t="s">
        <v>8</v>
      </c>
      <c r="L1563" s="2" t="s">
        <v>12</v>
      </c>
      <c r="M1563" s="2" t="s">
        <v>15</v>
      </c>
      <c r="W1563" s="16" t="s">
        <v>64</v>
      </c>
      <c r="Z1563" s="16" t="s">
        <v>67</v>
      </c>
    </row>
    <row r="1564" spans="1:28" ht="15" customHeight="1">
      <c r="A1564" s="304"/>
      <c r="C1564" s="25">
        <v>108</v>
      </c>
      <c r="D1564" s="2">
        <v>22773</v>
      </c>
      <c r="E1564" s="2" t="s">
        <v>3229</v>
      </c>
      <c r="F1564" s="3" t="s">
        <v>3230</v>
      </c>
      <c r="G1564" s="16" t="s">
        <v>34</v>
      </c>
      <c r="H1564" s="2" t="s">
        <v>3240</v>
      </c>
      <c r="I1564" s="2" t="s">
        <v>66</v>
      </c>
      <c r="J1564" s="4">
        <v>43444</v>
      </c>
      <c r="K1564" s="2" t="s">
        <v>8</v>
      </c>
      <c r="L1564" s="2" t="s">
        <v>12</v>
      </c>
      <c r="M1564" s="2" t="s">
        <v>3241</v>
      </c>
      <c r="R1564" s="23">
        <v>3</v>
      </c>
      <c r="S1564" s="23">
        <v>2</v>
      </c>
      <c r="T1564" s="23">
        <v>2.5</v>
      </c>
      <c r="U1564" s="23">
        <v>3</v>
      </c>
      <c r="V1564" s="23">
        <v>3</v>
      </c>
      <c r="W1564" s="16" t="s">
        <v>171</v>
      </c>
      <c r="X1564" s="2" t="s">
        <v>66</v>
      </c>
      <c r="Y1564" s="45">
        <v>43493</v>
      </c>
      <c r="Z1564" s="16" t="s">
        <v>66</v>
      </c>
      <c r="AA1564" s="7">
        <v>43513</v>
      </c>
      <c r="AB1564" s="2" t="s">
        <v>3956</v>
      </c>
    </row>
    <row r="1565" spans="1:28" ht="15.75" customHeight="1" thickBot="1">
      <c r="A1565" s="305"/>
      <c r="C1565" s="28">
        <v>108</v>
      </c>
      <c r="D1565" s="28">
        <v>22805</v>
      </c>
      <c r="E1565" s="28" t="s">
        <v>3242</v>
      </c>
      <c r="F1565" s="29">
        <v>29603250100341</v>
      </c>
      <c r="G1565" s="28" t="s">
        <v>34</v>
      </c>
      <c r="H1565" s="28" t="s">
        <v>3243</v>
      </c>
      <c r="I1565" s="28" t="s">
        <v>66</v>
      </c>
      <c r="J1565" s="30">
        <v>43444</v>
      </c>
      <c r="K1565" s="28" t="s">
        <v>8</v>
      </c>
      <c r="L1565" s="28" t="s">
        <v>12</v>
      </c>
      <c r="M1565" s="28" t="s">
        <v>103</v>
      </c>
      <c r="N1565" s="28"/>
      <c r="O1565" s="226"/>
      <c r="P1565" s="28"/>
      <c r="Q1565" s="226"/>
      <c r="R1565" s="37">
        <v>3</v>
      </c>
      <c r="S1565" s="37">
        <v>3</v>
      </c>
      <c r="T1565" s="37">
        <v>2</v>
      </c>
      <c r="U1565" s="37">
        <v>2</v>
      </c>
      <c r="V1565" s="37">
        <v>3</v>
      </c>
      <c r="W1565" s="28" t="s">
        <v>62</v>
      </c>
      <c r="X1565" s="28" t="s">
        <v>66</v>
      </c>
      <c r="Y1565" s="30">
        <v>43489</v>
      </c>
      <c r="Z1565" s="28" t="s">
        <v>66</v>
      </c>
      <c r="AA1565" s="30">
        <v>43513</v>
      </c>
      <c r="AB1565" s="28" t="s">
        <v>6492</v>
      </c>
    </row>
    <row r="1566" spans="1:28" ht="15.75" customHeight="1" thickTop="1">
      <c r="A1566" s="303" t="s">
        <v>3124</v>
      </c>
      <c r="C1566" s="25">
        <v>109</v>
      </c>
      <c r="D1566" s="25">
        <v>22775</v>
      </c>
      <c r="E1566" s="25" t="s">
        <v>3248</v>
      </c>
      <c r="F1566" s="26">
        <v>29208232101741</v>
      </c>
      <c r="G1566" s="25" t="s">
        <v>34</v>
      </c>
      <c r="H1566" s="25" t="s">
        <v>3271</v>
      </c>
      <c r="I1566" s="25" t="s">
        <v>66</v>
      </c>
      <c r="J1566" s="27">
        <v>43446</v>
      </c>
      <c r="K1566" s="25" t="s">
        <v>8</v>
      </c>
      <c r="L1566" s="25" t="s">
        <v>12</v>
      </c>
      <c r="M1566" s="25" t="s">
        <v>380</v>
      </c>
      <c r="N1566" s="25"/>
      <c r="O1566" s="224"/>
      <c r="P1566" s="25"/>
      <c r="Q1566" s="224"/>
      <c r="R1566" s="25"/>
      <c r="S1566" s="25"/>
      <c r="T1566" s="25"/>
      <c r="U1566" s="25"/>
      <c r="V1566" s="25"/>
      <c r="W1566" s="25" t="s">
        <v>63</v>
      </c>
      <c r="X1566" s="25"/>
      <c r="Y1566" s="27"/>
      <c r="Z1566" s="25" t="s">
        <v>67</v>
      </c>
      <c r="AA1566" s="27"/>
      <c r="AB1566" s="25"/>
    </row>
    <row r="1567" spans="1:28" ht="15" customHeight="1">
      <c r="A1567" s="304"/>
      <c r="C1567" s="25">
        <v>109</v>
      </c>
      <c r="D1567" s="2">
        <v>22776</v>
      </c>
      <c r="E1567" s="2" t="s">
        <v>3249</v>
      </c>
      <c r="F1567" s="3">
        <v>29505100102696</v>
      </c>
      <c r="G1567" s="2" t="s">
        <v>34</v>
      </c>
      <c r="H1567" s="2" t="s">
        <v>3272</v>
      </c>
      <c r="I1567" s="2" t="s">
        <v>66</v>
      </c>
      <c r="J1567" s="4">
        <v>43446</v>
      </c>
      <c r="K1567" s="2" t="s">
        <v>8</v>
      </c>
      <c r="L1567" s="2" t="s">
        <v>12</v>
      </c>
      <c r="M1567" s="2" t="s">
        <v>486</v>
      </c>
      <c r="R1567" s="23">
        <v>3</v>
      </c>
      <c r="S1567" s="23">
        <v>2</v>
      </c>
      <c r="T1567" s="23">
        <v>2</v>
      </c>
      <c r="U1567" s="23">
        <v>2</v>
      </c>
      <c r="V1567" s="23">
        <v>3</v>
      </c>
      <c r="W1567" s="16" t="s">
        <v>62</v>
      </c>
      <c r="Y1567" s="7">
        <v>43472</v>
      </c>
      <c r="Z1567" s="16" t="s">
        <v>66</v>
      </c>
      <c r="AA1567" s="7">
        <v>43478</v>
      </c>
    </row>
    <row r="1568" spans="1:28" ht="15" customHeight="1">
      <c r="A1568" s="304"/>
      <c r="C1568" s="25">
        <v>109</v>
      </c>
      <c r="D1568" s="2">
        <v>22777</v>
      </c>
      <c r="E1568" s="2" t="s">
        <v>3250</v>
      </c>
      <c r="F1568" s="3">
        <v>29609112102501</v>
      </c>
      <c r="G1568" s="2" t="s">
        <v>34</v>
      </c>
      <c r="H1568" s="2" t="s">
        <v>3273</v>
      </c>
      <c r="I1568" s="2" t="s">
        <v>66</v>
      </c>
      <c r="J1568" s="4">
        <v>43446</v>
      </c>
      <c r="K1568" s="2" t="s">
        <v>8</v>
      </c>
      <c r="L1568" s="2" t="s">
        <v>12</v>
      </c>
      <c r="M1568" s="2" t="s">
        <v>55</v>
      </c>
      <c r="R1568" s="23">
        <v>3</v>
      </c>
      <c r="S1568" s="23">
        <v>2</v>
      </c>
      <c r="T1568" s="23">
        <v>2.5</v>
      </c>
      <c r="U1568" s="23">
        <v>2.5</v>
      </c>
      <c r="V1568" s="23">
        <v>3</v>
      </c>
      <c r="W1568" s="16" t="s">
        <v>171</v>
      </c>
      <c r="X1568" s="2" t="s">
        <v>66</v>
      </c>
      <c r="Y1568" s="45">
        <v>43489</v>
      </c>
      <c r="Z1568" s="16" t="s">
        <v>66</v>
      </c>
      <c r="AA1568" s="7">
        <v>43513</v>
      </c>
      <c r="AB1568" s="75" t="s">
        <v>6745</v>
      </c>
    </row>
    <row r="1569" spans="1:28" ht="15" customHeight="1">
      <c r="A1569" s="304"/>
      <c r="C1569" s="25">
        <v>109</v>
      </c>
      <c r="D1569" s="16">
        <v>22778</v>
      </c>
      <c r="E1569" s="16" t="s">
        <v>3251</v>
      </c>
      <c r="F1569" s="3">
        <v>29007210103337</v>
      </c>
      <c r="G1569" s="16" t="s">
        <v>34</v>
      </c>
      <c r="H1569" s="16" t="s">
        <v>3274</v>
      </c>
      <c r="I1569" s="16" t="s">
        <v>66</v>
      </c>
      <c r="J1569" s="45">
        <v>43446</v>
      </c>
      <c r="K1569" s="16" t="s">
        <v>8</v>
      </c>
      <c r="L1569" s="16" t="s">
        <v>12</v>
      </c>
      <c r="M1569" s="16" t="s">
        <v>105</v>
      </c>
      <c r="N1569" s="16"/>
      <c r="R1569" s="23">
        <v>3</v>
      </c>
      <c r="S1569" s="23">
        <v>2</v>
      </c>
      <c r="T1569" s="23">
        <v>2.5</v>
      </c>
      <c r="U1569" s="23">
        <v>2</v>
      </c>
      <c r="V1569" s="23">
        <v>3</v>
      </c>
      <c r="W1569" s="16" t="s">
        <v>62</v>
      </c>
      <c r="X1569" s="16"/>
      <c r="Y1569" s="45">
        <v>43472</v>
      </c>
      <c r="Z1569" s="16" t="s">
        <v>66</v>
      </c>
      <c r="AA1569" s="45">
        <v>43513</v>
      </c>
      <c r="AB1569" s="16" t="s">
        <v>4217</v>
      </c>
    </row>
    <row r="1570" spans="1:28" ht="15" customHeight="1">
      <c r="A1570" s="304"/>
      <c r="C1570" s="25">
        <v>109</v>
      </c>
      <c r="D1570" s="2">
        <v>22779</v>
      </c>
      <c r="E1570" s="2" t="s">
        <v>3252</v>
      </c>
      <c r="F1570" s="3">
        <v>29212018800281</v>
      </c>
      <c r="G1570" s="2" t="s">
        <v>34</v>
      </c>
      <c r="H1570" s="2" t="s">
        <v>3275</v>
      </c>
      <c r="I1570" s="2" t="s">
        <v>66</v>
      </c>
      <c r="J1570" s="4">
        <v>43446</v>
      </c>
      <c r="K1570" s="2" t="s">
        <v>8</v>
      </c>
      <c r="L1570" s="2" t="s">
        <v>12</v>
      </c>
      <c r="M1570" s="2" t="s">
        <v>103</v>
      </c>
      <c r="R1570" s="23">
        <v>3</v>
      </c>
      <c r="S1570" s="23">
        <v>2.5</v>
      </c>
      <c r="T1570" s="23">
        <v>2</v>
      </c>
      <c r="U1570" s="23">
        <v>1.5</v>
      </c>
      <c r="V1570" s="23">
        <v>2.5</v>
      </c>
      <c r="W1570" s="16" t="s">
        <v>62</v>
      </c>
      <c r="Y1570" s="7">
        <v>43472</v>
      </c>
      <c r="Z1570" s="16" t="s">
        <v>66</v>
      </c>
      <c r="AA1570" s="7">
        <v>43478</v>
      </c>
    </row>
    <row r="1571" spans="1:28" ht="15" customHeight="1">
      <c r="A1571" s="304"/>
      <c r="C1571" s="25">
        <v>109</v>
      </c>
      <c r="D1571" s="2">
        <v>22780</v>
      </c>
      <c r="E1571" s="2" t="s">
        <v>3253</v>
      </c>
      <c r="F1571" s="3" t="s">
        <v>3254</v>
      </c>
      <c r="G1571" s="2" t="s">
        <v>34</v>
      </c>
      <c r="H1571" s="2">
        <v>1115121003</v>
      </c>
      <c r="I1571" s="2" t="s">
        <v>66</v>
      </c>
      <c r="J1571" s="4">
        <v>43446</v>
      </c>
      <c r="K1571" s="2" t="s">
        <v>8</v>
      </c>
      <c r="L1571" s="2" t="s">
        <v>12</v>
      </c>
      <c r="M1571" s="2" t="s">
        <v>771</v>
      </c>
      <c r="R1571" s="23">
        <v>3</v>
      </c>
      <c r="S1571" s="23">
        <v>3</v>
      </c>
      <c r="T1571" s="23">
        <v>2</v>
      </c>
      <c r="U1571" s="23">
        <v>2</v>
      </c>
      <c r="V1571" s="23">
        <v>3</v>
      </c>
      <c r="W1571" s="16" t="s">
        <v>62</v>
      </c>
      <c r="X1571" s="2" t="s">
        <v>66</v>
      </c>
      <c r="Y1571" s="45">
        <v>43489</v>
      </c>
      <c r="Z1571" s="16" t="s">
        <v>66</v>
      </c>
      <c r="AA1571" s="7">
        <v>43513</v>
      </c>
    </row>
    <row r="1572" spans="1:28" ht="15" customHeight="1">
      <c r="A1572" s="304"/>
      <c r="C1572" s="25">
        <v>109</v>
      </c>
      <c r="D1572" s="2">
        <v>22781</v>
      </c>
      <c r="E1572" s="2" t="s">
        <v>3255</v>
      </c>
      <c r="F1572" s="3">
        <v>29103018800139</v>
      </c>
      <c r="G1572" s="2" t="s">
        <v>34</v>
      </c>
      <c r="H1572" s="2" t="s">
        <v>3276</v>
      </c>
      <c r="I1572" s="2" t="s">
        <v>66</v>
      </c>
      <c r="J1572" s="4">
        <v>43446</v>
      </c>
      <c r="K1572" s="2" t="s">
        <v>8</v>
      </c>
      <c r="L1572" s="2" t="s">
        <v>12</v>
      </c>
      <c r="M1572" s="2" t="s">
        <v>105</v>
      </c>
      <c r="R1572" s="23">
        <v>3</v>
      </c>
      <c r="S1572" s="23">
        <v>3</v>
      </c>
      <c r="T1572" s="23">
        <v>2.5</v>
      </c>
      <c r="U1572" s="23">
        <v>2</v>
      </c>
      <c r="V1572" s="23">
        <v>3</v>
      </c>
      <c r="W1572" s="16" t="s">
        <v>60</v>
      </c>
      <c r="Y1572" s="7">
        <v>43472</v>
      </c>
      <c r="Z1572" s="16" t="s">
        <v>66</v>
      </c>
      <c r="AA1572" s="7">
        <v>43480</v>
      </c>
    </row>
    <row r="1573" spans="1:28" ht="15" customHeight="1">
      <c r="A1573" s="304"/>
      <c r="C1573" s="25">
        <v>109</v>
      </c>
      <c r="D1573" s="2">
        <v>22782</v>
      </c>
      <c r="E1573" s="2" t="s">
        <v>3256</v>
      </c>
      <c r="F1573" s="3">
        <v>29501012132172</v>
      </c>
      <c r="G1573" s="2" t="s">
        <v>935</v>
      </c>
      <c r="H1573" s="2" t="s">
        <v>3277</v>
      </c>
      <c r="I1573" s="2" t="s">
        <v>66</v>
      </c>
      <c r="J1573" s="4">
        <v>43446</v>
      </c>
      <c r="K1573" s="2" t="s">
        <v>8</v>
      </c>
      <c r="L1573" s="2" t="s">
        <v>12</v>
      </c>
      <c r="M1573" s="2" t="s">
        <v>103</v>
      </c>
      <c r="R1573" s="23">
        <v>3</v>
      </c>
      <c r="S1573" s="23">
        <v>2.5</v>
      </c>
      <c r="T1573" s="23">
        <v>2.5</v>
      </c>
      <c r="U1573" s="23">
        <v>2</v>
      </c>
      <c r="V1573" s="23">
        <v>2.5</v>
      </c>
      <c r="W1573" s="16" t="s">
        <v>502</v>
      </c>
      <c r="X1573" s="16" t="s">
        <v>66</v>
      </c>
      <c r="Y1573" s="45">
        <v>43489</v>
      </c>
      <c r="Z1573" s="16" t="s">
        <v>66</v>
      </c>
      <c r="AA1573" s="7">
        <v>43521</v>
      </c>
      <c r="AB1573" s="2" t="s">
        <v>3964</v>
      </c>
    </row>
    <row r="1574" spans="1:28" ht="15" customHeight="1">
      <c r="A1574" s="304"/>
      <c r="C1574" s="25">
        <v>109</v>
      </c>
      <c r="D1574" s="2">
        <v>22783</v>
      </c>
      <c r="E1574" s="2" t="s">
        <v>3257</v>
      </c>
      <c r="F1574" s="3">
        <v>29610172100297</v>
      </c>
      <c r="G1574" s="2" t="s">
        <v>34</v>
      </c>
      <c r="H1574" s="2" t="s">
        <v>3278</v>
      </c>
      <c r="I1574" s="2" t="s">
        <v>66</v>
      </c>
      <c r="J1574" s="4">
        <v>43446</v>
      </c>
      <c r="K1574" s="2" t="s">
        <v>8</v>
      </c>
      <c r="L1574" s="2" t="s">
        <v>12</v>
      </c>
      <c r="M1574" s="2" t="s">
        <v>551</v>
      </c>
      <c r="R1574" s="23">
        <v>3</v>
      </c>
      <c r="S1574" s="23">
        <v>2</v>
      </c>
      <c r="T1574" s="23">
        <v>2.5</v>
      </c>
      <c r="U1574" s="23">
        <v>2</v>
      </c>
      <c r="V1574" s="23">
        <v>3</v>
      </c>
      <c r="W1574" s="16" t="s">
        <v>62</v>
      </c>
      <c r="Y1574" s="7">
        <v>43472</v>
      </c>
      <c r="Z1574" s="16" t="s">
        <v>66</v>
      </c>
      <c r="AA1574" s="7">
        <v>43478</v>
      </c>
    </row>
    <row r="1575" spans="1:28" ht="15" customHeight="1">
      <c r="A1575" s="304"/>
      <c r="C1575" s="25">
        <v>109</v>
      </c>
      <c r="D1575" s="2">
        <v>22784</v>
      </c>
      <c r="E1575" s="2" t="s">
        <v>3258</v>
      </c>
      <c r="F1575" s="3">
        <v>29401210102888</v>
      </c>
      <c r="G1575" s="2" t="s">
        <v>34</v>
      </c>
      <c r="H1575" s="2" t="s">
        <v>3279</v>
      </c>
      <c r="I1575" s="2" t="s">
        <v>66</v>
      </c>
      <c r="J1575" s="4">
        <v>43446</v>
      </c>
      <c r="K1575" s="2" t="s">
        <v>8</v>
      </c>
      <c r="L1575" s="2" t="s">
        <v>12</v>
      </c>
      <c r="M1575" s="2" t="s">
        <v>696</v>
      </c>
      <c r="R1575" s="23">
        <v>3</v>
      </c>
      <c r="S1575" s="23">
        <v>2.5</v>
      </c>
      <c r="T1575" s="23">
        <v>2</v>
      </c>
      <c r="U1575" s="23">
        <v>2.5</v>
      </c>
      <c r="V1575" s="23">
        <v>2.5</v>
      </c>
      <c r="W1575" s="16" t="s">
        <v>61</v>
      </c>
      <c r="X1575" s="2" t="s">
        <v>66</v>
      </c>
      <c r="Y1575" s="45">
        <v>43489</v>
      </c>
      <c r="Z1575" s="16" t="s">
        <v>66</v>
      </c>
      <c r="AA1575" s="7">
        <v>43541</v>
      </c>
    </row>
    <row r="1576" spans="1:28" ht="15" customHeight="1">
      <c r="A1576" s="304"/>
      <c r="C1576" s="25">
        <v>109</v>
      </c>
      <c r="D1576" s="16">
        <v>22785</v>
      </c>
      <c r="E1576" s="16" t="s">
        <v>3259</v>
      </c>
      <c r="F1576" s="3">
        <v>29607270104666</v>
      </c>
      <c r="G1576" s="16" t="s">
        <v>34</v>
      </c>
      <c r="H1576" s="16" t="s">
        <v>3280</v>
      </c>
      <c r="I1576" s="16" t="s">
        <v>66</v>
      </c>
      <c r="J1576" s="45">
        <v>43446</v>
      </c>
      <c r="K1576" s="16" t="s">
        <v>8</v>
      </c>
      <c r="L1576" s="16" t="s">
        <v>12</v>
      </c>
      <c r="M1576" s="16" t="s">
        <v>109</v>
      </c>
      <c r="N1576" s="16"/>
      <c r="R1576" s="23">
        <v>3</v>
      </c>
      <c r="S1576" s="23">
        <v>3</v>
      </c>
      <c r="T1576" s="23">
        <v>3</v>
      </c>
      <c r="U1576" s="23">
        <v>3</v>
      </c>
      <c r="V1576" s="23">
        <v>3</v>
      </c>
      <c r="W1576" s="16" t="s">
        <v>150</v>
      </c>
      <c r="X1576" s="16"/>
      <c r="Y1576" s="45">
        <v>43472</v>
      </c>
      <c r="Z1576" s="16" t="s">
        <v>66</v>
      </c>
      <c r="AA1576" s="45">
        <v>43480</v>
      </c>
      <c r="AB1576" s="16" t="s">
        <v>3246</v>
      </c>
    </row>
    <row r="1577" spans="1:28" ht="15" customHeight="1">
      <c r="A1577" s="304"/>
      <c r="C1577" s="25">
        <v>109</v>
      </c>
      <c r="D1577" s="16">
        <v>22786</v>
      </c>
      <c r="E1577" s="16" t="s">
        <v>3260</v>
      </c>
      <c r="F1577" s="3">
        <v>29306120200977</v>
      </c>
      <c r="G1577" s="16" t="s">
        <v>34</v>
      </c>
      <c r="H1577" s="16" t="s">
        <v>3281</v>
      </c>
      <c r="I1577" s="16" t="s">
        <v>66</v>
      </c>
      <c r="J1577" s="45">
        <v>43446</v>
      </c>
      <c r="K1577" s="16" t="s">
        <v>8</v>
      </c>
      <c r="L1577" s="16" t="s">
        <v>12</v>
      </c>
      <c r="M1577" s="16" t="s">
        <v>1515</v>
      </c>
      <c r="N1577" s="16"/>
      <c r="R1577" s="23">
        <v>3</v>
      </c>
      <c r="S1577" s="23">
        <v>2.5</v>
      </c>
      <c r="T1577" s="23">
        <v>2</v>
      </c>
      <c r="U1577" s="23">
        <v>3</v>
      </c>
      <c r="V1577" s="23">
        <v>3</v>
      </c>
      <c r="W1577" s="16" t="s">
        <v>61</v>
      </c>
      <c r="X1577" s="16"/>
      <c r="Y1577" s="45">
        <v>43472</v>
      </c>
      <c r="Z1577" s="16" t="s">
        <v>66</v>
      </c>
      <c r="AA1577" s="45">
        <v>43486</v>
      </c>
      <c r="AB1577" s="16"/>
    </row>
    <row r="1578" spans="1:28" ht="15" customHeight="1">
      <c r="A1578" s="304"/>
      <c r="C1578" s="25">
        <v>109</v>
      </c>
      <c r="D1578" s="2">
        <v>22787</v>
      </c>
      <c r="E1578" s="2" t="s">
        <v>3261</v>
      </c>
      <c r="F1578" s="3">
        <v>28210080100299</v>
      </c>
      <c r="G1578" s="2" t="s">
        <v>34</v>
      </c>
      <c r="H1578" s="2" t="s">
        <v>3282</v>
      </c>
      <c r="I1578" s="2" t="s">
        <v>66</v>
      </c>
      <c r="J1578" s="4">
        <v>43446</v>
      </c>
      <c r="K1578" s="2" t="s">
        <v>8</v>
      </c>
      <c r="L1578" s="2" t="s">
        <v>12</v>
      </c>
      <c r="M1578" s="2" t="s">
        <v>585</v>
      </c>
      <c r="W1578" s="16" t="s">
        <v>64</v>
      </c>
      <c r="Z1578" s="16" t="s">
        <v>67</v>
      </c>
    </row>
    <row r="1579" spans="1:28" ht="15" customHeight="1">
      <c r="A1579" s="304"/>
      <c r="C1579" s="25">
        <v>109</v>
      </c>
      <c r="D1579" s="2">
        <v>22788</v>
      </c>
      <c r="E1579" s="2" t="s">
        <v>3262</v>
      </c>
      <c r="F1579" s="3" t="s">
        <v>3263</v>
      </c>
      <c r="G1579" s="2" t="s">
        <v>34</v>
      </c>
      <c r="H1579" s="2" t="s">
        <v>3283</v>
      </c>
      <c r="I1579" s="2" t="s">
        <v>66</v>
      </c>
      <c r="J1579" s="4">
        <v>43446</v>
      </c>
      <c r="K1579" s="2" t="s">
        <v>8</v>
      </c>
      <c r="L1579" s="2" t="s">
        <v>12</v>
      </c>
      <c r="M1579" s="2" t="s">
        <v>226</v>
      </c>
      <c r="R1579" s="23">
        <v>3</v>
      </c>
      <c r="S1579" s="23">
        <v>3</v>
      </c>
      <c r="T1579" s="23">
        <v>2.5</v>
      </c>
      <c r="U1579" s="23">
        <v>2.5</v>
      </c>
      <c r="V1579" s="23">
        <v>3</v>
      </c>
      <c r="W1579" s="16" t="s">
        <v>171</v>
      </c>
      <c r="Y1579" s="7">
        <v>43472</v>
      </c>
      <c r="Z1579" s="16" t="s">
        <v>66</v>
      </c>
      <c r="AA1579" s="45">
        <v>43486</v>
      </c>
    </row>
    <row r="1580" spans="1:28" ht="15" customHeight="1">
      <c r="A1580" s="304"/>
      <c r="C1580" s="25">
        <v>109</v>
      </c>
      <c r="D1580" s="2">
        <v>22789</v>
      </c>
      <c r="E1580" s="2" t="s">
        <v>3264</v>
      </c>
      <c r="F1580" s="3">
        <v>29404102105179</v>
      </c>
      <c r="G1580" s="2" t="s">
        <v>34</v>
      </c>
      <c r="H1580" s="2" t="s">
        <v>3284</v>
      </c>
      <c r="I1580" s="2" t="s">
        <v>66</v>
      </c>
      <c r="J1580" s="4">
        <v>43446</v>
      </c>
      <c r="K1580" s="2" t="s">
        <v>8</v>
      </c>
      <c r="L1580" s="2" t="s">
        <v>12</v>
      </c>
      <c r="M1580" s="2" t="s">
        <v>53</v>
      </c>
      <c r="R1580" s="23">
        <v>3</v>
      </c>
      <c r="S1580" s="23">
        <v>2.5</v>
      </c>
      <c r="T1580" s="23">
        <v>2.5</v>
      </c>
      <c r="U1580" s="23">
        <v>2</v>
      </c>
      <c r="V1580" s="23">
        <v>3</v>
      </c>
      <c r="W1580" s="16" t="s">
        <v>171</v>
      </c>
      <c r="X1580" s="2" t="s">
        <v>66</v>
      </c>
      <c r="Y1580" s="45">
        <v>43489</v>
      </c>
      <c r="Z1580" s="16" t="s">
        <v>66</v>
      </c>
      <c r="AA1580" s="7">
        <v>43541</v>
      </c>
    </row>
    <row r="1581" spans="1:28" ht="15" customHeight="1">
      <c r="A1581" s="304"/>
      <c r="C1581" s="25">
        <v>109</v>
      </c>
      <c r="D1581" s="2">
        <v>22790</v>
      </c>
      <c r="E1581" s="2" t="s">
        <v>3265</v>
      </c>
      <c r="F1581" s="3" t="s">
        <v>3266</v>
      </c>
      <c r="G1581" s="2" t="s">
        <v>34</v>
      </c>
      <c r="H1581" s="2" t="s">
        <v>3285</v>
      </c>
      <c r="I1581" s="2" t="s">
        <v>66</v>
      </c>
      <c r="J1581" s="4">
        <v>43446</v>
      </c>
      <c r="K1581" s="2" t="s">
        <v>8</v>
      </c>
      <c r="L1581" s="2" t="s">
        <v>12</v>
      </c>
      <c r="M1581" s="2" t="s">
        <v>623</v>
      </c>
      <c r="R1581" s="23">
        <v>3</v>
      </c>
      <c r="S1581" s="23">
        <v>2.5</v>
      </c>
      <c r="T1581" s="23">
        <v>2.5</v>
      </c>
      <c r="U1581" s="23">
        <v>2.5</v>
      </c>
      <c r="V1581" s="23">
        <v>3</v>
      </c>
      <c r="W1581" s="16" t="s">
        <v>171</v>
      </c>
      <c r="Y1581" s="7">
        <v>43472</v>
      </c>
      <c r="Z1581" s="16" t="s">
        <v>66</v>
      </c>
      <c r="AA1581" s="45">
        <v>43486</v>
      </c>
    </row>
    <row r="1582" spans="1:28" ht="15" customHeight="1">
      <c r="A1582" s="304"/>
      <c r="C1582" s="25">
        <v>109</v>
      </c>
      <c r="D1582" s="2">
        <v>22791</v>
      </c>
      <c r="E1582" s="2" t="s">
        <v>3267</v>
      </c>
      <c r="F1582" s="3" t="s">
        <v>3268</v>
      </c>
      <c r="G1582" s="2" t="s">
        <v>34</v>
      </c>
      <c r="H1582" s="2" t="s">
        <v>3286</v>
      </c>
      <c r="I1582" s="2" t="s">
        <v>66</v>
      </c>
      <c r="J1582" s="4">
        <v>43446</v>
      </c>
      <c r="K1582" s="2" t="s">
        <v>8</v>
      </c>
      <c r="L1582" s="2" t="s">
        <v>12</v>
      </c>
      <c r="M1582" s="2" t="s">
        <v>103</v>
      </c>
      <c r="R1582" s="23">
        <v>3</v>
      </c>
      <c r="S1582" s="23">
        <v>3</v>
      </c>
      <c r="T1582" s="23">
        <v>2</v>
      </c>
      <c r="U1582" s="23">
        <v>2.5</v>
      </c>
      <c r="V1582" s="23">
        <v>3</v>
      </c>
      <c r="W1582" s="16" t="s">
        <v>61</v>
      </c>
      <c r="X1582" s="2" t="s">
        <v>66</v>
      </c>
      <c r="Y1582" s="7">
        <v>43489</v>
      </c>
      <c r="Z1582" s="16" t="s">
        <v>66</v>
      </c>
      <c r="AA1582" s="7">
        <v>43541</v>
      </c>
    </row>
    <row r="1583" spans="1:28" ht="15.75" customHeight="1" thickBot="1">
      <c r="A1583" s="305"/>
      <c r="C1583" s="28">
        <v>109</v>
      </c>
      <c r="D1583" s="28">
        <v>22792</v>
      </c>
      <c r="E1583" s="28" t="s">
        <v>3269</v>
      </c>
      <c r="F1583" s="29" t="s">
        <v>3270</v>
      </c>
      <c r="G1583" s="28" t="s">
        <v>34</v>
      </c>
      <c r="H1583" s="28" t="s">
        <v>3287</v>
      </c>
      <c r="I1583" s="28" t="s">
        <v>66</v>
      </c>
      <c r="J1583" s="30">
        <v>43446</v>
      </c>
      <c r="K1583" s="28" t="s">
        <v>8</v>
      </c>
      <c r="L1583" s="28" t="s">
        <v>12</v>
      </c>
      <c r="M1583" s="28" t="s">
        <v>486</v>
      </c>
      <c r="N1583" s="28"/>
      <c r="O1583" s="226"/>
      <c r="P1583" s="28"/>
      <c r="Q1583" s="226"/>
      <c r="R1583" s="37">
        <v>3</v>
      </c>
      <c r="S1583" s="37">
        <v>2.5</v>
      </c>
      <c r="T1583" s="37">
        <v>3</v>
      </c>
      <c r="U1583" s="37">
        <v>2</v>
      </c>
      <c r="V1583" s="37">
        <v>3</v>
      </c>
      <c r="W1583" s="28" t="s">
        <v>171</v>
      </c>
      <c r="X1583" s="28" t="s">
        <v>66</v>
      </c>
      <c r="Y1583" s="30">
        <v>43489</v>
      </c>
      <c r="Z1583" s="28" t="s">
        <v>66</v>
      </c>
      <c r="AA1583" s="30">
        <v>43541</v>
      </c>
      <c r="AB1583" s="28"/>
    </row>
    <row r="1584" spans="1:28" ht="15.75" customHeight="1" thickTop="1">
      <c r="A1584" s="284" t="s">
        <v>3127</v>
      </c>
      <c r="C1584" s="25" t="s">
        <v>3302</v>
      </c>
      <c r="D1584" s="25">
        <v>22793</v>
      </c>
      <c r="E1584" s="25" t="s">
        <v>3288</v>
      </c>
      <c r="F1584" s="26">
        <v>29703280103209</v>
      </c>
      <c r="G1584" s="25" t="s">
        <v>34</v>
      </c>
      <c r="H1584" s="25" t="s">
        <v>3303</v>
      </c>
      <c r="I1584" s="25" t="s">
        <v>66</v>
      </c>
      <c r="J1584" s="27">
        <v>43450</v>
      </c>
      <c r="K1584" s="25" t="s">
        <v>798</v>
      </c>
      <c r="L1584" s="25" t="s">
        <v>12</v>
      </c>
      <c r="M1584" s="25" t="s">
        <v>52</v>
      </c>
      <c r="N1584" s="25"/>
      <c r="O1584" s="224"/>
      <c r="P1584" s="25"/>
      <c r="Q1584" s="224"/>
      <c r="R1584" s="25">
        <v>3</v>
      </c>
      <c r="S1584" s="25">
        <v>3</v>
      </c>
      <c r="T1584" s="25">
        <v>2</v>
      </c>
      <c r="U1584" s="25">
        <v>1.5</v>
      </c>
      <c r="V1584" s="25">
        <v>3</v>
      </c>
      <c r="W1584" s="25" t="s">
        <v>3321</v>
      </c>
      <c r="X1584" s="25"/>
      <c r="Y1584" s="27">
        <v>43475</v>
      </c>
      <c r="Z1584" s="25" t="s">
        <v>66</v>
      </c>
      <c r="AA1584" s="45">
        <v>43499</v>
      </c>
      <c r="AB1584" s="25"/>
    </row>
    <row r="1585" spans="1:28" ht="15" customHeight="1">
      <c r="A1585" s="285"/>
      <c r="C1585" s="25" t="s">
        <v>3302</v>
      </c>
      <c r="D1585" s="16">
        <v>22794</v>
      </c>
      <c r="E1585" s="16" t="s">
        <v>3289</v>
      </c>
      <c r="F1585" s="3">
        <v>29501108800184</v>
      </c>
      <c r="G1585" s="16" t="s">
        <v>34</v>
      </c>
      <c r="H1585" s="16" t="s">
        <v>3304</v>
      </c>
      <c r="I1585" s="16" t="s">
        <v>66</v>
      </c>
      <c r="J1585" s="45">
        <v>43450</v>
      </c>
      <c r="K1585" s="16" t="s">
        <v>798</v>
      </c>
      <c r="L1585" s="16" t="s">
        <v>12</v>
      </c>
      <c r="M1585" s="16" t="s">
        <v>52</v>
      </c>
      <c r="N1585" s="16"/>
      <c r="R1585" s="23">
        <v>3</v>
      </c>
      <c r="S1585" s="23">
        <v>2.5</v>
      </c>
      <c r="T1585" s="23">
        <v>2</v>
      </c>
      <c r="U1585" s="23">
        <v>2</v>
      </c>
      <c r="V1585" s="23">
        <v>3</v>
      </c>
      <c r="W1585" s="16" t="s">
        <v>62</v>
      </c>
      <c r="X1585" s="16" t="s">
        <v>66</v>
      </c>
      <c r="Y1585" s="27">
        <v>43506</v>
      </c>
      <c r="Z1585" s="16" t="s">
        <v>66</v>
      </c>
      <c r="AA1585" s="45">
        <v>43513</v>
      </c>
      <c r="AB1585" s="16" t="s">
        <v>3806</v>
      </c>
    </row>
    <row r="1586" spans="1:28" ht="15" customHeight="1">
      <c r="A1586" s="285"/>
      <c r="C1586" s="25" t="s">
        <v>3302</v>
      </c>
      <c r="D1586" s="16">
        <v>22795</v>
      </c>
      <c r="E1586" s="16" t="s">
        <v>3290</v>
      </c>
      <c r="F1586" s="3">
        <v>29611280103568</v>
      </c>
      <c r="G1586" s="16" t="s">
        <v>34</v>
      </c>
      <c r="H1586" s="16" t="s">
        <v>3305</v>
      </c>
      <c r="I1586" s="16" t="s">
        <v>66</v>
      </c>
      <c r="J1586" s="45">
        <v>43450</v>
      </c>
      <c r="K1586" s="16" t="s">
        <v>798</v>
      </c>
      <c r="L1586" s="16" t="s">
        <v>12</v>
      </c>
      <c r="M1586" s="16" t="s">
        <v>585</v>
      </c>
      <c r="N1586" s="16"/>
      <c r="R1586" s="16">
        <v>3</v>
      </c>
      <c r="S1586" s="16">
        <v>3</v>
      </c>
      <c r="T1586" s="16">
        <v>2</v>
      </c>
      <c r="U1586" s="16">
        <v>2</v>
      </c>
      <c r="V1586" s="16">
        <v>3</v>
      </c>
      <c r="W1586" s="16" t="s">
        <v>62</v>
      </c>
      <c r="X1586" s="16"/>
      <c r="Y1586" s="27">
        <v>43475</v>
      </c>
      <c r="Z1586" s="16" t="s">
        <v>66</v>
      </c>
      <c r="AA1586" s="45">
        <v>43499</v>
      </c>
      <c r="AB1586" s="16"/>
    </row>
    <row r="1587" spans="1:28" ht="15" customHeight="1">
      <c r="A1587" s="285"/>
      <c r="C1587" s="25" t="s">
        <v>3302</v>
      </c>
      <c r="D1587" s="2">
        <v>22796</v>
      </c>
      <c r="E1587" s="2" t="s">
        <v>3291</v>
      </c>
      <c r="F1587" s="3">
        <v>29606308800312</v>
      </c>
      <c r="G1587" s="16" t="s">
        <v>935</v>
      </c>
      <c r="H1587" s="2" t="s">
        <v>3306</v>
      </c>
      <c r="I1587" s="2" t="s">
        <v>66</v>
      </c>
      <c r="J1587" s="4">
        <v>43450</v>
      </c>
      <c r="K1587" s="2" t="s">
        <v>798</v>
      </c>
      <c r="L1587" s="2" t="s">
        <v>12</v>
      </c>
      <c r="M1587" s="2" t="s">
        <v>103</v>
      </c>
      <c r="W1587" s="16" t="s">
        <v>63</v>
      </c>
      <c r="Z1587" s="16" t="s">
        <v>67</v>
      </c>
    </row>
    <row r="1588" spans="1:28" ht="15" customHeight="1">
      <c r="A1588" s="285"/>
      <c r="C1588" s="25" t="s">
        <v>3302</v>
      </c>
      <c r="D1588" s="2">
        <v>22797</v>
      </c>
      <c r="E1588" s="2" t="s">
        <v>3292</v>
      </c>
      <c r="F1588" s="3">
        <v>29610180101383</v>
      </c>
      <c r="G1588" s="2" t="s">
        <v>34</v>
      </c>
      <c r="H1588" s="2" t="s">
        <v>3307</v>
      </c>
      <c r="I1588" s="2" t="s">
        <v>66</v>
      </c>
      <c r="J1588" s="4">
        <v>43450</v>
      </c>
      <c r="K1588" s="2" t="s">
        <v>798</v>
      </c>
      <c r="L1588" s="2" t="s">
        <v>12</v>
      </c>
      <c r="M1588" s="2" t="s">
        <v>3317</v>
      </c>
      <c r="R1588" s="23">
        <v>3</v>
      </c>
      <c r="S1588" s="23">
        <v>3</v>
      </c>
      <c r="T1588" s="23">
        <v>2</v>
      </c>
      <c r="U1588" s="23">
        <v>2</v>
      </c>
      <c r="V1588" s="23">
        <v>3</v>
      </c>
      <c r="W1588" s="16" t="s">
        <v>60</v>
      </c>
      <c r="X1588" s="2" t="s">
        <v>66</v>
      </c>
      <c r="Y1588" s="27">
        <v>43506</v>
      </c>
      <c r="Z1588" s="16" t="s">
        <v>66</v>
      </c>
      <c r="AA1588" s="7">
        <v>43515</v>
      </c>
      <c r="AB1588" s="16" t="s">
        <v>3958</v>
      </c>
    </row>
    <row r="1589" spans="1:28" ht="15" customHeight="1">
      <c r="A1589" s="285"/>
      <c r="C1589" s="25" t="s">
        <v>3302</v>
      </c>
      <c r="D1589" s="2">
        <v>22798</v>
      </c>
      <c r="E1589" s="2" t="s">
        <v>3293</v>
      </c>
      <c r="F1589" s="3">
        <v>26910200100179</v>
      </c>
      <c r="G1589" s="2" t="s">
        <v>34</v>
      </c>
      <c r="H1589" s="2" t="s">
        <v>3308</v>
      </c>
      <c r="I1589" s="2" t="s">
        <v>66</v>
      </c>
      <c r="J1589" s="4">
        <v>43450</v>
      </c>
      <c r="K1589" s="2" t="s">
        <v>798</v>
      </c>
      <c r="L1589" s="2" t="s">
        <v>12</v>
      </c>
      <c r="M1589" s="2" t="s">
        <v>623</v>
      </c>
      <c r="R1589" s="16">
        <v>3</v>
      </c>
      <c r="S1589" s="16">
        <v>3</v>
      </c>
      <c r="T1589" s="16">
        <v>2</v>
      </c>
      <c r="U1589" s="16">
        <v>2.5</v>
      </c>
      <c r="V1589" s="16">
        <v>3</v>
      </c>
      <c r="W1589" s="16" t="s">
        <v>62</v>
      </c>
      <c r="Y1589" s="27">
        <v>43475</v>
      </c>
      <c r="Z1589" s="16" t="s">
        <v>66</v>
      </c>
      <c r="AA1589" s="45">
        <v>43499</v>
      </c>
      <c r="AB1589" s="2" t="s">
        <v>6581</v>
      </c>
    </row>
    <row r="1590" spans="1:28" ht="15" customHeight="1">
      <c r="A1590" s="285"/>
      <c r="C1590" s="25" t="s">
        <v>3302</v>
      </c>
      <c r="D1590" s="2">
        <v>22799</v>
      </c>
      <c r="E1590" s="2" t="s">
        <v>3294</v>
      </c>
      <c r="F1590" s="3">
        <v>29606152101214</v>
      </c>
      <c r="G1590" s="2" t="s">
        <v>34</v>
      </c>
      <c r="H1590" s="2" t="s">
        <v>3309</v>
      </c>
      <c r="I1590" s="2" t="s">
        <v>66</v>
      </c>
      <c r="J1590" s="4">
        <v>43450</v>
      </c>
      <c r="K1590" s="2" t="s">
        <v>798</v>
      </c>
      <c r="L1590" s="2" t="s">
        <v>12</v>
      </c>
      <c r="M1590" s="2" t="s">
        <v>103</v>
      </c>
      <c r="R1590" s="16">
        <v>3</v>
      </c>
      <c r="S1590" s="16">
        <v>3</v>
      </c>
      <c r="T1590" s="16">
        <v>2</v>
      </c>
      <c r="U1590" s="16">
        <v>2</v>
      </c>
      <c r="V1590" s="16">
        <v>3</v>
      </c>
      <c r="W1590" s="16" t="s">
        <v>62</v>
      </c>
      <c r="Y1590" s="27">
        <v>43475</v>
      </c>
      <c r="Z1590" s="16" t="s">
        <v>66</v>
      </c>
      <c r="AA1590" s="45">
        <v>43499</v>
      </c>
    </row>
    <row r="1591" spans="1:28" ht="15" customHeight="1">
      <c r="A1591" s="285"/>
      <c r="C1591" s="25" t="s">
        <v>3302</v>
      </c>
      <c r="D1591" s="2">
        <v>22800</v>
      </c>
      <c r="E1591" s="2" t="s">
        <v>3295</v>
      </c>
      <c r="F1591" s="3">
        <v>29401080103178</v>
      </c>
      <c r="G1591" s="2" t="s">
        <v>34</v>
      </c>
      <c r="H1591" s="2" t="s">
        <v>3310</v>
      </c>
      <c r="I1591" s="2" t="s">
        <v>66</v>
      </c>
      <c r="J1591" s="4">
        <v>43450</v>
      </c>
      <c r="K1591" s="2" t="s">
        <v>798</v>
      </c>
      <c r="L1591" s="2" t="s">
        <v>12</v>
      </c>
      <c r="M1591" s="2" t="s">
        <v>256</v>
      </c>
      <c r="R1591" s="23">
        <v>3</v>
      </c>
      <c r="S1591" s="23">
        <v>3</v>
      </c>
      <c r="T1591" s="23">
        <v>2</v>
      </c>
      <c r="U1591" s="23">
        <v>2.5</v>
      </c>
      <c r="V1591" s="23">
        <v>3</v>
      </c>
      <c r="W1591" s="16" t="s">
        <v>60</v>
      </c>
      <c r="X1591" s="2" t="s">
        <v>66</v>
      </c>
      <c r="Y1591" s="27">
        <v>43506</v>
      </c>
      <c r="Z1591" s="16" t="s">
        <v>66</v>
      </c>
      <c r="AA1591" s="7">
        <v>43515</v>
      </c>
      <c r="AB1591" s="75" t="s">
        <v>3958</v>
      </c>
    </row>
    <row r="1592" spans="1:28" ht="15" customHeight="1">
      <c r="A1592" s="285"/>
      <c r="C1592" s="25" t="s">
        <v>3302</v>
      </c>
      <c r="D1592" s="2">
        <v>22801</v>
      </c>
      <c r="E1592" s="2" t="s">
        <v>3296</v>
      </c>
      <c r="F1592" s="3">
        <v>29607150200661</v>
      </c>
      <c r="G1592" s="2" t="s">
        <v>34</v>
      </c>
      <c r="H1592" s="2" t="s">
        <v>3311</v>
      </c>
      <c r="I1592" s="2" t="s">
        <v>66</v>
      </c>
      <c r="J1592" s="4">
        <v>43450</v>
      </c>
      <c r="K1592" s="2" t="s">
        <v>798</v>
      </c>
      <c r="L1592" s="2" t="s">
        <v>12</v>
      </c>
      <c r="M1592" s="2" t="s">
        <v>103</v>
      </c>
      <c r="R1592" s="16">
        <v>3</v>
      </c>
      <c r="S1592" s="16">
        <v>3</v>
      </c>
      <c r="T1592" s="16">
        <v>2</v>
      </c>
      <c r="U1592" s="16">
        <v>2</v>
      </c>
      <c r="V1592" s="16">
        <v>3</v>
      </c>
      <c r="W1592" s="16" t="s">
        <v>62</v>
      </c>
      <c r="Y1592" s="7">
        <v>43475</v>
      </c>
      <c r="Z1592" s="16" t="s">
        <v>67</v>
      </c>
      <c r="AB1592" s="2" t="s">
        <v>3965</v>
      </c>
    </row>
    <row r="1593" spans="1:28" ht="15" customHeight="1">
      <c r="A1593" s="285"/>
      <c r="C1593" s="25" t="s">
        <v>3302</v>
      </c>
      <c r="D1593" s="2">
        <v>22802</v>
      </c>
      <c r="E1593" s="2" t="s">
        <v>3297</v>
      </c>
      <c r="F1593" s="3">
        <v>29104060101298</v>
      </c>
      <c r="G1593" s="2" t="s">
        <v>34</v>
      </c>
      <c r="H1593" s="2" t="s">
        <v>3312</v>
      </c>
      <c r="I1593" s="2" t="s">
        <v>66</v>
      </c>
      <c r="J1593" s="4">
        <v>43450</v>
      </c>
      <c r="K1593" s="2" t="s">
        <v>798</v>
      </c>
      <c r="L1593" s="2" t="s">
        <v>12</v>
      </c>
      <c r="M1593" s="2" t="s">
        <v>103</v>
      </c>
      <c r="R1593" s="16">
        <v>3</v>
      </c>
      <c r="S1593" s="16">
        <v>2</v>
      </c>
      <c r="T1593" s="16">
        <v>2</v>
      </c>
      <c r="U1593" s="16">
        <v>2</v>
      </c>
      <c r="V1593" s="16">
        <v>2</v>
      </c>
      <c r="W1593" s="16" t="s">
        <v>3320</v>
      </c>
      <c r="Y1593" s="7">
        <v>43475</v>
      </c>
      <c r="Z1593" s="16" t="s">
        <v>66</v>
      </c>
      <c r="AA1593" s="7">
        <v>43478</v>
      </c>
    </row>
    <row r="1594" spans="1:28" ht="15" customHeight="1">
      <c r="A1594" s="285"/>
      <c r="C1594" s="25" t="s">
        <v>3302</v>
      </c>
      <c r="D1594" s="2">
        <v>22803</v>
      </c>
      <c r="E1594" s="2" t="s">
        <v>3298</v>
      </c>
      <c r="F1594" s="3">
        <v>29503202104534</v>
      </c>
      <c r="G1594" s="2" t="s">
        <v>34</v>
      </c>
      <c r="H1594" s="2" t="s">
        <v>3313</v>
      </c>
      <c r="I1594" s="2" t="s">
        <v>66</v>
      </c>
      <c r="J1594" s="4">
        <v>43450</v>
      </c>
      <c r="K1594" s="2" t="s">
        <v>798</v>
      </c>
      <c r="L1594" s="2" t="s">
        <v>12</v>
      </c>
      <c r="M1594" s="2" t="s">
        <v>438</v>
      </c>
      <c r="R1594" s="16">
        <v>3</v>
      </c>
      <c r="S1594" s="16">
        <v>3</v>
      </c>
      <c r="T1594" s="16">
        <v>2</v>
      </c>
      <c r="U1594" s="16">
        <v>2</v>
      </c>
      <c r="V1594" s="16">
        <v>3</v>
      </c>
      <c r="W1594" s="16" t="s">
        <v>62</v>
      </c>
      <c r="Y1594" s="7">
        <v>43475</v>
      </c>
      <c r="Z1594" s="16" t="s">
        <v>66</v>
      </c>
      <c r="AA1594" s="45">
        <v>43499</v>
      </c>
    </row>
    <row r="1595" spans="1:28" ht="15" customHeight="1">
      <c r="A1595" s="285"/>
      <c r="C1595" s="25" t="s">
        <v>3302</v>
      </c>
      <c r="D1595" s="2">
        <v>22804</v>
      </c>
      <c r="E1595" s="2" t="s">
        <v>3299</v>
      </c>
      <c r="F1595" s="3">
        <v>30003120103699</v>
      </c>
      <c r="G1595" s="16" t="s">
        <v>935</v>
      </c>
      <c r="H1595" s="2" t="s">
        <v>3314</v>
      </c>
      <c r="I1595" s="2" t="s">
        <v>66</v>
      </c>
      <c r="J1595" s="4">
        <v>43450</v>
      </c>
      <c r="K1595" s="2" t="s">
        <v>798</v>
      </c>
      <c r="L1595" s="2" t="s">
        <v>12</v>
      </c>
      <c r="M1595" s="16" t="s">
        <v>52</v>
      </c>
      <c r="R1595" s="16">
        <v>3</v>
      </c>
      <c r="S1595" s="16">
        <v>3</v>
      </c>
      <c r="T1595" s="16">
        <v>2</v>
      </c>
      <c r="U1595" s="16">
        <v>2</v>
      </c>
      <c r="V1595" s="16">
        <v>3</v>
      </c>
      <c r="W1595" s="16" t="s">
        <v>62</v>
      </c>
      <c r="Y1595" s="7">
        <v>43475</v>
      </c>
      <c r="Z1595" s="16" t="s">
        <v>66</v>
      </c>
      <c r="AA1595" s="45">
        <v>43499</v>
      </c>
    </row>
    <row r="1596" spans="1:28" ht="15" customHeight="1">
      <c r="A1596" s="285"/>
      <c r="C1596" s="25" t="s">
        <v>3302</v>
      </c>
      <c r="D1596" s="16">
        <v>18456</v>
      </c>
      <c r="E1596" s="16" t="s">
        <v>3300</v>
      </c>
      <c r="F1596" s="3">
        <v>29305222602615</v>
      </c>
      <c r="G1596" s="16" t="s">
        <v>34</v>
      </c>
      <c r="H1596" s="16" t="s">
        <v>3315</v>
      </c>
      <c r="I1596" s="16" t="s">
        <v>67</v>
      </c>
      <c r="J1596" s="45">
        <v>43450</v>
      </c>
      <c r="K1596" s="16" t="s">
        <v>798</v>
      </c>
      <c r="L1596" s="16" t="s">
        <v>12</v>
      </c>
      <c r="M1596" s="16" t="s">
        <v>13</v>
      </c>
      <c r="N1596" s="16"/>
      <c r="R1596" s="16">
        <v>3</v>
      </c>
      <c r="S1596" s="16">
        <v>2.5</v>
      </c>
      <c r="T1596" s="16">
        <v>2</v>
      </c>
      <c r="U1596" s="16">
        <v>2</v>
      </c>
      <c r="V1596" s="16">
        <v>3</v>
      </c>
      <c r="W1596" s="25" t="s">
        <v>3321</v>
      </c>
      <c r="X1596" s="16"/>
      <c r="Y1596" s="45">
        <v>43475</v>
      </c>
      <c r="Z1596" s="16" t="s">
        <v>66</v>
      </c>
      <c r="AA1596" s="45">
        <v>43499</v>
      </c>
      <c r="AB1596" s="16" t="s">
        <v>3816</v>
      </c>
    </row>
    <row r="1597" spans="1:28" ht="15" customHeight="1">
      <c r="A1597" s="285"/>
      <c r="C1597" s="39" t="s">
        <v>3302</v>
      </c>
      <c r="D1597" s="39">
        <v>20630</v>
      </c>
      <c r="E1597" s="39" t="s">
        <v>3301</v>
      </c>
      <c r="F1597" s="40">
        <v>29303272101282</v>
      </c>
      <c r="G1597" s="39" t="s">
        <v>34</v>
      </c>
      <c r="H1597" s="39" t="s">
        <v>3316</v>
      </c>
      <c r="I1597" s="39" t="s">
        <v>67</v>
      </c>
      <c r="J1597" s="41">
        <v>43450</v>
      </c>
      <c r="K1597" s="39" t="s">
        <v>798</v>
      </c>
      <c r="L1597" s="39" t="s">
        <v>12</v>
      </c>
      <c r="M1597" s="39" t="s">
        <v>103</v>
      </c>
      <c r="N1597" s="39"/>
      <c r="O1597" s="230"/>
      <c r="P1597" s="39"/>
      <c r="Q1597" s="230"/>
      <c r="R1597" s="39">
        <v>3</v>
      </c>
      <c r="S1597" s="39">
        <v>3</v>
      </c>
      <c r="T1597" s="39">
        <v>2</v>
      </c>
      <c r="U1597" s="39">
        <v>2.5</v>
      </c>
      <c r="V1597" s="39">
        <v>3</v>
      </c>
      <c r="W1597" s="16" t="s">
        <v>62</v>
      </c>
      <c r="X1597" s="39"/>
      <c r="Y1597" s="41">
        <v>43475</v>
      </c>
      <c r="Z1597" s="39" t="s">
        <v>67</v>
      </c>
      <c r="AA1597" s="41"/>
      <c r="AB1597" s="39" t="s">
        <v>3382</v>
      </c>
    </row>
    <row r="1598" spans="1:28" ht="15.75" customHeight="1" thickBot="1">
      <c r="A1598" s="285"/>
      <c r="C1598" s="28" t="s">
        <v>3302</v>
      </c>
      <c r="D1598" s="28">
        <v>22815</v>
      </c>
      <c r="E1598" s="28" t="s">
        <v>3318</v>
      </c>
      <c r="F1598" s="29">
        <v>29507260102831</v>
      </c>
      <c r="G1598" s="28" t="s">
        <v>34</v>
      </c>
      <c r="H1598" s="28" t="s">
        <v>3319</v>
      </c>
      <c r="I1598" s="28" t="s">
        <v>66</v>
      </c>
      <c r="J1598" s="30">
        <v>43450</v>
      </c>
      <c r="K1598" s="28" t="s">
        <v>798</v>
      </c>
      <c r="L1598" s="28" t="s">
        <v>12</v>
      </c>
      <c r="M1598" s="28" t="s">
        <v>622</v>
      </c>
      <c r="N1598" s="28"/>
      <c r="O1598" s="226"/>
      <c r="P1598" s="28"/>
      <c r="Q1598" s="226"/>
      <c r="R1598" s="28">
        <v>3</v>
      </c>
      <c r="S1598" s="28">
        <v>2</v>
      </c>
      <c r="T1598" s="28">
        <v>2</v>
      </c>
      <c r="U1598" s="28">
        <v>2</v>
      </c>
      <c r="V1598" s="28">
        <v>3</v>
      </c>
      <c r="W1598" s="28" t="s">
        <v>340</v>
      </c>
      <c r="X1598" s="28"/>
      <c r="Y1598" s="30">
        <v>43475</v>
      </c>
      <c r="Z1598" s="28"/>
      <c r="AA1598" s="30"/>
      <c r="AB1598" s="28"/>
    </row>
    <row r="1599" spans="1:28" ht="15.75" customHeight="1" thickTop="1">
      <c r="A1599" s="289" t="s">
        <v>3125</v>
      </c>
      <c r="B1599" s="42"/>
      <c r="C1599" s="25">
        <v>110</v>
      </c>
      <c r="D1599" s="25">
        <v>22806</v>
      </c>
      <c r="E1599" s="25" t="s">
        <v>3324</v>
      </c>
      <c r="F1599" s="26">
        <v>29608052104006</v>
      </c>
      <c r="G1599" s="25" t="s">
        <v>34</v>
      </c>
      <c r="H1599" s="25" t="s">
        <v>3336</v>
      </c>
      <c r="I1599" s="25" t="s">
        <v>66</v>
      </c>
      <c r="J1599" s="27">
        <v>43453</v>
      </c>
      <c r="K1599" s="25" t="s">
        <v>8</v>
      </c>
      <c r="L1599" s="25" t="s">
        <v>12</v>
      </c>
      <c r="M1599" s="25" t="s">
        <v>623</v>
      </c>
      <c r="N1599" s="25"/>
      <c r="O1599" s="224"/>
      <c r="P1599" s="25"/>
      <c r="Q1599" s="224"/>
      <c r="R1599" s="23">
        <v>3</v>
      </c>
      <c r="S1599" s="23">
        <v>2.5</v>
      </c>
      <c r="T1599" s="23">
        <v>2.5</v>
      </c>
      <c r="U1599" s="23">
        <v>2.5</v>
      </c>
      <c r="V1599" s="23">
        <v>3</v>
      </c>
      <c r="W1599" s="25" t="s">
        <v>170</v>
      </c>
      <c r="X1599" s="25"/>
      <c r="Y1599" s="7">
        <v>43479</v>
      </c>
      <c r="Z1599" s="25" t="s">
        <v>66</v>
      </c>
      <c r="AA1599" s="7">
        <v>43480</v>
      </c>
      <c r="AB1599" s="25"/>
    </row>
    <row r="1600" spans="1:28" ht="15" customHeight="1">
      <c r="A1600" s="290"/>
      <c r="B1600" s="42"/>
      <c r="C1600" s="25">
        <v>110</v>
      </c>
      <c r="D1600" s="2">
        <v>22807</v>
      </c>
      <c r="E1600" s="2" t="s">
        <v>3325</v>
      </c>
      <c r="F1600" s="3">
        <v>29205100102935</v>
      </c>
      <c r="G1600" s="2" t="s">
        <v>34</v>
      </c>
      <c r="H1600" s="2" t="s">
        <v>3337</v>
      </c>
      <c r="I1600" s="2" t="s">
        <v>66</v>
      </c>
      <c r="J1600" s="4">
        <v>43453</v>
      </c>
      <c r="K1600" s="2" t="s">
        <v>8</v>
      </c>
      <c r="L1600" s="2" t="s">
        <v>12</v>
      </c>
      <c r="M1600" s="2" t="s">
        <v>103</v>
      </c>
      <c r="W1600" s="16" t="s">
        <v>64</v>
      </c>
      <c r="Z1600" s="16" t="s">
        <v>67</v>
      </c>
    </row>
    <row r="1601" spans="1:28" ht="15" customHeight="1">
      <c r="A1601" s="290"/>
      <c r="B1601" s="42"/>
      <c r="C1601" s="25">
        <v>110</v>
      </c>
      <c r="D1601" s="2">
        <v>22808</v>
      </c>
      <c r="E1601" s="2" t="s">
        <v>3326</v>
      </c>
      <c r="F1601" s="3">
        <v>29604062100828</v>
      </c>
      <c r="G1601" s="2" t="s">
        <v>34</v>
      </c>
      <c r="H1601" s="2" t="s">
        <v>3338</v>
      </c>
      <c r="I1601" s="2" t="s">
        <v>66</v>
      </c>
      <c r="J1601" s="4">
        <v>43453</v>
      </c>
      <c r="K1601" s="2" t="s">
        <v>8</v>
      </c>
      <c r="L1601" s="2" t="s">
        <v>12</v>
      </c>
      <c r="M1601" s="2" t="s">
        <v>55</v>
      </c>
      <c r="R1601" s="23">
        <v>3</v>
      </c>
      <c r="S1601" s="23">
        <v>3</v>
      </c>
      <c r="T1601" s="23">
        <v>3</v>
      </c>
      <c r="U1601" s="23">
        <v>2.5</v>
      </c>
      <c r="V1601" s="23">
        <v>3</v>
      </c>
      <c r="W1601" s="16" t="s">
        <v>150</v>
      </c>
      <c r="Y1601" s="7">
        <v>43479</v>
      </c>
      <c r="Z1601" s="16" t="s">
        <v>66</v>
      </c>
      <c r="AA1601" s="7">
        <v>43480</v>
      </c>
      <c r="AB1601" s="2" t="s">
        <v>3246</v>
      </c>
    </row>
    <row r="1602" spans="1:28" ht="15" customHeight="1">
      <c r="A1602" s="290"/>
      <c r="B1602" s="42"/>
      <c r="C1602" s="25">
        <v>110</v>
      </c>
      <c r="D1602" s="16">
        <v>22809</v>
      </c>
      <c r="E1602" s="16" t="s">
        <v>3327</v>
      </c>
      <c r="F1602" s="3">
        <v>29405071201588</v>
      </c>
      <c r="G1602" s="16" t="s">
        <v>34</v>
      </c>
      <c r="H1602" s="16" t="s">
        <v>3339</v>
      </c>
      <c r="I1602" s="16" t="s">
        <v>66</v>
      </c>
      <c r="J1602" s="45">
        <v>43453</v>
      </c>
      <c r="K1602" s="16" t="s">
        <v>8</v>
      </c>
      <c r="L1602" s="16" t="s">
        <v>12</v>
      </c>
      <c r="M1602" s="16" t="s">
        <v>3174</v>
      </c>
      <c r="N1602" s="16"/>
      <c r="R1602" s="77">
        <v>3</v>
      </c>
      <c r="S1602" s="77">
        <v>3</v>
      </c>
      <c r="T1602" s="77">
        <v>2</v>
      </c>
      <c r="U1602" s="77">
        <v>2</v>
      </c>
      <c r="V1602" s="77">
        <v>3</v>
      </c>
      <c r="W1602" s="16" t="s">
        <v>62</v>
      </c>
      <c r="X1602" s="16" t="s">
        <v>66</v>
      </c>
      <c r="Y1602" s="45">
        <v>43514</v>
      </c>
      <c r="Z1602" s="16" t="s">
        <v>67</v>
      </c>
      <c r="AA1602" s="45"/>
      <c r="AB1602" s="16" t="s">
        <v>3857</v>
      </c>
    </row>
    <row r="1603" spans="1:28" ht="15" customHeight="1">
      <c r="A1603" s="290"/>
      <c r="B1603" s="42"/>
      <c r="C1603" s="25">
        <v>110</v>
      </c>
      <c r="D1603" s="2">
        <v>22810</v>
      </c>
      <c r="E1603" s="2" t="s">
        <v>3328</v>
      </c>
      <c r="F1603" s="3">
        <v>29512080104383</v>
      </c>
      <c r="G1603" s="2" t="s">
        <v>34</v>
      </c>
      <c r="H1603" s="2" t="s">
        <v>3340</v>
      </c>
      <c r="I1603" s="2" t="s">
        <v>66</v>
      </c>
      <c r="J1603" s="4">
        <v>43453</v>
      </c>
      <c r="K1603" s="2" t="s">
        <v>8</v>
      </c>
      <c r="L1603" s="2" t="s">
        <v>12</v>
      </c>
      <c r="M1603" s="2" t="s">
        <v>3347</v>
      </c>
      <c r="R1603" s="23">
        <v>3</v>
      </c>
      <c r="S1603" s="23">
        <v>2.5</v>
      </c>
      <c r="T1603" s="23">
        <v>2.5</v>
      </c>
      <c r="U1603" s="23">
        <v>2.5</v>
      </c>
      <c r="V1603" s="23">
        <v>3</v>
      </c>
      <c r="W1603" s="16" t="s">
        <v>170</v>
      </c>
      <c r="Y1603" s="7">
        <v>43479</v>
      </c>
      <c r="Z1603" s="16" t="s">
        <v>66</v>
      </c>
      <c r="AA1603" s="7">
        <v>43480</v>
      </c>
    </row>
    <row r="1604" spans="1:28" ht="15" customHeight="1">
      <c r="A1604" s="290"/>
      <c r="B1604" s="42"/>
      <c r="C1604" s="25">
        <v>110</v>
      </c>
      <c r="D1604" s="2">
        <v>22811</v>
      </c>
      <c r="E1604" s="2" t="s">
        <v>3329</v>
      </c>
      <c r="F1604" s="3">
        <v>29404022403781</v>
      </c>
      <c r="G1604" s="2" t="s">
        <v>34</v>
      </c>
      <c r="H1604" s="2" t="s">
        <v>3341</v>
      </c>
      <c r="I1604" s="2" t="s">
        <v>66</v>
      </c>
      <c r="J1604" s="4">
        <v>43453</v>
      </c>
      <c r="K1604" s="2" t="s">
        <v>8</v>
      </c>
      <c r="L1604" s="2" t="s">
        <v>12</v>
      </c>
      <c r="M1604" s="2" t="s">
        <v>768</v>
      </c>
      <c r="R1604" s="23">
        <v>3</v>
      </c>
      <c r="S1604" s="23">
        <v>2.5</v>
      </c>
      <c r="T1604" s="23">
        <v>2</v>
      </c>
      <c r="U1604" s="23">
        <v>2</v>
      </c>
      <c r="V1604" s="23">
        <v>3</v>
      </c>
      <c r="W1604" s="16" t="s">
        <v>62</v>
      </c>
      <c r="Y1604" s="7">
        <v>43479</v>
      </c>
      <c r="Z1604" s="16" t="s">
        <v>66</v>
      </c>
      <c r="AA1604" s="45">
        <v>43499</v>
      </c>
    </row>
    <row r="1605" spans="1:28" ht="15" customHeight="1">
      <c r="A1605" s="290"/>
      <c r="B1605" s="42"/>
      <c r="C1605" s="25">
        <v>110</v>
      </c>
      <c r="D1605" s="2">
        <v>22812</v>
      </c>
      <c r="E1605" s="2" t="s">
        <v>3330</v>
      </c>
      <c r="F1605" s="3">
        <v>29409070101461</v>
      </c>
      <c r="G1605" s="2" t="s">
        <v>34</v>
      </c>
      <c r="H1605" s="2" t="s">
        <v>3342</v>
      </c>
      <c r="I1605" s="2" t="s">
        <v>66</v>
      </c>
      <c r="J1605" s="4">
        <v>43453</v>
      </c>
      <c r="K1605" s="2" t="s">
        <v>8</v>
      </c>
      <c r="L1605" s="2" t="s">
        <v>12</v>
      </c>
      <c r="M1605" s="2" t="s">
        <v>3317</v>
      </c>
      <c r="R1605" s="23">
        <v>3</v>
      </c>
      <c r="S1605" s="23">
        <v>2.5</v>
      </c>
      <c r="T1605" s="23">
        <v>2</v>
      </c>
      <c r="U1605" s="23">
        <v>2</v>
      </c>
      <c r="V1605" s="23">
        <v>3</v>
      </c>
      <c r="W1605" s="16" t="s">
        <v>62</v>
      </c>
      <c r="Y1605" s="7">
        <v>43479</v>
      </c>
      <c r="Z1605" s="16" t="s">
        <v>66</v>
      </c>
      <c r="AA1605" s="45">
        <v>43499</v>
      </c>
    </row>
    <row r="1606" spans="1:28" ht="15" customHeight="1">
      <c r="A1606" s="290"/>
      <c r="B1606" s="42"/>
      <c r="C1606" s="25">
        <v>110</v>
      </c>
      <c r="D1606" s="2">
        <v>22813</v>
      </c>
      <c r="E1606" s="2" t="s">
        <v>3331</v>
      </c>
      <c r="F1606" s="3" t="s">
        <v>3332</v>
      </c>
      <c r="G1606" s="16" t="s">
        <v>935</v>
      </c>
      <c r="H1606" s="2" t="s">
        <v>3343</v>
      </c>
      <c r="I1606" s="2" t="s">
        <v>66</v>
      </c>
      <c r="J1606" s="4">
        <v>43453</v>
      </c>
      <c r="K1606" s="2" t="s">
        <v>8</v>
      </c>
      <c r="L1606" s="2" t="s">
        <v>12</v>
      </c>
      <c r="M1606" s="2" t="s">
        <v>768</v>
      </c>
      <c r="W1606" s="16" t="s">
        <v>64</v>
      </c>
      <c r="Z1606" s="16" t="s">
        <v>67</v>
      </c>
    </row>
    <row r="1607" spans="1:28" ht="15" customHeight="1">
      <c r="A1607" s="290"/>
      <c r="B1607" s="42"/>
      <c r="C1607" s="25">
        <v>110</v>
      </c>
      <c r="D1607" s="16">
        <v>22814</v>
      </c>
      <c r="E1607" s="16" t="s">
        <v>3333</v>
      </c>
      <c r="F1607" s="3">
        <v>28905040100201</v>
      </c>
      <c r="G1607" s="16" t="s">
        <v>34</v>
      </c>
      <c r="H1607" s="16" t="s">
        <v>3344</v>
      </c>
      <c r="I1607" s="16" t="s">
        <v>66</v>
      </c>
      <c r="J1607" s="45">
        <v>43453</v>
      </c>
      <c r="K1607" s="16" t="s">
        <v>8</v>
      </c>
      <c r="L1607" s="16" t="s">
        <v>12</v>
      </c>
      <c r="M1607" s="16" t="s">
        <v>52</v>
      </c>
      <c r="N1607" s="16"/>
      <c r="R1607" s="77">
        <v>3</v>
      </c>
      <c r="S1607" s="77">
        <v>3</v>
      </c>
      <c r="T1607" s="77">
        <v>2</v>
      </c>
      <c r="U1607" s="77">
        <v>2.5</v>
      </c>
      <c r="V1607" s="77">
        <v>3</v>
      </c>
      <c r="W1607" s="16" t="s">
        <v>171</v>
      </c>
      <c r="X1607" s="16" t="s">
        <v>66</v>
      </c>
      <c r="Y1607" s="45">
        <v>43514</v>
      </c>
      <c r="Z1607" s="16" t="s">
        <v>66</v>
      </c>
      <c r="AA1607" s="45"/>
      <c r="AB1607" s="75" t="s">
        <v>6624</v>
      </c>
    </row>
    <row r="1608" spans="1:28" ht="15" customHeight="1">
      <c r="A1608" s="290"/>
      <c r="B1608" s="42"/>
      <c r="C1608" s="25">
        <v>110</v>
      </c>
      <c r="D1608" s="16">
        <v>15110</v>
      </c>
      <c r="E1608" s="16" t="s">
        <v>3334</v>
      </c>
      <c r="F1608" s="3">
        <v>28909010101585</v>
      </c>
      <c r="G1608" s="16" t="s">
        <v>34</v>
      </c>
      <c r="H1608" s="16" t="s">
        <v>3345</v>
      </c>
      <c r="I1608" s="16" t="s">
        <v>67</v>
      </c>
      <c r="J1608" s="45">
        <v>43453</v>
      </c>
      <c r="K1608" s="16" t="s">
        <v>8</v>
      </c>
      <c r="L1608" s="16" t="s">
        <v>12</v>
      </c>
      <c r="M1608" s="16" t="s">
        <v>768</v>
      </c>
      <c r="N1608" s="16"/>
      <c r="W1608" s="16" t="s">
        <v>64</v>
      </c>
      <c r="X1608" s="16"/>
      <c r="Y1608" s="45"/>
      <c r="Z1608" s="16" t="s">
        <v>67</v>
      </c>
      <c r="AA1608" s="45"/>
      <c r="AB1608" s="16"/>
    </row>
    <row r="1609" spans="1:28" ht="15.75" customHeight="1" thickBot="1">
      <c r="A1609" s="291"/>
      <c r="B1609" s="42"/>
      <c r="C1609" s="28">
        <v>110</v>
      </c>
      <c r="D1609" s="28">
        <v>16083</v>
      </c>
      <c r="E1609" s="28" t="s">
        <v>3335</v>
      </c>
      <c r="F1609" s="29">
        <v>29703092100545</v>
      </c>
      <c r="G1609" s="28" t="s">
        <v>34</v>
      </c>
      <c r="H1609" s="28" t="s">
        <v>3346</v>
      </c>
      <c r="I1609" s="28" t="s">
        <v>67</v>
      </c>
      <c r="J1609" s="30">
        <v>43453</v>
      </c>
      <c r="K1609" s="28" t="s">
        <v>8</v>
      </c>
      <c r="L1609" s="28" t="s">
        <v>12</v>
      </c>
      <c r="M1609" s="28" t="s">
        <v>551</v>
      </c>
      <c r="N1609" s="28"/>
      <c r="O1609" s="226"/>
      <c r="P1609" s="28"/>
      <c r="Q1609" s="226"/>
      <c r="R1609" s="37">
        <v>3</v>
      </c>
      <c r="S1609" s="37">
        <v>2.5</v>
      </c>
      <c r="T1609" s="37">
        <v>2</v>
      </c>
      <c r="U1609" s="37">
        <v>2</v>
      </c>
      <c r="V1609" s="37">
        <v>3</v>
      </c>
      <c r="W1609" s="28" t="s">
        <v>62</v>
      </c>
      <c r="X1609" s="28" t="s">
        <v>66</v>
      </c>
      <c r="Y1609" s="30">
        <v>43514</v>
      </c>
      <c r="Z1609" s="28" t="s">
        <v>67</v>
      </c>
      <c r="AA1609" s="30"/>
      <c r="AB1609" s="28" t="s">
        <v>4078</v>
      </c>
    </row>
    <row r="1610" spans="1:28" ht="15.75" customHeight="1" thickTop="1">
      <c r="A1610" s="284" t="s">
        <v>3128</v>
      </c>
      <c r="C1610" s="25">
        <v>111</v>
      </c>
      <c r="D1610" s="25">
        <v>22816</v>
      </c>
      <c r="E1610" s="25" t="s">
        <v>3349</v>
      </c>
      <c r="F1610" s="26">
        <v>28601292100051</v>
      </c>
      <c r="G1610" s="25" t="s">
        <v>34</v>
      </c>
      <c r="H1610" s="25" t="s">
        <v>3361</v>
      </c>
      <c r="I1610" s="25" t="s">
        <v>66</v>
      </c>
      <c r="J1610" s="27">
        <v>43454</v>
      </c>
      <c r="K1610" s="25" t="s">
        <v>8</v>
      </c>
      <c r="L1610" s="25" t="s">
        <v>12</v>
      </c>
      <c r="M1610" s="25" t="s">
        <v>771</v>
      </c>
      <c r="N1610" s="25"/>
      <c r="O1610" s="224"/>
      <c r="P1610" s="25"/>
      <c r="Q1610" s="224"/>
      <c r="R1610" s="36">
        <v>3</v>
      </c>
      <c r="S1610" s="36">
        <v>3</v>
      </c>
      <c r="T1610" s="36">
        <v>2</v>
      </c>
      <c r="U1610" s="36">
        <v>1.5</v>
      </c>
      <c r="V1610" s="36">
        <v>3</v>
      </c>
      <c r="W1610" s="25" t="s">
        <v>62</v>
      </c>
      <c r="X1610" s="25"/>
      <c r="Y1610" s="7">
        <v>43480</v>
      </c>
      <c r="Z1610" s="25" t="s">
        <v>66</v>
      </c>
      <c r="AA1610" s="45">
        <v>43499</v>
      </c>
      <c r="AB1610" s="25"/>
    </row>
    <row r="1611" spans="1:28" ht="15" customHeight="1">
      <c r="A1611" s="285"/>
      <c r="C1611" s="25">
        <v>111</v>
      </c>
      <c r="D1611" s="2">
        <v>22817</v>
      </c>
      <c r="E1611" s="2" t="s">
        <v>3350</v>
      </c>
      <c r="F1611" s="3">
        <v>29409040103834</v>
      </c>
      <c r="G1611" s="2" t="s">
        <v>34</v>
      </c>
      <c r="H1611" s="2" t="s">
        <v>3362</v>
      </c>
      <c r="I1611" s="2" t="s">
        <v>66</v>
      </c>
      <c r="J1611" s="4">
        <v>43454</v>
      </c>
      <c r="K1611" s="2" t="s">
        <v>8</v>
      </c>
      <c r="L1611" s="2" t="s">
        <v>12</v>
      </c>
      <c r="M1611" s="2" t="s">
        <v>1515</v>
      </c>
      <c r="R1611" s="77">
        <v>3</v>
      </c>
      <c r="S1611" s="77">
        <v>3</v>
      </c>
      <c r="T1611" s="77">
        <v>2.5</v>
      </c>
      <c r="U1611" s="77">
        <v>2.5</v>
      </c>
      <c r="V1611" s="77">
        <v>3</v>
      </c>
      <c r="W1611" s="16" t="s">
        <v>170</v>
      </c>
      <c r="X1611" s="16" t="s">
        <v>66</v>
      </c>
      <c r="Y1611" s="7">
        <v>43514</v>
      </c>
      <c r="Z1611" s="16" t="s">
        <v>66</v>
      </c>
      <c r="AA1611" s="7">
        <v>43515</v>
      </c>
    </row>
    <row r="1612" spans="1:28" ht="15" customHeight="1">
      <c r="A1612" s="285"/>
      <c r="C1612" s="25">
        <v>111</v>
      </c>
      <c r="D1612" s="2">
        <v>22818</v>
      </c>
      <c r="E1612" s="2" t="s">
        <v>3351</v>
      </c>
      <c r="F1612" s="3">
        <v>29401268800798</v>
      </c>
      <c r="G1612" s="2" t="s">
        <v>34</v>
      </c>
      <c r="H1612" s="2" t="s">
        <v>3363</v>
      </c>
      <c r="I1612" s="2" t="s">
        <v>66</v>
      </c>
      <c r="J1612" s="4">
        <v>43454</v>
      </c>
      <c r="K1612" s="2" t="s">
        <v>8</v>
      </c>
      <c r="L1612" s="2" t="s">
        <v>12</v>
      </c>
      <c r="M1612" s="2" t="s">
        <v>623</v>
      </c>
      <c r="R1612" s="77">
        <v>3</v>
      </c>
      <c r="S1612" s="77">
        <v>2.5</v>
      </c>
      <c r="T1612" s="77">
        <v>2.5</v>
      </c>
      <c r="U1612" s="77">
        <v>2.5</v>
      </c>
      <c r="V1612" s="77">
        <v>3</v>
      </c>
      <c r="W1612" s="16" t="s">
        <v>171</v>
      </c>
      <c r="X1612" s="16" t="s">
        <v>66</v>
      </c>
      <c r="Y1612" s="7">
        <v>43514</v>
      </c>
      <c r="Z1612" s="16" t="s">
        <v>66</v>
      </c>
      <c r="AA1612" s="7">
        <v>43513</v>
      </c>
      <c r="AB1612" s="2" t="s">
        <v>3956</v>
      </c>
    </row>
    <row r="1613" spans="1:28" ht="15" customHeight="1">
      <c r="A1613" s="285"/>
      <c r="C1613" s="25">
        <v>111</v>
      </c>
      <c r="D1613" s="2">
        <v>22819</v>
      </c>
      <c r="E1613" s="2" t="s">
        <v>3359</v>
      </c>
      <c r="F1613" s="3">
        <v>28207182101957</v>
      </c>
      <c r="G1613" s="2" t="s">
        <v>34</v>
      </c>
      <c r="H1613" s="2" t="s">
        <v>3364</v>
      </c>
      <c r="I1613" s="2" t="s">
        <v>66</v>
      </c>
      <c r="J1613" s="4">
        <v>43454</v>
      </c>
      <c r="K1613" s="2" t="s">
        <v>8</v>
      </c>
      <c r="L1613" s="2" t="s">
        <v>12</v>
      </c>
      <c r="M1613" s="2" t="s">
        <v>16</v>
      </c>
      <c r="W1613" s="16" t="s">
        <v>63</v>
      </c>
      <c r="Z1613" s="16" t="s">
        <v>67</v>
      </c>
    </row>
    <row r="1614" spans="1:28" ht="15" customHeight="1">
      <c r="A1614" s="285"/>
      <c r="C1614" s="25">
        <v>111</v>
      </c>
      <c r="D1614" s="2">
        <v>22820</v>
      </c>
      <c r="E1614" s="2" t="s">
        <v>3352</v>
      </c>
      <c r="F1614" s="3">
        <v>29408232102258</v>
      </c>
      <c r="G1614" s="2" t="s">
        <v>935</v>
      </c>
      <c r="H1614" s="2" t="s">
        <v>3365</v>
      </c>
      <c r="I1614" s="2" t="s">
        <v>66</v>
      </c>
      <c r="J1614" s="4">
        <v>43454</v>
      </c>
      <c r="K1614" s="2" t="s">
        <v>8</v>
      </c>
      <c r="L1614" s="2" t="s">
        <v>12</v>
      </c>
      <c r="M1614" s="2" t="s">
        <v>438</v>
      </c>
      <c r="R1614" s="23">
        <v>3</v>
      </c>
      <c r="S1614" s="23">
        <v>2.5</v>
      </c>
      <c r="T1614" s="23">
        <v>3</v>
      </c>
      <c r="U1614" s="23">
        <v>2.5</v>
      </c>
      <c r="V1614" s="23">
        <v>3</v>
      </c>
      <c r="W1614" s="16" t="s">
        <v>60</v>
      </c>
      <c r="Y1614" s="7">
        <v>43480</v>
      </c>
      <c r="Z1614" s="16" t="s">
        <v>66</v>
      </c>
      <c r="AA1614" s="45">
        <v>43487</v>
      </c>
    </row>
    <row r="1615" spans="1:28" ht="15" customHeight="1">
      <c r="A1615" s="285"/>
      <c r="C1615" s="25">
        <v>111</v>
      </c>
      <c r="D1615" s="2">
        <v>22821</v>
      </c>
      <c r="E1615" s="2" t="s">
        <v>3353</v>
      </c>
      <c r="F1615" s="3">
        <v>29603180100917</v>
      </c>
      <c r="G1615" s="2" t="s">
        <v>34</v>
      </c>
      <c r="H1615" s="2" t="s">
        <v>3366</v>
      </c>
      <c r="I1615" s="2" t="s">
        <v>66</v>
      </c>
      <c r="J1615" s="4">
        <v>43454</v>
      </c>
      <c r="K1615" s="2" t="s">
        <v>8</v>
      </c>
      <c r="L1615" s="2" t="s">
        <v>12</v>
      </c>
      <c r="M1615" s="2" t="s">
        <v>696</v>
      </c>
      <c r="R1615" s="77">
        <v>3</v>
      </c>
      <c r="S1615" s="77">
        <v>2.5</v>
      </c>
      <c r="T1615" s="77">
        <v>2</v>
      </c>
      <c r="U1615" s="77">
        <v>2</v>
      </c>
      <c r="V1615" s="77">
        <v>3</v>
      </c>
      <c r="W1615" s="16" t="s">
        <v>62</v>
      </c>
      <c r="X1615" s="16" t="s">
        <v>66</v>
      </c>
      <c r="Y1615" s="7">
        <v>43514</v>
      </c>
      <c r="Z1615" s="16" t="s">
        <v>66</v>
      </c>
      <c r="AA1615" s="7">
        <v>43545</v>
      </c>
      <c r="AB1615" s="75" t="s">
        <v>5717</v>
      </c>
    </row>
    <row r="1616" spans="1:28" ht="15" customHeight="1">
      <c r="A1616" s="285"/>
      <c r="C1616" s="25">
        <v>111</v>
      </c>
      <c r="D1616" s="2">
        <v>22822</v>
      </c>
      <c r="E1616" s="2" t="s">
        <v>3354</v>
      </c>
      <c r="F1616" s="3">
        <v>28901010102611</v>
      </c>
      <c r="G1616" s="2" t="s">
        <v>34</v>
      </c>
      <c r="H1616" s="2" t="s">
        <v>3367</v>
      </c>
      <c r="I1616" s="2" t="s">
        <v>66</v>
      </c>
      <c r="J1616" s="4">
        <v>43454</v>
      </c>
      <c r="K1616" s="2" t="s">
        <v>8</v>
      </c>
      <c r="L1616" s="2" t="s">
        <v>12</v>
      </c>
      <c r="M1616" s="2" t="s">
        <v>438</v>
      </c>
      <c r="R1616" s="23">
        <v>3</v>
      </c>
      <c r="S1616" s="23">
        <v>3</v>
      </c>
      <c r="T1616" s="23">
        <v>2</v>
      </c>
      <c r="U1616" s="23">
        <v>2</v>
      </c>
      <c r="V1616" s="23">
        <v>3</v>
      </c>
      <c r="W1616" s="16" t="s">
        <v>63</v>
      </c>
      <c r="X1616" s="16" t="s">
        <v>66</v>
      </c>
      <c r="Z1616" s="16" t="s">
        <v>67</v>
      </c>
      <c r="AB1616" s="2" t="s">
        <v>3901</v>
      </c>
    </row>
    <row r="1617" spans="1:35" ht="15" customHeight="1">
      <c r="A1617" s="285"/>
      <c r="C1617" s="25">
        <v>111</v>
      </c>
      <c r="D1617" s="2">
        <v>22823</v>
      </c>
      <c r="E1617" s="2" t="s">
        <v>1332</v>
      </c>
      <c r="F1617" s="3" t="s">
        <v>1333</v>
      </c>
      <c r="G1617" s="2" t="s">
        <v>34</v>
      </c>
      <c r="H1617" s="2" t="s">
        <v>1353</v>
      </c>
      <c r="I1617" s="2" t="s">
        <v>66</v>
      </c>
      <c r="J1617" s="4">
        <v>43454</v>
      </c>
      <c r="K1617" s="2" t="s">
        <v>8</v>
      </c>
      <c r="L1617" s="2" t="s">
        <v>12</v>
      </c>
      <c r="M1617" s="2" t="s">
        <v>3370</v>
      </c>
      <c r="W1617" s="16" t="s">
        <v>63</v>
      </c>
      <c r="Z1617" s="16" t="s">
        <v>67</v>
      </c>
      <c r="AB1617" s="2" t="s">
        <v>3373</v>
      </c>
    </row>
    <row r="1618" spans="1:35" ht="15" customHeight="1">
      <c r="A1618" s="285"/>
      <c r="C1618" s="25">
        <v>111</v>
      </c>
      <c r="D1618" s="16">
        <v>22824</v>
      </c>
      <c r="E1618" s="16" t="s">
        <v>3360</v>
      </c>
      <c r="F1618" s="3">
        <v>29303280200451</v>
      </c>
      <c r="G1618" s="16" t="s">
        <v>34</v>
      </c>
      <c r="H1618" s="16" t="s">
        <v>3368</v>
      </c>
      <c r="I1618" s="16" t="s">
        <v>66</v>
      </c>
      <c r="J1618" s="45">
        <v>43454</v>
      </c>
      <c r="K1618" s="16" t="s">
        <v>8</v>
      </c>
      <c r="L1618" s="16" t="s">
        <v>12</v>
      </c>
      <c r="M1618" s="25" t="s">
        <v>771</v>
      </c>
      <c r="N1618" s="16"/>
      <c r="W1618" s="16" t="s">
        <v>63</v>
      </c>
      <c r="X1618" s="16"/>
      <c r="Y1618" s="45"/>
      <c r="Z1618" s="16" t="s">
        <v>67</v>
      </c>
      <c r="AA1618" s="45"/>
      <c r="AB1618" s="16"/>
    </row>
    <row r="1619" spans="1:35" ht="15" customHeight="1">
      <c r="A1619" s="285"/>
      <c r="C1619" s="25">
        <v>111</v>
      </c>
      <c r="D1619" s="2">
        <v>22825</v>
      </c>
      <c r="E1619" s="2" t="s">
        <v>3355</v>
      </c>
      <c r="F1619" s="3">
        <v>28704080200512</v>
      </c>
      <c r="G1619" s="2" t="s">
        <v>34</v>
      </c>
      <c r="H1619" s="2" t="s">
        <v>3369</v>
      </c>
      <c r="I1619" s="2" t="s">
        <v>66</v>
      </c>
      <c r="J1619" s="4">
        <v>43454</v>
      </c>
      <c r="K1619" s="2" t="s">
        <v>8</v>
      </c>
      <c r="L1619" s="2" t="s">
        <v>12</v>
      </c>
      <c r="M1619" s="2" t="s">
        <v>622</v>
      </c>
      <c r="R1619" s="23">
        <v>3</v>
      </c>
      <c r="S1619" s="23">
        <v>2</v>
      </c>
      <c r="T1619" s="23">
        <v>2</v>
      </c>
      <c r="U1619" s="23">
        <v>2</v>
      </c>
      <c r="V1619" s="23">
        <v>3</v>
      </c>
      <c r="W1619" s="16" t="s">
        <v>62</v>
      </c>
      <c r="Y1619" s="7">
        <v>43480</v>
      </c>
      <c r="Z1619" s="16" t="s">
        <v>66</v>
      </c>
      <c r="AA1619" s="45">
        <v>43499</v>
      </c>
    </row>
    <row r="1620" spans="1:35" ht="15" customHeight="1">
      <c r="A1620" s="285"/>
      <c r="C1620" s="25">
        <v>111</v>
      </c>
      <c r="D1620" s="16">
        <v>22826</v>
      </c>
      <c r="E1620" s="16" t="s">
        <v>3356</v>
      </c>
      <c r="F1620" s="3">
        <v>29506030100221</v>
      </c>
      <c r="G1620" s="16" t="s">
        <v>34</v>
      </c>
      <c r="H1620" s="16" t="s">
        <v>3371</v>
      </c>
      <c r="I1620" s="16" t="s">
        <v>66</v>
      </c>
      <c r="J1620" s="45">
        <v>43454</v>
      </c>
      <c r="K1620" s="16" t="s">
        <v>8</v>
      </c>
      <c r="L1620" s="16" t="s">
        <v>12</v>
      </c>
      <c r="M1620" s="16" t="s">
        <v>197</v>
      </c>
      <c r="N1620" s="16"/>
      <c r="R1620" s="23">
        <v>3</v>
      </c>
      <c r="S1620" s="23">
        <v>2.5</v>
      </c>
      <c r="T1620" s="23">
        <v>2.5</v>
      </c>
      <c r="U1620" s="23">
        <v>2.5</v>
      </c>
      <c r="V1620" s="23">
        <v>3</v>
      </c>
      <c r="W1620" s="16" t="s">
        <v>60</v>
      </c>
      <c r="X1620" s="16"/>
      <c r="Y1620" s="45">
        <v>43480</v>
      </c>
      <c r="Z1620" s="16" t="s">
        <v>66</v>
      </c>
      <c r="AA1620" s="45">
        <v>43487</v>
      </c>
      <c r="AB1620" s="16"/>
    </row>
    <row r="1621" spans="1:35" ht="15" customHeight="1">
      <c r="A1621" s="285"/>
      <c r="C1621" s="25">
        <v>111</v>
      </c>
      <c r="D1621" s="16">
        <v>22827</v>
      </c>
      <c r="E1621" s="16" t="s">
        <v>3357</v>
      </c>
      <c r="F1621" s="3">
        <v>29611020107039</v>
      </c>
      <c r="G1621" s="16" t="s">
        <v>34</v>
      </c>
      <c r="H1621" s="16" t="s">
        <v>3372</v>
      </c>
      <c r="I1621" s="16" t="s">
        <v>66</v>
      </c>
      <c r="J1621" s="45">
        <v>43454</v>
      </c>
      <c r="K1621" s="16" t="s">
        <v>8</v>
      </c>
      <c r="L1621" s="16" t="s">
        <v>12</v>
      </c>
      <c r="M1621" s="16" t="s">
        <v>771</v>
      </c>
      <c r="N1621" s="16"/>
      <c r="R1621" s="77">
        <v>3</v>
      </c>
      <c r="S1621" s="77">
        <v>3</v>
      </c>
      <c r="T1621" s="77">
        <v>2.5</v>
      </c>
      <c r="U1621" s="77">
        <v>2.5</v>
      </c>
      <c r="V1621" s="77">
        <v>3</v>
      </c>
      <c r="W1621" s="75" t="s">
        <v>60</v>
      </c>
      <c r="X1621" s="16" t="s">
        <v>66</v>
      </c>
      <c r="Y1621" s="45">
        <v>43514</v>
      </c>
      <c r="Z1621" s="16" t="s">
        <v>66</v>
      </c>
      <c r="AA1621" s="45">
        <v>43515</v>
      </c>
      <c r="AB1621" s="16"/>
    </row>
    <row r="1622" spans="1:35" ht="15.75" customHeight="1" thickBot="1">
      <c r="A1622" s="286"/>
      <c r="C1622" s="28">
        <v>111</v>
      </c>
      <c r="D1622" s="28">
        <v>22838</v>
      </c>
      <c r="E1622" s="28" t="s">
        <v>3358</v>
      </c>
      <c r="F1622" s="29">
        <v>29405260101314</v>
      </c>
      <c r="G1622" s="28" t="s">
        <v>34</v>
      </c>
      <c r="H1622" s="28" t="s">
        <v>3374</v>
      </c>
      <c r="I1622" s="28" t="s">
        <v>66</v>
      </c>
      <c r="J1622" s="30">
        <v>43454</v>
      </c>
      <c r="K1622" s="28" t="s">
        <v>8</v>
      </c>
      <c r="L1622" s="28" t="s">
        <v>12</v>
      </c>
      <c r="M1622" s="28" t="s">
        <v>103</v>
      </c>
      <c r="N1622" s="28"/>
      <c r="O1622" s="226"/>
      <c r="P1622" s="28"/>
      <c r="Q1622" s="226"/>
      <c r="R1622" s="37">
        <v>3</v>
      </c>
      <c r="S1622" s="37">
        <v>2.5</v>
      </c>
      <c r="T1622" s="37">
        <v>1.5</v>
      </c>
      <c r="U1622" s="37">
        <v>1.5</v>
      </c>
      <c r="V1622" s="37">
        <v>3</v>
      </c>
      <c r="W1622" s="28" t="s">
        <v>62</v>
      </c>
      <c r="X1622" s="28"/>
      <c r="Y1622" s="30">
        <v>43480</v>
      </c>
      <c r="Z1622" s="28" t="s">
        <v>66</v>
      </c>
      <c r="AA1622" s="30">
        <v>43513</v>
      </c>
      <c r="AB1622" s="28" t="s">
        <v>3955</v>
      </c>
    </row>
    <row r="1623" spans="1:35" ht="15.75" customHeight="1" thickTop="1">
      <c r="A1623" s="284" t="s">
        <v>3118</v>
      </c>
      <c r="C1623" s="25">
        <v>112</v>
      </c>
      <c r="D1623" s="25">
        <v>22841</v>
      </c>
      <c r="E1623" s="25" t="s">
        <v>3671</v>
      </c>
      <c r="F1623" s="26">
        <v>29508012110611</v>
      </c>
      <c r="G1623" s="25" t="s">
        <v>34</v>
      </c>
      <c r="H1623" s="25" t="s">
        <v>3672</v>
      </c>
      <c r="I1623" s="25" t="s">
        <v>66</v>
      </c>
      <c r="J1623" s="27">
        <v>43470</v>
      </c>
      <c r="K1623" s="25" t="s">
        <v>8</v>
      </c>
      <c r="L1623" s="25" t="s">
        <v>12</v>
      </c>
      <c r="M1623" s="25" t="s">
        <v>697</v>
      </c>
      <c r="N1623" s="25"/>
      <c r="O1623" s="224"/>
      <c r="P1623" s="25"/>
      <c r="Q1623" s="224"/>
      <c r="R1623" s="23">
        <v>3</v>
      </c>
      <c r="S1623" s="23">
        <v>2.5</v>
      </c>
      <c r="T1623" s="23">
        <v>2.5</v>
      </c>
      <c r="U1623" s="23">
        <v>2.5</v>
      </c>
      <c r="V1623" s="23">
        <v>3</v>
      </c>
      <c r="W1623" s="25" t="s">
        <v>60</v>
      </c>
      <c r="X1623" s="25"/>
      <c r="Y1623" s="45">
        <v>43494</v>
      </c>
      <c r="Z1623" s="25" t="s">
        <v>66</v>
      </c>
      <c r="AA1623" s="27">
        <v>43515</v>
      </c>
      <c r="AB1623" s="25" t="s">
        <v>3959</v>
      </c>
      <c r="AD1623" s="296" t="s">
        <v>4511</v>
      </c>
      <c r="AE1623" s="296"/>
      <c r="AF1623" s="296"/>
      <c r="AG1623" s="296"/>
      <c r="AH1623" s="296"/>
      <c r="AI1623" s="296"/>
    </row>
    <row r="1624" spans="1:35" ht="15" customHeight="1">
      <c r="A1624" s="285"/>
      <c r="C1624" s="25">
        <v>112</v>
      </c>
      <c r="D1624" s="2">
        <v>22842</v>
      </c>
      <c r="E1624" s="2" t="s">
        <v>3673</v>
      </c>
      <c r="F1624" s="3">
        <v>29312278800815</v>
      </c>
      <c r="G1624" s="2" t="s">
        <v>34</v>
      </c>
      <c r="H1624" s="2" t="s">
        <v>3674</v>
      </c>
      <c r="I1624" s="2" t="s">
        <v>66</v>
      </c>
      <c r="J1624" s="4">
        <v>43470</v>
      </c>
      <c r="K1624" s="16" t="s">
        <v>8</v>
      </c>
      <c r="L1624" s="2" t="s">
        <v>12</v>
      </c>
      <c r="M1624" s="2" t="s">
        <v>3675</v>
      </c>
      <c r="R1624" s="23">
        <v>2.5</v>
      </c>
      <c r="S1624" s="23">
        <v>2.5</v>
      </c>
      <c r="T1624" s="23">
        <v>2</v>
      </c>
      <c r="U1624" s="23">
        <v>1.5</v>
      </c>
      <c r="V1624" s="23">
        <v>3</v>
      </c>
      <c r="W1624" s="16" t="s">
        <v>62</v>
      </c>
      <c r="Y1624" s="45">
        <v>43494</v>
      </c>
      <c r="Z1624" s="16" t="s">
        <v>67</v>
      </c>
      <c r="AB1624" s="2" t="s">
        <v>3923</v>
      </c>
      <c r="AD1624" s="100" t="s">
        <v>4505</v>
      </c>
      <c r="AE1624" s="101" t="s">
        <v>4506</v>
      </c>
      <c r="AF1624" s="68"/>
      <c r="AG1624" s="100" t="s">
        <v>34</v>
      </c>
      <c r="AH1624" s="100" t="s">
        <v>3817</v>
      </c>
      <c r="AI1624" s="101" t="s">
        <v>4507</v>
      </c>
    </row>
    <row r="1625" spans="1:35" ht="15" customHeight="1">
      <c r="A1625" s="285"/>
      <c r="C1625" s="25">
        <v>112</v>
      </c>
      <c r="D1625" s="2">
        <v>22843</v>
      </c>
      <c r="E1625" s="2" t="s">
        <v>3676</v>
      </c>
      <c r="F1625" s="3">
        <v>29210140101731</v>
      </c>
      <c r="G1625" s="2" t="s">
        <v>34</v>
      </c>
      <c r="H1625" s="2" t="s">
        <v>3677</v>
      </c>
      <c r="I1625" s="2" t="s">
        <v>66</v>
      </c>
      <c r="J1625" s="4">
        <v>43470</v>
      </c>
      <c r="K1625" s="16" t="s">
        <v>8</v>
      </c>
      <c r="L1625" s="2" t="s">
        <v>12</v>
      </c>
      <c r="M1625" s="2" t="s">
        <v>16</v>
      </c>
      <c r="W1625" s="16" t="s">
        <v>64</v>
      </c>
      <c r="Z1625" s="16" t="s">
        <v>67</v>
      </c>
      <c r="AD1625" s="46">
        <v>89</v>
      </c>
      <c r="AE1625" s="46">
        <v>18</v>
      </c>
      <c r="AF1625" s="68"/>
      <c r="AG1625" s="46">
        <f>AD1625-AE1625</f>
        <v>71</v>
      </c>
      <c r="AH1625" s="46">
        <v>52</v>
      </c>
      <c r="AI1625" s="46">
        <v>37</v>
      </c>
    </row>
    <row r="1626" spans="1:35" ht="15" customHeight="1">
      <c r="A1626" s="285"/>
      <c r="C1626" s="25">
        <v>112</v>
      </c>
      <c r="D1626" s="2">
        <v>22844</v>
      </c>
      <c r="E1626" s="2" t="s">
        <v>3678</v>
      </c>
      <c r="F1626" s="3">
        <v>28812112102167</v>
      </c>
      <c r="G1626" s="16" t="s">
        <v>34</v>
      </c>
      <c r="H1626" s="2" t="s">
        <v>3679</v>
      </c>
      <c r="I1626" s="2" t="s">
        <v>66</v>
      </c>
      <c r="J1626" s="4">
        <v>43470</v>
      </c>
      <c r="K1626" s="16" t="s">
        <v>8</v>
      </c>
      <c r="L1626" s="2" t="s">
        <v>12</v>
      </c>
      <c r="M1626" s="2" t="s">
        <v>622</v>
      </c>
      <c r="R1626" s="77">
        <v>3</v>
      </c>
      <c r="S1626" s="77">
        <v>2.5</v>
      </c>
      <c r="T1626" s="77">
        <v>2</v>
      </c>
      <c r="U1626" s="77">
        <v>2</v>
      </c>
      <c r="V1626" s="77">
        <v>3</v>
      </c>
      <c r="W1626" s="16" t="s">
        <v>62</v>
      </c>
      <c r="X1626" s="2" t="s">
        <v>66</v>
      </c>
      <c r="Y1626" s="45">
        <v>43514</v>
      </c>
      <c r="Z1626" s="16" t="s">
        <v>67</v>
      </c>
      <c r="AB1626" s="2" t="s">
        <v>3924</v>
      </c>
      <c r="AD1626" s="44"/>
      <c r="AE1626" s="44"/>
      <c r="AF1626" s="44"/>
      <c r="AG1626" s="44"/>
      <c r="AH1626" s="44"/>
      <c r="AI1626" s="44"/>
    </row>
    <row r="1627" spans="1:35" ht="15" customHeight="1">
      <c r="A1627" s="285"/>
      <c r="C1627" s="25">
        <v>112</v>
      </c>
      <c r="D1627" s="2">
        <v>22845</v>
      </c>
      <c r="E1627" s="2" t="s">
        <v>3680</v>
      </c>
      <c r="F1627" s="3">
        <v>29612210100479</v>
      </c>
      <c r="G1627" s="2" t="s">
        <v>34</v>
      </c>
      <c r="H1627" s="2" t="s">
        <v>3681</v>
      </c>
      <c r="I1627" s="2" t="s">
        <v>66</v>
      </c>
      <c r="J1627" s="4">
        <v>43470</v>
      </c>
      <c r="K1627" s="16" t="s">
        <v>8</v>
      </c>
      <c r="L1627" s="2" t="s">
        <v>12</v>
      </c>
      <c r="M1627" s="2" t="s">
        <v>697</v>
      </c>
      <c r="R1627" s="77">
        <v>3</v>
      </c>
      <c r="S1627" s="77">
        <v>3</v>
      </c>
      <c r="T1627" s="77">
        <v>2.5</v>
      </c>
      <c r="U1627" s="77">
        <v>2.5</v>
      </c>
      <c r="V1627" s="77">
        <v>3</v>
      </c>
      <c r="W1627" s="16" t="s">
        <v>150</v>
      </c>
      <c r="X1627" s="2" t="s">
        <v>66</v>
      </c>
      <c r="Y1627" s="45">
        <v>43514</v>
      </c>
      <c r="Z1627" s="16" t="s">
        <v>66</v>
      </c>
      <c r="AB1627" s="75" t="s">
        <v>3894</v>
      </c>
      <c r="AD1627" s="297" t="s">
        <v>4504</v>
      </c>
      <c r="AE1627" s="297"/>
      <c r="AF1627" s="44"/>
      <c r="AG1627" s="298" t="s">
        <v>502</v>
      </c>
      <c r="AH1627" s="298"/>
      <c r="AI1627" s="44"/>
    </row>
    <row r="1628" spans="1:35" ht="15" customHeight="1">
      <c r="A1628" s="285"/>
      <c r="C1628" s="25">
        <v>112</v>
      </c>
      <c r="D1628" s="2">
        <v>22846</v>
      </c>
      <c r="E1628" s="2" t="s">
        <v>3682</v>
      </c>
      <c r="F1628" s="3">
        <v>29202032101179</v>
      </c>
      <c r="G1628" s="2" t="s">
        <v>34</v>
      </c>
      <c r="H1628" s="2" t="s">
        <v>3683</v>
      </c>
      <c r="I1628" s="2" t="s">
        <v>66</v>
      </c>
      <c r="J1628" s="4">
        <v>43470</v>
      </c>
      <c r="K1628" s="16" t="s">
        <v>8</v>
      </c>
      <c r="L1628" s="2" t="s">
        <v>12</v>
      </c>
      <c r="M1628" s="2" t="s">
        <v>52</v>
      </c>
      <c r="R1628" s="77">
        <v>3</v>
      </c>
      <c r="S1628" s="77">
        <v>2.5</v>
      </c>
      <c r="T1628" s="77">
        <v>2.5</v>
      </c>
      <c r="U1628" s="77">
        <v>2.5</v>
      </c>
      <c r="V1628" s="77">
        <v>3</v>
      </c>
      <c r="W1628" s="16" t="s">
        <v>171</v>
      </c>
      <c r="X1628" s="2" t="s">
        <v>66</v>
      </c>
      <c r="Y1628" s="45">
        <v>43514</v>
      </c>
      <c r="Z1628" s="16" t="s">
        <v>66</v>
      </c>
      <c r="AA1628" s="7">
        <v>43513</v>
      </c>
      <c r="AB1628" s="2" t="s">
        <v>3956</v>
      </c>
      <c r="AD1628" s="295">
        <v>19</v>
      </c>
      <c r="AE1628" s="295"/>
      <c r="AF1628" s="44"/>
      <c r="AG1628" s="295">
        <f>COUNTIF(W1623:W1744,"WU")+COUNTIF(W1623:W1744,"Comp. WU")+COUNTIF(W1623:W1744,"Expedia/WU")+COUNTIF(W1623:W1744,"Expedia\WU")+COUNTIF(W1623:W1744,"WU-ME")</f>
        <v>1</v>
      </c>
      <c r="AH1628" s="295"/>
      <c r="AI1628" s="44"/>
    </row>
    <row r="1629" spans="1:35" ht="15" customHeight="1">
      <c r="A1629" s="285"/>
      <c r="C1629" s="25">
        <v>112</v>
      </c>
      <c r="D1629" s="2">
        <v>22847</v>
      </c>
      <c r="E1629" s="2" t="s">
        <v>3684</v>
      </c>
      <c r="F1629" s="3" t="s">
        <v>3685</v>
      </c>
      <c r="G1629" s="2" t="s">
        <v>34</v>
      </c>
      <c r="H1629" s="2" t="s">
        <v>3364</v>
      </c>
      <c r="I1629" s="2" t="s">
        <v>66</v>
      </c>
      <c r="J1629" s="4">
        <v>43470</v>
      </c>
      <c r="K1629" s="16" t="s">
        <v>8</v>
      </c>
      <c r="L1629" s="2" t="s">
        <v>12</v>
      </c>
      <c r="M1629" s="2" t="s">
        <v>16</v>
      </c>
      <c r="W1629" s="16" t="s">
        <v>63</v>
      </c>
      <c r="Z1629" s="16" t="s">
        <v>67</v>
      </c>
      <c r="AD1629" s="44"/>
      <c r="AE1629" s="44"/>
      <c r="AF1629" s="44"/>
      <c r="AG1629" s="44"/>
      <c r="AH1629" s="44"/>
      <c r="AI1629" s="44"/>
    </row>
    <row r="1630" spans="1:35" ht="15" customHeight="1">
      <c r="A1630" s="285"/>
      <c r="C1630" s="25">
        <v>112</v>
      </c>
      <c r="D1630" s="2">
        <v>22848</v>
      </c>
      <c r="E1630" s="2" t="s">
        <v>3686</v>
      </c>
      <c r="F1630" s="3">
        <v>29403312101722</v>
      </c>
      <c r="G1630" s="2" t="s">
        <v>34</v>
      </c>
      <c r="H1630" s="2" t="s">
        <v>3687</v>
      </c>
      <c r="I1630" s="2" t="s">
        <v>66</v>
      </c>
      <c r="J1630" s="4">
        <v>43470</v>
      </c>
      <c r="K1630" s="16" t="s">
        <v>8</v>
      </c>
      <c r="L1630" s="2" t="s">
        <v>12</v>
      </c>
      <c r="M1630" s="2" t="s">
        <v>105</v>
      </c>
      <c r="W1630" s="16" t="s">
        <v>64</v>
      </c>
      <c r="Z1630" s="16" t="s">
        <v>67</v>
      </c>
      <c r="AD1630" s="299" t="s">
        <v>4503</v>
      </c>
      <c r="AE1630" s="299"/>
      <c r="AF1630" s="44"/>
      <c r="AG1630" s="300" t="s">
        <v>4502</v>
      </c>
      <c r="AH1630" s="300"/>
      <c r="AI1630" s="44"/>
    </row>
    <row r="1631" spans="1:35" ht="15" customHeight="1">
      <c r="A1631" s="285"/>
      <c r="C1631" s="25">
        <v>112</v>
      </c>
      <c r="D1631" s="2">
        <v>22849</v>
      </c>
      <c r="E1631" s="2" t="s">
        <v>3688</v>
      </c>
      <c r="F1631" s="3">
        <v>29506132100985</v>
      </c>
      <c r="G1631" s="2" t="s">
        <v>34</v>
      </c>
      <c r="H1631" s="2" t="s">
        <v>3689</v>
      </c>
      <c r="I1631" s="2" t="s">
        <v>66</v>
      </c>
      <c r="J1631" s="4">
        <v>43470</v>
      </c>
      <c r="K1631" s="16" t="s">
        <v>8</v>
      </c>
      <c r="L1631" s="2" t="s">
        <v>12</v>
      </c>
      <c r="M1631" s="16" t="s">
        <v>52</v>
      </c>
      <c r="R1631" s="23">
        <v>3</v>
      </c>
      <c r="S1631" s="23">
        <v>2</v>
      </c>
      <c r="T1631" s="23">
        <v>2</v>
      </c>
      <c r="U1631" s="23">
        <v>2</v>
      </c>
      <c r="V1631" s="23">
        <v>3</v>
      </c>
      <c r="W1631" s="16" t="s">
        <v>62</v>
      </c>
      <c r="Y1631" s="45">
        <v>43494</v>
      </c>
      <c r="Z1631" s="16" t="s">
        <v>66</v>
      </c>
      <c r="AA1631" s="7">
        <v>43513</v>
      </c>
      <c r="AB1631" s="16"/>
      <c r="AD1631" s="295">
        <v>16</v>
      </c>
      <c r="AE1631" s="295"/>
      <c r="AF1631" s="44"/>
      <c r="AG1631" s="295">
        <v>32</v>
      </c>
      <c r="AH1631" s="295"/>
      <c r="AI1631" s="44"/>
    </row>
    <row r="1632" spans="1:35" ht="15" customHeight="1">
      <c r="A1632" s="285"/>
      <c r="C1632" s="25">
        <v>112</v>
      </c>
      <c r="D1632" s="2">
        <v>22850</v>
      </c>
      <c r="E1632" s="2" t="s">
        <v>3690</v>
      </c>
      <c r="F1632" s="3">
        <v>29405210103138</v>
      </c>
      <c r="G1632" s="2" t="s">
        <v>34</v>
      </c>
      <c r="H1632" s="2" t="s">
        <v>3691</v>
      </c>
      <c r="I1632" s="2" t="s">
        <v>66</v>
      </c>
      <c r="J1632" s="4">
        <v>43470</v>
      </c>
      <c r="K1632" s="16" t="s">
        <v>8</v>
      </c>
      <c r="L1632" s="2" t="s">
        <v>12</v>
      </c>
      <c r="M1632" s="2" t="s">
        <v>489</v>
      </c>
      <c r="R1632" s="23">
        <v>3</v>
      </c>
      <c r="S1632" s="23">
        <v>2.5</v>
      </c>
      <c r="T1632" s="23">
        <v>2.5</v>
      </c>
      <c r="U1632" s="23">
        <v>2.5</v>
      </c>
      <c r="V1632" s="23">
        <v>3</v>
      </c>
      <c r="W1632" s="16" t="s">
        <v>60</v>
      </c>
      <c r="Y1632" s="45">
        <v>43494</v>
      </c>
      <c r="Z1632" s="16" t="s">
        <v>66</v>
      </c>
      <c r="AA1632" s="7">
        <v>43515</v>
      </c>
      <c r="AB1632" s="25" t="s">
        <v>3959</v>
      </c>
      <c r="AD1632" s="44"/>
      <c r="AE1632" s="44"/>
      <c r="AF1632" s="44"/>
      <c r="AG1632" s="44"/>
      <c r="AH1632" s="44"/>
      <c r="AI1632" s="44"/>
    </row>
    <row r="1633" spans="1:35" ht="15" customHeight="1">
      <c r="A1633" s="285"/>
      <c r="C1633" s="25">
        <v>112</v>
      </c>
      <c r="D1633" s="2">
        <v>22851</v>
      </c>
      <c r="E1633" s="2" t="s">
        <v>3692</v>
      </c>
      <c r="F1633" s="3">
        <v>29907252101645</v>
      </c>
      <c r="G1633" s="16" t="s">
        <v>935</v>
      </c>
      <c r="H1633" s="2" t="s">
        <v>3693</v>
      </c>
      <c r="I1633" s="2" t="s">
        <v>66</v>
      </c>
      <c r="J1633" s="4">
        <v>43470</v>
      </c>
      <c r="K1633" s="16" t="s">
        <v>8</v>
      </c>
      <c r="L1633" s="2" t="s">
        <v>12</v>
      </c>
      <c r="M1633" s="2" t="s">
        <v>14</v>
      </c>
      <c r="R1633" s="23">
        <v>3</v>
      </c>
      <c r="S1633" s="23">
        <v>3</v>
      </c>
      <c r="T1633" s="23">
        <v>2.5</v>
      </c>
      <c r="U1633" s="23">
        <v>2.5</v>
      </c>
      <c r="V1633" s="23">
        <v>3</v>
      </c>
      <c r="W1633" s="16" t="s">
        <v>170</v>
      </c>
      <c r="Y1633" s="45">
        <v>43494</v>
      </c>
      <c r="Z1633" s="16" t="s">
        <v>66</v>
      </c>
      <c r="AA1633" s="7">
        <v>43508</v>
      </c>
      <c r="AD1633" s="44"/>
      <c r="AE1633" s="301" t="s">
        <v>4509</v>
      </c>
      <c r="AF1633" s="301"/>
      <c r="AG1633" s="301"/>
      <c r="AH1633" s="44"/>
      <c r="AI1633" s="44"/>
    </row>
    <row r="1634" spans="1:35" ht="15" customHeight="1">
      <c r="A1634" s="285"/>
      <c r="C1634" s="25">
        <v>112</v>
      </c>
      <c r="D1634" s="2">
        <v>14660</v>
      </c>
      <c r="E1634" s="2" t="s">
        <v>3694</v>
      </c>
      <c r="F1634" s="3">
        <v>29609160102407</v>
      </c>
      <c r="G1634" s="16" t="s">
        <v>935</v>
      </c>
      <c r="H1634" s="2" t="s">
        <v>3695</v>
      </c>
      <c r="I1634" s="2" t="s">
        <v>67</v>
      </c>
      <c r="J1634" s="4">
        <v>43470</v>
      </c>
      <c r="K1634" s="16" t="s">
        <v>8</v>
      </c>
      <c r="L1634" s="2" t="s">
        <v>12</v>
      </c>
      <c r="M1634" s="2" t="s">
        <v>3696</v>
      </c>
      <c r="R1634" s="77">
        <v>3</v>
      </c>
      <c r="S1634" s="77">
        <v>3</v>
      </c>
      <c r="T1634" s="77">
        <v>2.5</v>
      </c>
      <c r="U1634" s="77">
        <v>2</v>
      </c>
      <c r="V1634" s="77">
        <v>3</v>
      </c>
      <c r="W1634" s="16" t="s">
        <v>171</v>
      </c>
      <c r="X1634" s="16" t="s">
        <v>66</v>
      </c>
      <c r="Y1634" s="7">
        <v>43514</v>
      </c>
      <c r="Z1634" s="16" t="s">
        <v>66</v>
      </c>
      <c r="AB1634" s="75" t="s">
        <v>3900</v>
      </c>
      <c r="AD1634" s="44"/>
      <c r="AE1634" s="295">
        <v>3</v>
      </c>
      <c r="AF1634" s="295"/>
      <c r="AG1634" s="295"/>
      <c r="AH1634" s="44"/>
      <c r="AI1634" s="44"/>
    </row>
    <row r="1635" spans="1:35" ht="15" customHeight="1">
      <c r="A1635" s="285"/>
      <c r="C1635" s="25">
        <v>112</v>
      </c>
      <c r="D1635" s="2">
        <v>22866</v>
      </c>
      <c r="E1635" s="2" t="s">
        <v>3697</v>
      </c>
      <c r="F1635" s="3">
        <v>29509300106209</v>
      </c>
      <c r="G1635" s="2" t="s">
        <v>34</v>
      </c>
      <c r="H1635" s="2" t="s">
        <v>3698</v>
      </c>
      <c r="I1635" s="2" t="s">
        <v>66</v>
      </c>
      <c r="J1635" s="4">
        <v>43470</v>
      </c>
      <c r="K1635" s="16" t="s">
        <v>8</v>
      </c>
      <c r="L1635" s="2" t="s">
        <v>12</v>
      </c>
      <c r="M1635" s="2" t="s">
        <v>622</v>
      </c>
      <c r="R1635" s="23">
        <v>3</v>
      </c>
      <c r="S1635" s="23">
        <v>2.5</v>
      </c>
      <c r="T1635" s="23">
        <v>2.5</v>
      </c>
      <c r="U1635" s="23">
        <v>2.5</v>
      </c>
      <c r="V1635" s="23">
        <v>3</v>
      </c>
      <c r="W1635" s="16" t="s">
        <v>60</v>
      </c>
      <c r="Y1635" s="45">
        <v>43495</v>
      </c>
      <c r="Z1635" s="16" t="s">
        <v>66</v>
      </c>
      <c r="AA1635" s="7">
        <v>43515</v>
      </c>
      <c r="AB1635" s="25" t="s">
        <v>3959</v>
      </c>
    </row>
    <row r="1636" spans="1:35" ht="15" customHeight="1">
      <c r="A1636" s="285"/>
      <c r="C1636" s="25">
        <v>112</v>
      </c>
      <c r="D1636" s="2">
        <v>22867</v>
      </c>
      <c r="E1636" s="2" t="s">
        <v>3699</v>
      </c>
      <c r="F1636" s="3">
        <v>29502230104578</v>
      </c>
      <c r="G1636" s="2" t="s">
        <v>34</v>
      </c>
      <c r="H1636" s="2" t="s">
        <v>3700</v>
      </c>
      <c r="I1636" s="2" t="s">
        <v>66</v>
      </c>
      <c r="J1636" s="4">
        <v>43470</v>
      </c>
      <c r="K1636" s="16" t="s">
        <v>8</v>
      </c>
      <c r="L1636" s="2" t="s">
        <v>12</v>
      </c>
      <c r="M1636" s="2" t="s">
        <v>16</v>
      </c>
      <c r="R1636" s="77">
        <v>3</v>
      </c>
      <c r="S1636" s="77">
        <v>3</v>
      </c>
      <c r="T1636" s="77">
        <v>2.5</v>
      </c>
      <c r="U1636" s="77">
        <v>3</v>
      </c>
      <c r="V1636" s="77">
        <v>3</v>
      </c>
      <c r="W1636" s="75" t="s">
        <v>60</v>
      </c>
      <c r="X1636" s="16" t="s">
        <v>66</v>
      </c>
      <c r="Y1636" s="45">
        <v>43514</v>
      </c>
      <c r="Z1636" s="16" t="s">
        <v>67</v>
      </c>
      <c r="AB1636" s="2" t="s">
        <v>3922</v>
      </c>
    </row>
    <row r="1637" spans="1:35" ht="15.75" customHeight="1" thickBot="1">
      <c r="A1637" s="286"/>
      <c r="C1637" s="28">
        <v>112</v>
      </c>
      <c r="D1637" s="28">
        <v>22868</v>
      </c>
      <c r="E1637" s="28" t="s">
        <v>3701</v>
      </c>
      <c r="F1637" s="29">
        <v>29307310103125</v>
      </c>
      <c r="G1637" s="28" t="s">
        <v>34</v>
      </c>
      <c r="H1637" s="28" t="s">
        <v>3702</v>
      </c>
      <c r="I1637" s="28" t="s">
        <v>66</v>
      </c>
      <c r="J1637" s="30">
        <v>43470</v>
      </c>
      <c r="K1637" s="28" t="s">
        <v>8</v>
      </c>
      <c r="L1637" s="28" t="s">
        <v>12</v>
      </c>
      <c r="M1637" s="28" t="s">
        <v>551</v>
      </c>
      <c r="N1637" s="28"/>
      <c r="O1637" s="226"/>
      <c r="P1637" s="28"/>
      <c r="Q1637" s="226"/>
      <c r="R1637" s="37">
        <v>2.5</v>
      </c>
      <c r="S1637" s="37">
        <v>2</v>
      </c>
      <c r="T1637" s="37">
        <v>2</v>
      </c>
      <c r="U1637" s="37">
        <v>2</v>
      </c>
      <c r="V1637" s="37">
        <v>3</v>
      </c>
      <c r="W1637" s="28" t="s">
        <v>62</v>
      </c>
      <c r="X1637" s="28"/>
      <c r="Y1637" s="30">
        <v>43494</v>
      </c>
      <c r="Z1637" s="28" t="s">
        <v>66</v>
      </c>
      <c r="AA1637" s="30">
        <v>43513</v>
      </c>
      <c r="AB1637" s="28" t="s">
        <v>3814</v>
      </c>
    </row>
    <row r="1638" spans="1:35" ht="15.75" customHeight="1" thickTop="1">
      <c r="A1638" s="284" t="s">
        <v>3124</v>
      </c>
      <c r="C1638" s="25" t="s">
        <v>3717</v>
      </c>
      <c r="D1638" s="25">
        <v>22852</v>
      </c>
      <c r="E1638" s="25" t="s">
        <v>3703</v>
      </c>
      <c r="F1638" s="26">
        <v>29506020103256</v>
      </c>
      <c r="G1638" s="25" t="s">
        <v>34</v>
      </c>
      <c r="H1638" s="25" t="s">
        <v>3718</v>
      </c>
      <c r="I1638" s="25" t="s">
        <v>66</v>
      </c>
      <c r="J1638" s="27">
        <v>43472</v>
      </c>
      <c r="K1638" s="25" t="s">
        <v>798</v>
      </c>
      <c r="L1638" s="25" t="s">
        <v>12</v>
      </c>
      <c r="M1638" s="25" t="s">
        <v>3696</v>
      </c>
      <c r="N1638" s="25"/>
      <c r="O1638" s="224"/>
      <c r="P1638" s="25"/>
      <c r="Q1638" s="224"/>
      <c r="R1638" s="25">
        <v>3</v>
      </c>
      <c r="S1638" s="25">
        <v>2.5</v>
      </c>
      <c r="T1638" s="25">
        <v>2</v>
      </c>
      <c r="U1638" s="25">
        <v>2</v>
      </c>
      <c r="V1638" s="25">
        <v>2.5</v>
      </c>
      <c r="W1638" s="25" t="s">
        <v>62</v>
      </c>
      <c r="X1638" s="25"/>
      <c r="Y1638" s="27">
        <v>43496</v>
      </c>
      <c r="Z1638" s="25" t="s">
        <v>67</v>
      </c>
      <c r="AA1638" s="27"/>
      <c r="AB1638" s="25" t="s">
        <v>4221</v>
      </c>
    </row>
    <row r="1639" spans="1:35" ht="15" customHeight="1">
      <c r="A1639" s="285"/>
      <c r="C1639" s="25" t="s">
        <v>3717</v>
      </c>
      <c r="D1639" s="2">
        <v>22853</v>
      </c>
      <c r="E1639" s="2" t="s">
        <v>3704</v>
      </c>
      <c r="F1639" s="3">
        <v>28912060103911</v>
      </c>
      <c r="G1639" s="2" t="s">
        <v>34</v>
      </c>
      <c r="H1639" s="2" t="s">
        <v>3719</v>
      </c>
      <c r="I1639" s="2" t="s">
        <v>66</v>
      </c>
      <c r="J1639" s="4">
        <v>43472</v>
      </c>
      <c r="K1639" s="2" t="s">
        <v>798</v>
      </c>
      <c r="L1639" s="2" t="s">
        <v>12</v>
      </c>
      <c r="M1639" s="2" t="s">
        <v>3720</v>
      </c>
      <c r="R1639" s="77">
        <v>3</v>
      </c>
      <c r="S1639" s="77">
        <v>3</v>
      </c>
      <c r="T1639" s="77">
        <v>2</v>
      </c>
      <c r="U1639" s="77">
        <v>2.5</v>
      </c>
      <c r="V1639" s="77">
        <v>3</v>
      </c>
      <c r="W1639" s="16" t="s">
        <v>171</v>
      </c>
      <c r="X1639" s="2" t="s">
        <v>66</v>
      </c>
      <c r="Y1639" s="45">
        <v>43523</v>
      </c>
      <c r="Z1639" s="16" t="s">
        <v>66</v>
      </c>
      <c r="AA1639" s="7">
        <v>43541</v>
      </c>
      <c r="AB1639" s="2" t="s">
        <v>3921</v>
      </c>
    </row>
    <row r="1640" spans="1:35" ht="15" customHeight="1">
      <c r="A1640" s="285"/>
      <c r="C1640" s="25" t="s">
        <v>3717</v>
      </c>
      <c r="D1640" s="2">
        <v>22854</v>
      </c>
      <c r="E1640" s="2" t="s">
        <v>3705</v>
      </c>
      <c r="F1640" s="3">
        <v>29410032101529</v>
      </c>
      <c r="G1640" s="2" t="s">
        <v>34</v>
      </c>
      <c r="H1640" s="2" t="s">
        <v>3721</v>
      </c>
      <c r="I1640" s="2" t="s">
        <v>66</v>
      </c>
      <c r="J1640" s="4">
        <v>43472</v>
      </c>
      <c r="K1640" s="2" t="s">
        <v>798</v>
      </c>
      <c r="L1640" s="2" t="s">
        <v>12</v>
      </c>
      <c r="M1640" s="2" t="s">
        <v>3720</v>
      </c>
      <c r="W1640" s="16" t="s">
        <v>64</v>
      </c>
      <c r="Z1640" s="16" t="s">
        <v>67</v>
      </c>
    </row>
    <row r="1641" spans="1:35" ht="15" customHeight="1">
      <c r="A1641" s="285"/>
      <c r="C1641" s="25" t="s">
        <v>3717</v>
      </c>
      <c r="D1641" s="2">
        <v>22855</v>
      </c>
      <c r="E1641" s="2" t="s">
        <v>3706</v>
      </c>
      <c r="F1641" s="3">
        <v>29409250107824</v>
      </c>
      <c r="G1641" s="2" t="s">
        <v>34</v>
      </c>
      <c r="H1641" s="2" t="s">
        <v>3722</v>
      </c>
      <c r="I1641" s="2" t="s">
        <v>66</v>
      </c>
      <c r="J1641" s="4">
        <v>43472</v>
      </c>
      <c r="K1641" s="2" t="s">
        <v>798</v>
      </c>
      <c r="L1641" s="2" t="s">
        <v>12</v>
      </c>
      <c r="M1641" s="2" t="s">
        <v>623</v>
      </c>
      <c r="R1641" s="16">
        <v>3</v>
      </c>
      <c r="S1641" s="16">
        <v>2</v>
      </c>
      <c r="T1641" s="16">
        <v>2.5</v>
      </c>
      <c r="U1641" s="16">
        <v>2.5</v>
      </c>
      <c r="V1641" s="16">
        <v>3</v>
      </c>
      <c r="W1641" s="16" t="s">
        <v>62</v>
      </c>
      <c r="Y1641" s="7">
        <v>43496</v>
      </c>
      <c r="Z1641" s="16" t="s">
        <v>66</v>
      </c>
      <c r="AA1641" s="7">
        <v>43555</v>
      </c>
      <c r="AB1641" s="75" t="s">
        <v>4079</v>
      </c>
    </row>
    <row r="1642" spans="1:35" ht="15" customHeight="1">
      <c r="A1642" s="285"/>
      <c r="C1642" s="25" t="s">
        <v>3717</v>
      </c>
      <c r="D1642" s="2">
        <v>22856</v>
      </c>
      <c r="E1642" s="2" t="s">
        <v>3707</v>
      </c>
      <c r="F1642" s="3">
        <v>29712121400714</v>
      </c>
      <c r="G1642" s="2" t="s">
        <v>184</v>
      </c>
      <c r="H1642" s="2" t="s">
        <v>3723</v>
      </c>
      <c r="I1642" s="2" t="s">
        <v>66</v>
      </c>
      <c r="J1642" s="4">
        <v>43472</v>
      </c>
      <c r="K1642" s="2" t="s">
        <v>798</v>
      </c>
      <c r="L1642" s="2" t="s">
        <v>12</v>
      </c>
      <c r="M1642" s="2" t="s">
        <v>623</v>
      </c>
      <c r="R1642" s="16">
        <v>3</v>
      </c>
      <c r="S1642" s="16">
        <v>2</v>
      </c>
      <c r="T1642" s="16">
        <v>2</v>
      </c>
      <c r="U1642" s="16">
        <v>2</v>
      </c>
      <c r="V1642" s="16">
        <v>3</v>
      </c>
      <c r="W1642" s="16" t="s">
        <v>62</v>
      </c>
      <c r="Y1642" s="7">
        <v>43496</v>
      </c>
      <c r="Z1642" s="16" t="s">
        <v>67</v>
      </c>
      <c r="AB1642" s="75" t="s">
        <v>4080</v>
      </c>
    </row>
    <row r="1643" spans="1:35" ht="15" customHeight="1">
      <c r="A1643" s="285"/>
      <c r="C1643" s="25" t="s">
        <v>3717</v>
      </c>
      <c r="D1643" s="2">
        <v>22857</v>
      </c>
      <c r="E1643" s="2" t="s">
        <v>3708</v>
      </c>
      <c r="F1643" s="3">
        <v>29504270101469</v>
      </c>
      <c r="G1643" s="2" t="s">
        <v>34</v>
      </c>
      <c r="H1643" s="2" t="s">
        <v>3724</v>
      </c>
      <c r="I1643" s="2" t="s">
        <v>66</v>
      </c>
      <c r="J1643" s="4">
        <v>43472</v>
      </c>
      <c r="K1643" s="2" t="s">
        <v>798</v>
      </c>
      <c r="L1643" s="2" t="s">
        <v>12</v>
      </c>
      <c r="M1643" s="16" t="s">
        <v>585</v>
      </c>
      <c r="R1643" s="16">
        <v>3</v>
      </c>
      <c r="S1643" s="16">
        <v>2.5</v>
      </c>
      <c r="T1643" s="16">
        <v>2</v>
      </c>
      <c r="U1643" s="16">
        <v>1.5</v>
      </c>
      <c r="V1643" s="16">
        <v>2.5</v>
      </c>
      <c r="W1643" s="16" t="s">
        <v>3321</v>
      </c>
      <c r="Y1643" s="7">
        <v>43496</v>
      </c>
      <c r="Z1643" s="16" t="s">
        <v>67</v>
      </c>
      <c r="AB1643" s="16" t="s">
        <v>3924</v>
      </c>
    </row>
    <row r="1644" spans="1:35" ht="15" customHeight="1">
      <c r="A1644" s="285"/>
      <c r="C1644" s="25" t="s">
        <v>3717</v>
      </c>
      <c r="D1644" s="2">
        <v>22858</v>
      </c>
      <c r="E1644" s="2" t="s">
        <v>3709</v>
      </c>
      <c r="F1644" s="3">
        <v>29510281400221</v>
      </c>
      <c r="G1644" s="2" t="s">
        <v>34</v>
      </c>
      <c r="H1644" s="2" t="s">
        <v>3725</v>
      </c>
      <c r="I1644" s="2" t="s">
        <v>66</v>
      </c>
      <c r="J1644" s="4">
        <v>43472</v>
      </c>
      <c r="K1644" s="2" t="s">
        <v>798</v>
      </c>
      <c r="L1644" s="2" t="s">
        <v>12</v>
      </c>
      <c r="M1644" s="2" t="s">
        <v>585</v>
      </c>
      <c r="R1644" s="77">
        <v>3</v>
      </c>
      <c r="S1644" s="77">
        <v>3</v>
      </c>
      <c r="T1644" s="77">
        <v>2.5</v>
      </c>
      <c r="U1644" s="77">
        <v>2.5</v>
      </c>
      <c r="V1644" s="77">
        <v>3</v>
      </c>
      <c r="W1644" s="16" t="s">
        <v>170</v>
      </c>
      <c r="X1644" s="2" t="s">
        <v>66</v>
      </c>
      <c r="Y1644" s="45">
        <v>43523</v>
      </c>
      <c r="Z1644" s="16" t="s">
        <v>66</v>
      </c>
      <c r="AA1644" s="7">
        <v>43535</v>
      </c>
      <c r="AB1644" s="75" t="s">
        <v>3921</v>
      </c>
    </row>
    <row r="1645" spans="1:35" ht="15" customHeight="1">
      <c r="A1645" s="285"/>
      <c r="C1645" s="25" t="s">
        <v>3717</v>
      </c>
      <c r="D1645" s="2">
        <v>22859</v>
      </c>
      <c r="E1645" s="2" t="s">
        <v>3710</v>
      </c>
      <c r="F1645" s="3">
        <v>29201011324392</v>
      </c>
      <c r="G1645" s="2" t="s">
        <v>34</v>
      </c>
      <c r="H1645" s="2" t="s">
        <v>3726</v>
      </c>
      <c r="I1645" s="2" t="s">
        <v>66</v>
      </c>
      <c r="J1645" s="4">
        <v>43472</v>
      </c>
      <c r="K1645" s="2" t="s">
        <v>798</v>
      </c>
      <c r="L1645" s="2" t="s">
        <v>12</v>
      </c>
      <c r="M1645" s="2" t="s">
        <v>3720</v>
      </c>
      <c r="R1645" s="16">
        <v>3</v>
      </c>
      <c r="S1645" s="16">
        <v>2</v>
      </c>
      <c r="T1645" s="16">
        <v>2</v>
      </c>
      <c r="U1645" s="16">
        <v>2</v>
      </c>
      <c r="V1645" s="16">
        <v>3</v>
      </c>
      <c r="W1645" s="16" t="s">
        <v>3321</v>
      </c>
      <c r="Y1645" s="7">
        <v>43496</v>
      </c>
      <c r="Z1645" s="16" t="s">
        <v>67</v>
      </c>
      <c r="AB1645" s="16" t="s">
        <v>4081</v>
      </c>
    </row>
    <row r="1646" spans="1:35" ht="15" customHeight="1">
      <c r="A1646" s="285"/>
      <c r="C1646" s="25" t="s">
        <v>3717</v>
      </c>
      <c r="D1646" s="2">
        <v>22860</v>
      </c>
      <c r="E1646" s="2" t="s">
        <v>3711</v>
      </c>
      <c r="F1646" s="3">
        <v>29603310103221</v>
      </c>
      <c r="G1646" s="2" t="s">
        <v>34</v>
      </c>
      <c r="H1646" s="2" t="s">
        <v>3727</v>
      </c>
      <c r="I1646" s="2" t="s">
        <v>66</v>
      </c>
      <c r="J1646" s="4">
        <v>43472</v>
      </c>
      <c r="K1646" s="2" t="s">
        <v>798</v>
      </c>
      <c r="L1646" s="2" t="s">
        <v>12</v>
      </c>
      <c r="M1646" s="2" t="s">
        <v>404</v>
      </c>
      <c r="R1646" s="16">
        <v>3</v>
      </c>
      <c r="S1646" s="16">
        <v>2</v>
      </c>
      <c r="T1646" s="16">
        <v>2</v>
      </c>
      <c r="U1646" s="16">
        <v>2</v>
      </c>
      <c r="V1646" s="16">
        <v>3</v>
      </c>
      <c r="W1646" s="16" t="s">
        <v>3321</v>
      </c>
      <c r="Y1646" s="7">
        <v>43496</v>
      </c>
      <c r="Z1646" s="16" t="s">
        <v>67</v>
      </c>
      <c r="AB1646" s="75" t="s">
        <v>4082</v>
      </c>
    </row>
    <row r="1647" spans="1:35" ht="15" customHeight="1">
      <c r="A1647" s="285"/>
      <c r="C1647" s="25" t="s">
        <v>3717</v>
      </c>
      <c r="D1647" s="2">
        <v>22861</v>
      </c>
      <c r="E1647" s="2" t="s">
        <v>3712</v>
      </c>
      <c r="F1647" s="3">
        <v>29605261401281</v>
      </c>
      <c r="G1647" s="2" t="s">
        <v>34</v>
      </c>
      <c r="H1647" s="2" t="s">
        <v>3728</v>
      </c>
      <c r="I1647" s="2" t="s">
        <v>66</v>
      </c>
      <c r="J1647" s="4">
        <v>43472</v>
      </c>
      <c r="K1647" s="2" t="s">
        <v>798</v>
      </c>
      <c r="L1647" s="2" t="s">
        <v>12</v>
      </c>
      <c r="M1647" s="2" t="s">
        <v>585</v>
      </c>
      <c r="R1647" s="77">
        <v>3</v>
      </c>
      <c r="S1647" s="77">
        <v>2.5</v>
      </c>
      <c r="T1647" s="77">
        <v>2.5</v>
      </c>
      <c r="U1647" s="77">
        <v>2.5</v>
      </c>
      <c r="V1647" s="77">
        <v>3</v>
      </c>
      <c r="W1647" s="75" t="s">
        <v>171</v>
      </c>
      <c r="X1647" s="2" t="s">
        <v>66</v>
      </c>
      <c r="Y1647" s="45">
        <v>43523</v>
      </c>
      <c r="Z1647" s="16" t="s">
        <v>66</v>
      </c>
      <c r="AA1647" s="45">
        <v>43541</v>
      </c>
      <c r="AB1647" s="75" t="s">
        <v>3921</v>
      </c>
    </row>
    <row r="1648" spans="1:35" ht="15" customHeight="1">
      <c r="A1648" s="285"/>
      <c r="C1648" s="25" t="s">
        <v>3717</v>
      </c>
      <c r="D1648" s="2">
        <v>22862</v>
      </c>
      <c r="E1648" s="2" t="s">
        <v>3713</v>
      </c>
      <c r="F1648" s="3">
        <v>29305158800807</v>
      </c>
      <c r="G1648" s="2" t="s">
        <v>34</v>
      </c>
      <c r="H1648" s="2" t="s">
        <v>3729</v>
      </c>
      <c r="I1648" s="2" t="s">
        <v>66</v>
      </c>
      <c r="J1648" s="4">
        <v>43472</v>
      </c>
      <c r="K1648" s="2" t="s">
        <v>798</v>
      </c>
      <c r="L1648" s="2" t="s">
        <v>12</v>
      </c>
      <c r="M1648" s="2" t="s">
        <v>55</v>
      </c>
      <c r="R1648" s="16">
        <v>3</v>
      </c>
      <c r="S1648" s="16">
        <v>2.5</v>
      </c>
      <c r="T1648" s="16">
        <v>2</v>
      </c>
      <c r="U1648" s="16">
        <v>1.5</v>
      </c>
      <c r="V1648" s="16">
        <v>3</v>
      </c>
      <c r="W1648" s="16" t="s">
        <v>62</v>
      </c>
      <c r="Y1648" s="7">
        <v>43496</v>
      </c>
      <c r="Z1648" s="16" t="s">
        <v>66</v>
      </c>
      <c r="AA1648" s="7">
        <v>43545</v>
      </c>
      <c r="AB1648" s="75" t="s">
        <v>4118</v>
      </c>
    </row>
    <row r="1649" spans="1:28" ht="15" customHeight="1">
      <c r="A1649" s="285"/>
      <c r="C1649" s="25" t="s">
        <v>3717</v>
      </c>
      <c r="D1649" s="2">
        <v>22863</v>
      </c>
      <c r="E1649" s="2" t="s">
        <v>3714</v>
      </c>
      <c r="F1649" s="3" t="s">
        <v>3730</v>
      </c>
      <c r="G1649" s="2" t="s">
        <v>34</v>
      </c>
      <c r="H1649" s="2" t="s">
        <v>3731</v>
      </c>
      <c r="I1649" s="2" t="s">
        <v>66</v>
      </c>
      <c r="J1649" s="4">
        <v>43472</v>
      </c>
      <c r="K1649" s="2" t="s">
        <v>798</v>
      </c>
      <c r="L1649" s="2" t="s">
        <v>12</v>
      </c>
      <c r="M1649" s="2" t="s">
        <v>623</v>
      </c>
      <c r="R1649" s="16">
        <v>3</v>
      </c>
      <c r="S1649" s="16">
        <v>2</v>
      </c>
      <c r="T1649" s="16">
        <v>1.5</v>
      </c>
      <c r="U1649" s="16">
        <v>2</v>
      </c>
      <c r="V1649" s="16">
        <v>2</v>
      </c>
      <c r="W1649" s="16" t="s">
        <v>340</v>
      </c>
      <c r="Y1649" s="7">
        <v>43496</v>
      </c>
    </row>
    <row r="1650" spans="1:28" ht="15" customHeight="1">
      <c r="A1650" s="285"/>
      <c r="C1650" s="25" t="s">
        <v>3717</v>
      </c>
      <c r="D1650" s="2">
        <v>22864</v>
      </c>
      <c r="E1650" s="2" t="s">
        <v>3715</v>
      </c>
      <c r="F1650" s="3">
        <v>29102100101781</v>
      </c>
      <c r="G1650" s="2" t="s">
        <v>34</v>
      </c>
      <c r="H1650" s="2" t="s">
        <v>3732</v>
      </c>
      <c r="I1650" s="2" t="s">
        <v>66</v>
      </c>
      <c r="J1650" s="4">
        <v>43472</v>
      </c>
      <c r="K1650" s="2" t="s">
        <v>798</v>
      </c>
      <c r="L1650" s="2" t="s">
        <v>12</v>
      </c>
      <c r="M1650" s="2" t="s">
        <v>3734</v>
      </c>
      <c r="R1650" s="77">
        <v>3</v>
      </c>
      <c r="S1650" s="77">
        <v>2.5</v>
      </c>
      <c r="T1650" s="77">
        <v>2</v>
      </c>
      <c r="U1650" s="77">
        <v>2.5</v>
      </c>
      <c r="V1650" s="77">
        <v>3</v>
      </c>
      <c r="W1650" s="75" t="s">
        <v>171</v>
      </c>
      <c r="X1650" s="2" t="s">
        <v>66</v>
      </c>
      <c r="Y1650" s="45">
        <v>43523</v>
      </c>
      <c r="Z1650" s="16" t="s">
        <v>66</v>
      </c>
      <c r="AA1650" s="45">
        <v>43541</v>
      </c>
      <c r="AB1650" s="75" t="s">
        <v>3921</v>
      </c>
    </row>
    <row r="1651" spans="1:28" ht="15" customHeight="1">
      <c r="A1651" s="285"/>
      <c r="C1651" s="25" t="s">
        <v>3717</v>
      </c>
      <c r="D1651" s="2">
        <v>23002</v>
      </c>
      <c r="E1651" s="2" t="s">
        <v>3735</v>
      </c>
      <c r="F1651" s="3">
        <v>29506102103181</v>
      </c>
      <c r="G1651" s="16" t="s">
        <v>34</v>
      </c>
      <c r="H1651" s="2" t="s">
        <v>3736</v>
      </c>
      <c r="I1651" s="2" t="s">
        <v>66</v>
      </c>
      <c r="J1651" s="4">
        <v>43472</v>
      </c>
      <c r="K1651" s="2" t="s">
        <v>798</v>
      </c>
      <c r="L1651" s="2" t="s">
        <v>12</v>
      </c>
      <c r="M1651" s="2" t="s">
        <v>103</v>
      </c>
      <c r="R1651" s="16">
        <v>3</v>
      </c>
      <c r="S1651" s="16">
        <v>2</v>
      </c>
      <c r="T1651" s="16">
        <v>1.5</v>
      </c>
      <c r="U1651" s="16">
        <v>1</v>
      </c>
      <c r="V1651" s="16">
        <v>2</v>
      </c>
      <c r="W1651" s="16" t="s">
        <v>340</v>
      </c>
      <c r="Y1651" s="7">
        <v>43496</v>
      </c>
    </row>
    <row r="1652" spans="1:28" ht="15.75" customHeight="1" thickBot="1">
      <c r="A1652" s="286"/>
      <c r="C1652" s="28" t="s">
        <v>3717</v>
      </c>
      <c r="D1652" s="28">
        <v>22865</v>
      </c>
      <c r="E1652" s="28" t="s">
        <v>3716</v>
      </c>
      <c r="F1652" s="29">
        <v>29403020100229</v>
      </c>
      <c r="G1652" s="28" t="s">
        <v>34</v>
      </c>
      <c r="H1652" s="28" t="s">
        <v>3733</v>
      </c>
      <c r="I1652" s="28" t="s">
        <v>66</v>
      </c>
      <c r="J1652" s="30">
        <v>43472</v>
      </c>
      <c r="K1652" s="28" t="s">
        <v>798</v>
      </c>
      <c r="L1652" s="28" t="s">
        <v>12</v>
      </c>
      <c r="M1652" s="28" t="s">
        <v>3696</v>
      </c>
      <c r="N1652" s="28"/>
      <c r="O1652" s="226"/>
      <c r="P1652" s="28"/>
      <c r="Q1652" s="226"/>
      <c r="R1652" s="28">
        <v>3</v>
      </c>
      <c r="S1652" s="28">
        <v>3</v>
      </c>
      <c r="T1652" s="28">
        <v>2</v>
      </c>
      <c r="U1652" s="28">
        <v>2</v>
      </c>
      <c r="V1652" s="28">
        <v>3</v>
      </c>
      <c r="W1652" s="28" t="s">
        <v>62</v>
      </c>
      <c r="X1652" s="28"/>
      <c r="Y1652" s="30">
        <v>43496</v>
      </c>
      <c r="Z1652" s="28" t="s">
        <v>66</v>
      </c>
      <c r="AA1652" s="30">
        <v>43530</v>
      </c>
      <c r="AB1652" s="28" t="s">
        <v>3967</v>
      </c>
    </row>
    <row r="1653" spans="1:28" ht="15.75" customHeight="1" thickTop="1">
      <c r="A1653" s="284" t="s">
        <v>3123</v>
      </c>
      <c r="C1653" s="2">
        <v>113</v>
      </c>
      <c r="D1653" s="2">
        <v>22869</v>
      </c>
      <c r="E1653" s="2" t="s">
        <v>3737</v>
      </c>
      <c r="F1653" s="3">
        <v>29506170101014</v>
      </c>
      <c r="G1653" s="2" t="s">
        <v>34</v>
      </c>
      <c r="H1653" s="2" t="s">
        <v>3738</v>
      </c>
      <c r="I1653" s="2" t="s">
        <v>66</v>
      </c>
      <c r="J1653" s="4">
        <v>43474</v>
      </c>
      <c r="K1653" s="2" t="s">
        <v>8</v>
      </c>
      <c r="L1653" s="2" t="s">
        <v>12</v>
      </c>
      <c r="M1653" s="2" t="s">
        <v>622</v>
      </c>
      <c r="R1653" s="23">
        <v>3</v>
      </c>
      <c r="S1653" s="23">
        <v>2.5</v>
      </c>
      <c r="T1653" s="23">
        <v>2.5</v>
      </c>
      <c r="U1653" s="23">
        <v>2.5</v>
      </c>
      <c r="V1653" s="23">
        <v>3</v>
      </c>
      <c r="W1653" s="16" t="s">
        <v>60</v>
      </c>
      <c r="Y1653" s="45">
        <v>43500</v>
      </c>
      <c r="Z1653" s="16" t="s">
        <v>66</v>
      </c>
      <c r="AA1653" s="7">
        <v>43515</v>
      </c>
      <c r="AB1653" s="25" t="s">
        <v>3959</v>
      </c>
    </row>
    <row r="1654" spans="1:28" ht="15" customHeight="1">
      <c r="A1654" s="285"/>
      <c r="C1654" s="16">
        <v>113</v>
      </c>
      <c r="D1654" s="2">
        <v>22870</v>
      </c>
      <c r="E1654" s="2" t="s">
        <v>3739</v>
      </c>
      <c r="F1654" s="3">
        <v>28107060101943</v>
      </c>
      <c r="G1654" s="2" t="s">
        <v>34</v>
      </c>
      <c r="H1654" s="2" t="s">
        <v>3740</v>
      </c>
      <c r="I1654" s="2" t="s">
        <v>66</v>
      </c>
      <c r="J1654" s="4">
        <v>43474</v>
      </c>
      <c r="K1654" s="2" t="s">
        <v>8</v>
      </c>
      <c r="L1654" s="2" t="s">
        <v>12</v>
      </c>
      <c r="M1654" s="2" t="s">
        <v>55</v>
      </c>
      <c r="R1654" s="77">
        <v>3</v>
      </c>
      <c r="S1654" s="77">
        <v>3</v>
      </c>
      <c r="T1654" s="77">
        <v>2.5</v>
      </c>
      <c r="U1654" s="77">
        <v>2.5</v>
      </c>
      <c r="V1654" s="77">
        <v>3</v>
      </c>
      <c r="W1654" s="16" t="s">
        <v>170</v>
      </c>
      <c r="X1654" s="2" t="s">
        <v>66</v>
      </c>
      <c r="Y1654" s="45">
        <v>43524</v>
      </c>
      <c r="Z1654" s="16" t="s">
        <v>66</v>
      </c>
      <c r="AA1654" s="7">
        <v>43535</v>
      </c>
    </row>
    <row r="1655" spans="1:28" ht="15" customHeight="1">
      <c r="A1655" s="285"/>
      <c r="C1655" s="16">
        <v>113</v>
      </c>
      <c r="D1655" s="2">
        <v>22871</v>
      </c>
      <c r="E1655" s="2" t="s">
        <v>3741</v>
      </c>
      <c r="F1655" s="3">
        <v>29505170100861</v>
      </c>
      <c r="G1655" s="2" t="s">
        <v>34</v>
      </c>
      <c r="H1655" s="2" t="s">
        <v>3742</v>
      </c>
      <c r="I1655" s="2" t="s">
        <v>66</v>
      </c>
      <c r="J1655" s="4">
        <v>43474</v>
      </c>
      <c r="K1655" s="2" t="s">
        <v>8</v>
      </c>
      <c r="L1655" s="2" t="s">
        <v>12</v>
      </c>
      <c r="M1655" s="2" t="s">
        <v>623</v>
      </c>
      <c r="R1655" s="23">
        <v>3</v>
      </c>
      <c r="S1655" s="23">
        <v>3</v>
      </c>
      <c r="T1655" s="23">
        <v>2.5</v>
      </c>
      <c r="U1655" s="23">
        <v>2.5</v>
      </c>
      <c r="V1655" s="23">
        <v>3</v>
      </c>
      <c r="W1655" s="16" t="s">
        <v>60</v>
      </c>
      <c r="Y1655" s="7">
        <v>43500</v>
      </c>
      <c r="Z1655" s="16" t="s">
        <v>67</v>
      </c>
      <c r="AB1655" s="2" t="s">
        <v>3858</v>
      </c>
    </row>
    <row r="1656" spans="1:28" ht="15" customHeight="1">
      <c r="A1656" s="285"/>
      <c r="C1656" s="16">
        <v>113</v>
      </c>
      <c r="D1656" s="2">
        <v>22872</v>
      </c>
      <c r="E1656" s="2" t="s">
        <v>3743</v>
      </c>
      <c r="F1656" s="3">
        <v>29011080100231</v>
      </c>
      <c r="G1656" s="2" t="s">
        <v>34</v>
      </c>
      <c r="H1656" s="2" t="s">
        <v>3744</v>
      </c>
      <c r="I1656" s="2" t="s">
        <v>66</v>
      </c>
      <c r="J1656" s="4">
        <v>43474</v>
      </c>
      <c r="K1656" s="2" t="s">
        <v>8</v>
      </c>
      <c r="L1656" s="2" t="s">
        <v>12</v>
      </c>
      <c r="M1656" s="2" t="s">
        <v>3317</v>
      </c>
      <c r="R1656" s="23">
        <v>3</v>
      </c>
      <c r="S1656" s="23">
        <v>2.5</v>
      </c>
      <c r="T1656" s="23">
        <v>2</v>
      </c>
      <c r="U1656" s="23">
        <v>2</v>
      </c>
      <c r="V1656" s="23">
        <v>3</v>
      </c>
      <c r="W1656" s="16" t="s">
        <v>62</v>
      </c>
      <c r="Y1656" s="7">
        <v>43500</v>
      </c>
      <c r="Z1656" s="16" t="s">
        <v>67</v>
      </c>
      <c r="AB1656" s="75" t="s">
        <v>4184</v>
      </c>
    </row>
    <row r="1657" spans="1:28" ht="15" customHeight="1">
      <c r="A1657" s="285"/>
      <c r="C1657" s="16">
        <v>113</v>
      </c>
      <c r="D1657" s="2">
        <v>22873</v>
      </c>
      <c r="E1657" s="2" t="s">
        <v>3745</v>
      </c>
      <c r="F1657" s="3">
        <v>29404180103671</v>
      </c>
      <c r="G1657" s="2" t="s">
        <v>34</v>
      </c>
      <c r="H1657" s="2" t="s">
        <v>3746</v>
      </c>
      <c r="I1657" s="2" t="s">
        <v>66</v>
      </c>
      <c r="J1657" s="4">
        <v>43474</v>
      </c>
      <c r="K1657" s="2" t="s">
        <v>8</v>
      </c>
      <c r="L1657" s="2" t="s">
        <v>12</v>
      </c>
      <c r="M1657" s="2" t="s">
        <v>622</v>
      </c>
      <c r="W1657" s="16" t="s">
        <v>64</v>
      </c>
      <c r="Z1657" s="16" t="s">
        <v>67</v>
      </c>
    </row>
    <row r="1658" spans="1:28" ht="15" customHeight="1">
      <c r="A1658" s="285"/>
      <c r="C1658" s="16">
        <v>113</v>
      </c>
      <c r="D1658" s="2">
        <v>22874</v>
      </c>
      <c r="E1658" s="2" t="s">
        <v>3747</v>
      </c>
      <c r="F1658" s="3" t="s">
        <v>3748</v>
      </c>
      <c r="G1658" s="2" t="s">
        <v>34</v>
      </c>
      <c r="H1658" s="2" t="s">
        <v>3749</v>
      </c>
      <c r="I1658" s="2" t="s">
        <v>66</v>
      </c>
      <c r="J1658" s="4">
        <v>43474</v>
      </c>
      <c r="K1658" s="2" t="s">
        <v>8</v>
      </c>
      <c r="L1658" s="2" t="s">
        <v>12</v>
      </c>
      <c r="M1658" s="2" t="s">
        <v>768</v>
      </c>
      <c r="R1658" s="23">
        <v>3</v>
      </c>
      <c r="S1658" s="23">
        <v>2.5</v>
      </c>
      <c r="T1658" s="23">
        <v>2</v>
      </c>
      <c r="U1658" s="23">
        <v>2.5</v>
      </c>
      <c r="V1658" s="23">
        <v>3</v>
      </c>
      <c r="W1658" s="16" t="s">
        <v>60</v>
      </c>
      <c r="Y1658" s="7">
        <v>43500</v>
      </c>
      <c r="Z1658" s="16" t="s">
        <v>66</v>
      </c>
      <c r="AA1658" s="7">
        <v>43515</v>
      </c>
      <c r="AB1658" s="25" t="s">
        <v>3959</v>
      </c>
    </row>
    <row r="1659" spans="1:28" ht="15" customHeight="1">
      <c r="A1659" s="285"/>
      <c r="C1659" s="16">
        <v>113</v>
      </c>
      <c r="D1659" s="2">
        <v>22875</v>
      </c>
      <c r="E1659" s="2" t="s">
        <v>3750</v>
      </c>
      <c r="F1659" s="3">
        <v>29701172102627</v>
      </c>
      <c r="G1659" s="2" t="s">
        <v>4</v>
      </c>
      <c r="H1659" s="2" t="s">
        <v>3751</v>
      </c>
      <c r="I1659" s="2" t="s">
        <v>66</v>
      </c>
      <c r="J1659" s="4">
        <v>43474</v>
      </c>
      <c r="K1659" s="2" t="s">
        <v>8</v>
      </c>
      <c r="L1659" s="2" t="s">
        <v>12</v>
      </c>
      <c r="M1659" s="2" t="s">
        <v>3752</v>
      </c>
      <c r="R1659" s="23">
        <v>3</v>
      </c>
      <c r="S1659" s="23">
        <v>1</v>
      </c>
      <c r="T1659" s="23">
        <v>2</v>
      </c>
      <c r="U1659" s="23">
        <v>2</v>
      </c>
      <c r="V1659" s="23">
        <v>3</v>
      </c>
      <c r="W1659" s="16" t="s">
        <v>62</v>
      </c>
      <c r="Y1659" s="7">
        <v>43500</v>
      </c>
      <c r="Z1659" s="16" t="s">
        <v>66</v>
      </c>
      <c r="AA1659" s="7">
        <v>43611</v>
      </c>
      <c r="AB1659" s="2" t="s">
        <v>4822</v>
      </c>
    </row>
    <row r="1660" spans="1:28" ht="15" customHeight="1">
      <c r="A1660" s="285"/>
      <c r="C1660" s="16">
        <v>113</v>
      </c>
      <c r="D1660" s="2">
        <v>22876</v>
      </c>
      <c r="E1660" s="2" t="s">
        <v>3753</v>
      </c>
      <c r="F1660" s="3">
        <v>29605040104281</v>
      </c>
      <c r="G1660" s="2" t="s">
        <v>34</v>
      </c>
      <c r="H1660" s="2" t="s">
        <v>3754</v>
      </c>
      <c r="I1660" s="2" t="s">
        <v>66</v>
      </c>
      <c r="J1660" s="4">
        <v>43474</v>
      </c>
      <c r="K1660" s="2" t="s">
        <v>8</v>
      </c>
      <c r="L1660" s="2" t="s">
        <v>12</v>
      </c>
      <c r="M1660" s="2" t="s">
        <v>696</v>
      </c>
      <c r="R1660" s="77">
        <v>3</v>
      </c>
      <c r="S1660" s="77">
        <v>2.5</v>
      </c>
      <c r="T1660" s="77">
        <v>2.5</v>
      </c>
      <c r="U1660" s="77">
        <v>2.5</v>
      </c>
      <c r="V1660" s="77">
        <v>3</v>
      </c>
      <c r="W1660" s="16" t="s">
        <v>171</v>
      </c>
      <c r="X1660" s="2" t="s">
        <v>66</v>
      </c>
      <c r="Y1660" s="45">
        <v>43524</v>
      </c>
      <c r="Z1660" s="16" t="s">
        <v>66</v>
      </c>
      <c r="AA1660" s="7">
        <v>43541</v>
      </c>
    </row>
    <row r="1661" spans="1:28" ht="15" customHeight="1">
      <c r="A1661" s="285"/>
      <c r="C1661" s="16">
        <v>113</v>
      </c>
      <c r="D1661" s="2">
        <v>22877</v>
      </c>
      <c r="E1661" s="2" t="s">
        <v>3755</v>
      </c>
      <c r="F1661" s="3">
        <v>29004088800057</v>
      </c>
      <c r="G1661" s="2" t="s">
        <v>34</v>
      </c>
      <c r="H1661" s="2" t="s">
        <v>3756</v>
      </c>
      <c r="I1661" s="2" t="s">
        <v>66</v>
      </c>
      <c r="J1661" s="4">
        <v>43474</v>
      </c>
      <c r="K1661" s="2" t="s">
        <v>8</v>
      </c>
      <c r="L1661" s="2" t="s">
        <v>12</v>
      </c>
      <c r="M1661" s="2" t="s">
        <v>3172</v>
      </c>
      <c r="R1661" s="23">
        <v>3</v>
      </c>
      <c r="S1661" s="23">
        <v>2</v>
      </c>
      <c r="T1661" s="23">
        <v>2</v>
      </c>
      <c r="U1661" s="23">
        <v>2</v>
      </c>
      <c r="V1661" s="23">
        <v>3</v>
      </c>
      <c r="W1661" s="16" t="s">
        <v>62</v>
      </c>
      <c r="Y1661" s="7">
        <v>43500</v>
      </c>
      <c r="Z1661" s="16" t="s">
        <v>66</v>
      </c>
      <c r="AA1661" s="7">
        <v>43513</v>
      </c>
    </row>
    <row r="1662" spans="1:28" ht="15" customHeight="1">
      <c r="A1662" s="285"/>
      <c r="C1662" s="16">
        <v>113</v>
      </c>
      <c r="D1662" s="2">
        <v>22878</v>
      </c>
      <c r="E1662" s="2" t="s">
        <v>3757</v>
      </c>
      <c r="F1662" s="3">
        <v>29210120102382</v>
      </c>
      <c r="G1662" s="2" t="s">
        <v>34</v>
      </c>
      <c r="H1662" s="2" t="s">
        <v>3758</v>
      </c>
      <c r="I1662" s="2" t="s">
        <v>66</v>
      </c>
      <c r="J1662" s="4">
        <v>43474</v>
      </c>
      <c r="K1662" s="2" t="s">
        <v>8</v>
      </c>
      <c r="L1662" s="2" t="s">
        <v>12</v>
      </c>
      <c r="M1662" s="2" t="s">
        <v>109</v>
      </c>
      <c r="R1662" s="23">
        <v>3</v>
      </c>
      <c r="S1662" s="23">
        <v>2</v>
      </c>
      <c r="T1662" s="23">
        <v>2.5</v>
      </c>
      <c r="U1662" s="23">
        <v>2.5</v>
      </c>
      <c r="V1662" s="23">
        <v>3</v>
      </c>
      <c r="W1662" s="16" t="s">
        <v>171</v>
      </c>
      <c r="Y1662" s="7">
        <v>43500</v>
      </c>
      <c r="Z1662" s="16" t="s">
        <v>67</v>
      </c>
      <c r="AB1662" s="2" t="s">
        <v>4223</v>
      </c>
    </row>
    <row r="1663" spans="1:28" ht="15" customHeight="1">
      <c r="A1663" s="285"/>
      <c r="C1663" s="16">
        <v>113</v>
      </c>
      <c r="D1663" s="2">
        <v>22879</v>
      </c>
      <c r="E1663" s="2" t="s">
        <v>3759</v>
      </c>
      <c r="F1663" s="3" t="s">
        <v>3760</v>
      </c>
      <c r="G1663" s="2" t="s">
        <v>34</v>
      </c>
      <c r="H1663" s="2" t="s">
        <v>3761</v>
      </c>
      <c r="I1663" s="2" t="s">
        <v>66</v>
      </c>
      <c r="J1663" s="4">
        <v>43474</v>
      </c>
      <c r="K1663" s="2" t="s">
        <v>8</v>
      </c>
      <c r="L1663" s="2" t="s">
        <v>12</v>
      </c>
      <c r="M1663" s="2" t="s">
        <v>551</v>
      </c>
      <c r="W1663" s="16" t="s">
        <v>63</v>
      </c>
      <c r="Z1663" s="16" t="s">
        <v>67</v>
      </c>
      <c r="AB1663" s="2" t="s">
        <v>3770</v>
      </c>
    </row>
    <row r="1664" spans="1:28" ht="15" customHeight="1">
      <c r="A1664" s="285"/>
      <c r="C1664" s="16">
        <v>113</v>
      </c>
      <c r="D1664" s="2">
        <v>22880</v>
      </c>
      <c r="E1664" s="2" t="s">
        <v>3762</v>
      </c>
      <c r="F1664" s="3">
        <v>29411060101786</v>
      </c>
      <c r="G1664" s="2" t="s">
        <v>34</v>
      </c>
      <c r="H1664" s="2" t="s">
        <v>3763</v>
      </c>
      <c r="I1664" s="2" t="s">
        <v>66</v>
      </c>
      <c r="J1664" s="4">
        <v>43474</v>
      </c>
      <c r="K1664" s="2" t="s">
        <v>8</v>
      </c>
      <c r="L1664" s="2" t="s">
        <v>12</v>
      </c>
      <c r="M1664" s="2" t="s">
        <v>53</v>
      </c>
      <c r="R1664" s="77">
        <v>3</v>
      </c>
      <c r="S1664" s="77">
        <v>3</v>
      </c>
      <c r="T1664" s="77">
        <v>2.5</v>
      </c>
      <c r="U1664" s="77">
        <v>2.5</v>
      </c>
      <c r="V1664" s="77">
        <v>3</v>
      </c>
      <c r="W1664" s="75" t="s">
        <v>170</v>
      </c>
      <c r="X1664" s="2" t="s">
        <v>66</v>
      </c>
      <c r="Y1664" s="45">
        <v>43524</v>
      </c>
      <c r="Z1664" s="16" t="s">
        <v>66</v>
      </c>
      <c r="AA1664" s="7">
        <v>43535</v>
      </c>
    </row>
    <row r="1665" spans="1:28" ht="15" customHeight="1">
      <c r="A1665" s="285"/>
      <c r="C1665" s="16">
        <v>113</v>
      </c>
      <c r="D1665" s="2">
        <v>22881</v>
      </c>
      <c r="E1665" s="2" t="s">
        <v>3764</v>
      </c>
      <c r="F1665" s="3">
        <v>29404168800595</v>
      </c>
      <c r="G1665" s="2" t="s">
        <v>34</v>
      </c>
      <c r="H1665" s="2" t="s">
        <v>3765</v>
      </c>
      <c r="I1665" s="2" t="s">
        <v>66</v>
      </c>
      <c r="J1665" s="4">
        <v>43474</v>
      </c>
      <c r="K1665" s="2" t="s">
        <v>8</v>
      </c>
      <c r="L1665" s="2" t="s">
        <v>12</v>
      </c>
      <c r="M1665" s="2" t="s">
        <v>3766</v>
      </c>
      <c r="R1665" s="77">
        <v>3</v>
      </c>
      <c r="S1665" s="77">
        <v>2.5</v>
      </c>
      <c r="T1665" s="77">
        <v>2.5</v>
      </c>
      <c r="U1665" s="77">
        <v>2.5</v>
      </c>
      <c r="V1665" s="77">
        <v>3</v>
      </c>
      <c r="W1665" s="75" t="s">
        <v>171</v>
      </c>
      <c r="X1665" s="2" t="s">
        <v>66</v>
      </c>
      <c r="Y1665" s="45">
        <v>43524</v>
      </c>
      <c r="Z1665" s="16" t="s">
        <v>66</v>
      </c>
      <c r="AA1665" s="45">
        <v>43541</v>
      </c>
    </row>
    <row r="1666" spans="1:28" ht="15" customHeight="1">
      <c r="A1666" s="285"/>
      <c r="C1666" s="16">
        <v>113</v>
      </c>
      <c r="D1666" s="2">
        <v>21365</v>
      </c>
      <c r="E1666" s="2" t="s">
        <v>154</v>
      </c>
      <c r="F1666" s="3" t="s">
        <v>706</v>
      </c>
      <c r="G1666" s="2" t="s">
        <v>34</v>
      </c>
      <c r="H1666" s="2" t="s">
        <v>161</v>
      </c>
      <c r="I1666" s="2" t="s">
        <v>67</v>
      </c>
      <c r="J1666" s="4">
        <v>43474</v>
      </c>
      <c r="K1666" s="2" t="s">
        <v>8</v>
      </c>
      <c r="L1666" s="2" t="s">
        <v>12</v>
      </c>
      <c r="M1666" s="2" t="s">
        <v>55</v>
      </c>
      <c r="R1666" s="77">
        <v>3</v>
      </c>
      <c r="S1666" s="77">
        <v>2.5</v>
      </c>
      <c r="T1666" s="77">
        <v>2</v>
      </c>
      <c r="U1666" s="77">
        <v>2</v>
      </c>
      <c r="V1666" s="77">
        <v>3</v>
      </c>
      <c r="W1666" s="75" t="s">
        <v>62</v>
      </c>
      <c r="X1666" s="2" t="s">
        <v>66</v>
      </c>
      <c r="Y1666" s="45">
        <v>43524</v>
      </c>
      <c r="Z1666" s="16" t="s">
        <v>67</v>
      </c>
      <c r="AB1666" s="75" t="s">
        <v>4083</v>
      </c>
    </row>
    <row r="1667" spans="1:28" ht="15.75" customHeight="1" thickBot="1">
      <c r="A1667" s="286"/>
      <c r="C1667" s="28">
        <v>113</v>
      </c>
      <c r="D1667" s="28">
        <v>23001</v>
      </c>
      <c r="E1667" s="28" t="s">
        <v>3767</v>
      </c>
      <c r="F1667" s="29" t="s">
        <v>3768</v>
      </c>
      <c r="G1667" s="28" t="s">
        <v>34</v>
      </c>
      <c r="H1667" s="28" t="s">
        <v>3769</v>
      </c>
      <c r="I1667" s="28" t="s">
        <v>66</v>
      </c>
      <c r="J1667" s="30">
        <v>43474</v>
      </c>
      <c r="K1667" s="28" t="s">
        <v>8</v>
      </c>
      <c r="L1667" s="28" t="s">
        <v>12</v>
      </c>
      <c r="M1667" s="28" t="s">
        <v>53</v>
      </c>
      <c r="N1667" s="28"/>
      <c r="O1667" s="226"/>
      <c r="P1667" s="28"/>
      <c r="Q1667" s="226"/>
      <c r="R1667" s="37">
        <v>3</v>
      </c>
      <c r="S1667" s="37">
        <v>3</v>
      </c>
      <c r="T1667" s="37">
        <v>2.5</v>
      </c>
      <c r="U1667" s="37">
        <v>2.5</v>
      </c>
      <c r="V1667" s="37">
        <v>3</v>
      </c>
      <c r="W1667" s="28" t="s">
        <v>170</v>
      </c>
      <c r="X1667" s="28" t="s">
        <v>66</v>
      </c>
      <c r="Y1667" s="30">
        <v>43524</v>
      </c>
      <c r="Z1667" s="28" t="s">
        <v>66</v>
      </c>
      <c r="AA1667" s="30">
        <v>43535</v>
      </c>
      <c r="AB1667" s="28"/>
    </row>
    <row r="1668" spans="1:28" ht="15.75" customHeight="1" thickTop="1">
      <c r="A1668" s="284" t="s">
        <v>3125</v>
      </c>
      <c r="C1668" s="25">
        <v>114</v>
      </c>
      <c r="D1668" s="25">
        <v>23003</v>
      </c>
      <c r="E1668" s="25" t="s">
        <v>3785</v>
      </c>
      <c r="F1668" s="26">
        <v>29506112400117</v>
      </c>
      <c r="G1668" s="25" t="s">
        <v>34</v>
      </c>
      <c r="H1668" s="25" t="s">
        <v>3796</v>
      </c>
      <c r="I1668" s="25" t="s">
        <v>66</v>
      </c>
      <c r="J1668" s="27">
        <v>43480</v>
      </c>
      <c r="K1668" s="25" t="s">
        <v>8</v>
      </c>
      <c r="L1668" s="25" t="s">
        <v>12</v>
      </c>
      <c r="M1668" s="25" t="s">
        <v>3805</v>
      </c>
      <c r="N1668" s="25"/>
      <c r="O1668" s="224"/>
      <c r="P1668" s="25"/>
      <c r="Q1668" s="224"/>
      <c r="R1668" s="23">
        <v>3</v>
      </c>
      <c r="S1668" s="23">
        <v>2.5</v>
      </c>
      <c r="T1668" s="23">
        <v>2</v>
      </c>
      <c r="U1668" s="23">
        <v>2</v>
      </c>
      <c r="V1668" s="23">
        <v>3</v>
      </c>
      <c r="W1668" s="25" t="s">
        <v>62</v>
      </c>
      <c r="X1668" s="25"/>
      <c r="Y1668" s="27">
        <v>43506</v>
      </c>
      <c r="Z1668" s="25" t="s">
        <v>67</v>
      </c>
      <c r="AA1668" s="27"/>
      <c r="AB1668" s="75" t="s">
        <v>3857</v>
      </c>
    </row>
    <row r="1669" spans="1:28" ht="15" customHeight="1">
      <c r="A1669" s="285"/>
      <c r="C1669" s="25">
        <v>114</v>
      </c>
      <c r="D1669" s="2">
        <v>23004</v>
      </c>
      <c r="E1669" s="2" t="s">
        <v>3786</v>
      </c>
      <c r="F1669" s="3">
        <v>28508310100578</v>
      </c>
      <c r="G1669" s="2" t="s">
        <v>34</v>
      </c>
      <c r="H1669" s="2" t="s">
        <v>3797</v>
      </c>
      <c r="I1669" s="2" t="s">
        <v>66</v>
      </c>
      <c r="J1669" s="4">
        <v>43480</v>
      </c>
      <c r="K1669" s="2" t="s">
        <v>8</v>
      </c>
      <c r="L1669" s="2" t="s">
        <v>12</v>
      </c>
      <c r="M1669" s="2" t="s">
        <v>3696</v>
      </c>
      <c r="R1669" s="23">
        <v>3</v>
      </c>
      <c r="S1669" s="23">
        <v>2.5</v>
      </c>
      <c r="T1669" s="23">
        <v>2</v>
      </c>
      <c r="U1669" s="23">
        <v>2</v>
      </c>
      <c r="V1669" s="23">
        <v>2.5</v>
      </c>
      <c r="W1669" s="16" t="s">
        <v>62</v>
      </c>
      <c r="Y1669" s="27">
        <v>43506</v>
      </c>
      <c r="Z1669" s="16" t="s">
        <v>67</v>
      </c>
      <c r="AB1669" s="75" t="s">
        <v>3857</v>
      </c>
    </row>
    <row r="1670" spans="1:28" ht="15" customHeight="1">
      <c r="A1670" s="285"/>
      <c r="C1670" s="25">
        <v>114</v>
      </c>
      <c r="D1670" s="2">
        <v>23005</v>
      </c>
      <c r="E1670" s="2" t="s">
        <v>3787</v>
      </c>
      <c r="F1670" s="3">
        <v>29903310100144</v>
      </c>
      <c r="G1670" s="2" t="s">
        <v>4</v>
      </c>
      <c r="H1670" s="2" t="s">
        <v>3798</v>
      </c>
      <c r="I1670" s="2" t="s">
        <v>66</v>
      </c>
      <c r="J1670" s="4">
        <v>43480</v>
      </c>
      <c r="K1670" s="2" t="s">
        <v>8</v>
      </c>
      <c r="L1670" s="2" t="s">
        <v>12</v>
      </c>
      <c r="M1670" s="2" t="s">
        <v>3173</v>
      </c>
      <c r="R1670" s="23">
        <v>3</v>
      </c>
      <c r="S1670" s="23">
        <v>2.5</v>
      </c>
      <c r="T1670" s="23">
        <v>2</v>
      </c>
      <c r="U1670" s="23">
        <v>2.5</v>
      </c>
      <c r="V1670" s="23">
        <v>3</v>
      </c>
      <c r="W1670" s="16" t="s">
        <v>171</v>
      </c>
      <c r="X1670" s="16" t="s">
        <v>66</v>
      </c>
      <c r="Y1670" s="45">
        <v>43524</v>
      </c>
      <c r="Z1670" s="16" t="s">
        <v>66</v>
      </c>
      <c r="AA1670" s="45">
        <v>43541</v>
      </c>
    </row>
    <row r="1671" spans="1:28" ht="15" customHeight="1">
      <c r="A1671" s="285"/>
      <c r="C1671" s="25">
        <v>114</v>
      </c>
      <c r="D1671" s="2">
        <v>23006</v>
      </c>
      <c r="E1671" s="2" t="s">
        <v>3788</v>
      </c>
      <c r="F1671" s="3">
        <v>29505300100493</v>
      </c>
      <c r="G1671" s="2" t="s">
        <v>34</v>
      </c>
      <c r="H1671" s="2" t="s">
        <v>3799</v>
      </c>
      <c r="I1671" s="2" t="s">
        <v>66</v>
      </c>
      <c r="J1671" s="4">
        <v>43480</v>
      </c>
      <c r="K1671" s="2" t="s">
        <v>8</v>
      </c>
      <c r="L1671" s="2" t="s">
        <v>12</v>
      </c>
      <c r="M1671" s="2" t="s">
        <v>623</v>
      </c>
      <c r="R1671" s="23">
        <v>3</v>
      </c>
      <c r="S1671" s="23">
        <v>3</v>
      </c>
      <c r="T1671" s="23">
        <v>2</v>
      </c>
      <c r="U1671" s="23">
        <v>2.5</v>
      </c>
      <c r="V1671" s="23">
        <v>3</v>
      </c>
      <c r="W1671" s="75" t="s">
        <v>171</v>
      </c>
      <c r="X1671" s="16" t="s">
        <v>66</v>
      </c>
      <c r="Y1671" s="45">
        <v>43524</v>
      </c>
      <c r="Z1671" s="16" t="s">
        <v>66</v>
      </c>
      <c r="AA1671" s="45">
        <v>43541</v>
      </c>
    </row>
    <row r="1672" spans="1:28" ht="15" customHeight="1">
      <c r="A1672" s="285"/>
      <c r="C1672" s="25">
        <v>114</v>
      </c>
      <c r="D1672" s="2">
        <v>23007</v>
      </c>
      <c r="E1672" s="2" t="s">
        <v>3789</v>
      </c>
      <c r="F1672" s="3">
        <v>29703018800837</v>
      </c>
      <c r="G1672" s="2" t="s">
        <v>4</v>
      </c>
      <c r="H1672" s="2" t="s">
        <v>3800</v>
      </c>
      <c r="I1672" s="2" t="s">
        <v>66</v>
      </c>
      <c r="J1672" s="4">
        <v>43480</v>
      </c>
      <c r="K1672" s="2" t="s">
        <v>8</v>
      </c>
      <c r="L1672" s="2" t="s">
        <v>12</v>
      </c>
      <c r="M1672" s="2" t="s">
        <v>659</v>
      </c>
      <c r="R1672" s="23">
        <v>3</v>
      </c>
      <c r="S1672" s="23">
        <v>3</v>
      </c>
      <c r="T1672" s="23">
        <v>2</v>
      </c>
      <c r="U1672" s="23">
        <v>2</v>
      </c>
      <c r="V1672" s="23">
        <v>3</v>
      </c>
      <c r="W1672" s="75" t="s">
        <v>62</v>
      </c>
      <c r="X1672" s="16" t="s">
        <v>66</v>
      </c>
      <c r="Y1672" s="45">
        <v>43524</v>
      </c>
      <c r="Z1672" s="16" t="s">
        <v>66</v>
      </c>
      <c r="AA1672" s="7">
        <v>43530</v>
      </c>
      <c r="AB1672" s="2" t="s">
        <v>6051</v>
      </c>
    </row>
    <row r="1673" spans="1:28" ht="15" customHeight="1">
      <c r="A1673" s="285"/>
      <c r="C1673" s="25">
        <v>114</v>
      </c>
      <c r="D1673" s="2">
        <v>23008</v>
      </c>
      <c r="E1673" s="2" t="s">
        <v>3790</v>
      </c>
      <c r="F1673" s="3">
        <v>29403120102474</v>
      </c>
      <c r="G1673" s="2" t="s">
        <v>34</v>
      </c>
      <c r="H1673" s="2" t="s">
        <v>3801</v>
      </c>
      <c r="I1673" s="2" t="s">
        <v>66</v>
      </c>
      <c r="J1673" s="4">
        <v>43480</v>
      </c>
      <c r="K1673" s="2" t="s">
        <v>8</v>
      </c>
      <c r="L1673" s="2" t="s">
        <v>12</v>
      </c>
      <c r="M1673" s="2" t="s">
        <v>147</v>
      </c>
      <c r="R1673" s="23">
        <v>3</v>
      </c>
      <c r="S1673" s="23">
        <v>3</v>
      </c>
      <c r="T1673" s="23">
        <v>2.5</v>
      </c>
      <c r="U1673" s="23">
        <v>2.5</v>
      </c>
      <c r="V1673" s="23">
        <v>3</v>
      </c>
      <c r="W1673" s="16" t="s">
        <v>170</v>
      </c>
      <c r="Y1673" s="27">
        <v>43506</v>
      </c>
      <c r="Z1673" s="16" t="s">
        <v>66</v>
      </c>
      <c r="AA1673" s="27">
        <v>43508</v>
      </c>
    </row>
    <row r="1674" spans="1:28" ht="15" customHeight="1">
      <c r="A1674" s="285"/>
      <c r="C1674" s="25">
        <v>114</v>
      </c>
      <c r="D1674" s="2">
        <v>23009</v>
      </c>
      <c r="E1674" s="2" t="s">
        <v>3791</v>
      </c>
      <c r="F1674" s="3">
        <v>28509270105497</v>
      </c>
      <c r="G1674" s="2" t="s">
        <v>34</v>
      </c>
      <c r="H1674" s="2" t="s">
        <v>3802</v>
      </c>
      <c r="I1674" s="2" t="s">
        <v>66</v>
      </c>
      <c r="J1674" s="4">
        <v>43480</v>
      </c>
      <c r="K1674" s="2" t="s">
        <v>8</v>
      </c>
      <c r="L1674" s="2" t="s">
        <v>12</v>
      </c>
      <c r="M1674" s="2" t="s">
        <v>3720</v>
      </c>
      <c r="W1674" s="16" t="s">
        <v>64</v>
      </c>
      <c r="Z1674" s="16" t="s">
        <v>67</v>
      </c>
    </row>
    <row r="1675" spans="1:28" ht="15" customHeight="1">
      <c r="A1675" s="285"/>
      <c r="C1675" s="25">
        <v>114</v>
      </c>
      <c r="D1675" s="2">
        <v>17037</v>
      </c>
      <c r="E1675" s="2" t="s">
        <v>3792</v>
      </c>
      <c r="F1675" s="3">
        <v>29408178800777</v>
      </c>
      <c r="G1675" s="2" t="s">
        <v>34</v>
      </c>
      <c r="H1675" s="2" t="s">
        <v>3803</v>
      </c>
      <c r="I1675" s="2" t="s">
        <v>67</v>
      </c>
      <c r="J1675" s="4">
        <v>43480</v>
      </c>
      <c r="K1675" s="2" t="s">
        <v>8</v>
      </c>
      <c r="L1675" s="2" t="s">
        <v>12</v>
      </c>
      <c r="M1675" s="2" t="s">
        <v>16</v>
      </c>
      <c r="R1675" s="23">
        <v>3</v>
      </c>
      <c r="S1675" s="23">
        <v>3</v>
      </c>
      <c r="T1675" s="23">
        <v>2</v>
      </c>
      <c r="U1675" s="23">
        <v>2</v>
      </c>
      <c r="V1675" s="23">
        <v>3</v>
      </c>
      <c r="W1675" s="16" t="s">
        <v>63</v>
      </c>
      <c r="X1675" s="2" t="s">
        <v>66</v>
      </c>
      <c r="Z1675" s="16" t="s">
        <v>67</v>
      </c>
      <c r="AB1675" s="2" t="s">
        <v>3819</v>
      </c>
    </row>
    <row r="1676" spans="1:28" ht="15" customHeight="1">
      <c r="A1676" s="285"/>
      <c r="C1676" s="25">
        <v>114</v>
      </c>
      <c r="D1676" s="2">
        <v>20327</v>
      </c>
      <c r="E1676" s="2" t="s">
        <v>1556</v>
      </c>
      <c r="F1676" s="3" t="s">
        <v>3793</v>
      </c>
      <c r="G1676" s="2" t="s">
        <v>4</v>
      </c>
      <c r="H1676" s="2" t="s">
        <v>1568</v>
      </c>
      <c r="I1676" s="2" t="s">
        <v>67</v>
      </c>
      <c r="J1676" s="4">
        <v>43480</v>
      </c>
      <c r="K1676" s="2" t="s">
        <v>8</v>
      </c>
      <c r="L1676" s="2" t="s">
        <v>12</v>
      </c>
      <c r="M1676" s="2" t="s">
        <v>625</v>
      </c>
      <c r="R1676" s="23">
        <v>3</v>
      </c>
      <c r="S1676" s="23">
        <v>2.5</v>
      </c>
      <c r="T1676" s="23">
        <v>2.5</v>
      </c>
      <c r="U1676" s="23">
        <v>2.5</v>
      </c>
      <c r="V1676" s="23">
        <v>3</v>
      </c>
      <c r="W1676" s="16" t="s">
        <v>171</v>
      </c>
      <c r="X1676" s="2" t="s">
        <v>66</v>
      </c>
      <c r="Y1676" s="45">
        <v>43524</v>
      </c>
      <c r="Z1676" s="16" t="s">
        <v>66</v>
      </c>
      <c r="AA1676" s="45">
        <v>43541</v>
      </c>
    </row>
    <row r="1677" spans="1:28" ht="15.75" customHeight="1" thickBot="1">
      <c r="A1677" s="286"/>
      <c r="C1677" s="28">
        <v>114</v>
      </c>
      <c r="D1677" s="28">
        <v>23011</v>
      </c>
      <c r="E1677" s="28" t="s">
        <v>3794</v>
      </c>
      <c r="F1677" s="29" t="s">
        <v>3795</v>
      </c>
      <c r="G1677" s="28" t="s">
        <v>34</v>
      </c>
      <c r="H1677" s="28" t="s">
        <v>3804</v>
      </c>
      <c r="I1677" s="28" t="s">
        <v>66</v>
      </c>
      <c r="J1677" s="30">
        <v>43480</v>
      </c>
      <c r="K1677" s="28" t="s">
        <v>8</v>
      </c>
      <c r="L1677" s="28" t="s">
        <v>12</v>
      </c>
      <c r="M1677" s="28" t="s">
        <v>697</v>
      </c>
      <c r="N1677" s="28"/>
      <c r="O1677" s="226"/>
      <c r="P1677" s="28"/>
      <c r="Q1677" s="226"/>
      <c r="R1677" s="37">
        <v>3</v>
      </c>
      <c r="S1677" s="37">
        <v>2.5</v>
      </c>
      <c r="T1677" s="37">
        <v>2.5</v>
      </c>
      <c r="U1677" s="37">
        <v>2</v>
      </c>
      <c r="V1677" s="37">
        <v>3</v>
      </c>
      <c r="W1677" s="28" t="s">
        <v>62</v>
      </c>
      <c r="X1677" s="28" t="s">
        <v>66</v>
      </c>
      <c r="Y1677" s="30">
        <v>43524</v>
      </c>
      <c r="Z1677" s="28" t="s">
        <v>66</v>
      </c>
      <c r="AA1677" s="30">
        <v>43530</v>
      </c>
      <c r="AB1677" s="28" t="s">
        <v>4823</v>
      </c>
    </row>
    <row r="1678" spans="1:28" ht="15.75" customHeight="1" thickTop="1">
      <c r="A1678" s="284" t="s">
        <v>3128</v>
      </c>
      <c r="C1678" s="25">
        <v>115</v>
      </c>
      <c r="D1678" s="25">
        <v>23012</v>
      </c>
      <c r="E1678" s="25" t="s">
        <v>3820</v>
      </c>
      <c r="F1678" s="26">
        <v>29311080100943</v>
      </c>
      <c r="G1678" s="25" t="s">
        <v>3837</v>
      </c>
      <c r="H1678" s="25" t="s">
        <v>3839</v>
      </c>
      <c r="I1678" s="25" t="s">
        <v>66</v>
      </c>
      <c r="J1678" s="27">
        <v>43485</v>
      </c>
      <c r="K1678" s="25" t="s">
        <v>8</v>
      </c>
      <c r="L1678" s="25" t="s">
        <v>12</v>
      </c>
      <c r="M1678" s="25" t="s">
        <v>438</v>
      </c>
      <c r="N1678" s="25"/>
      <c r="O1678" s="224"/>
      <c r="P1678" s="25"/>
      <c r="Q1678" s="224"/>
      <c r="R1678" s="76">
        <v>3</v>
      </c>
      <c r="S1678" s="76">
        <v>3</v>
      </c>
      <c r="T1678" s="76">
        <v>2</v>
      </c>
      <c r="U1678" s="76">
        <v>2</v>
      </c>
      <c r="V1678" s="76">
        <v>3</v>
      </c>
      <c r="W1678" s="75" t="s">
        <v>63</v>
      </c>
      <c r="X1678" s="75" t="s">
        <v>67</v>
      </c>
      <c r="Y1678" s="27"/>
      <c r="Z1678" s="25" t="s">
        <v>67</v>
      </c>
      <c r="AA1678" s="27"/>
      <c r="AB1678" s="75" t="s">
        <v>3857</v>
      </c>
    </row>
    <row r="1679" spans="1:28" ht="15" customHeight="1">
      <c r="A1679" s="285"/>
      <c r="C1679" s="25">
        <v>115</v>
      </c>
      <c r="D1679" s="2">
        <v>23013</v>
      </c>
      <c r="E1679" s="2" t="s">
        <v>3821</v>
      </c>
      <c r="F1679" s="3">
        <v>29812012104573</v>
      </c>
      <c r="G1679" s="2" t="s">
        <v>4</v>
      </c>
      <c r="H1679" s="2" t="s">
        <v>3840</v>
      </c>
      <c r="I1679" s="2" t="s">
        <v>66</v>
      </c>
      <c r="J1679" s="4">
        <v>43485</v>
      </c>
      <c r="K1679" s="2" t="s">
        <v>8</v>
      </c>
      <c r="L1679" s="2" t="s">
        <v>12</v>
      </c>
      <c r="M1679" s="75" t="s">
        <v>3856</v>
      </c>
      <c r="R1679" s="76">
        <v>3</v>
      </c>
      <c r="S1679" s="76">
        <v>2</v>
      </c>
      <c r="T1679" s="76">
        <v>2.5</v>
      </c>
      <c r="U1679" s="76">
        <v>3</v>
      </c>
      <c r="V1679" s="76">
        <v>3</v>
      </c>
      <c r="W1679" s="75" t="s">
        <v>63</v>
      </c>
      <c r="X1679" s="75" t="s">
        <v>67</v>
      </c>
      <c r="Z1679" s="16" t="s">
        <v>67</v>
      </c>
      <c r="AB1679" s="75" t="s">
        <v>3857</v>
      </c>
    </row>
    <row r="1680" spans="1:28" ht="15" customHeight="1">
      <c r="A1680" s="285"/>
      <c r="C1680" s="25">
        <v>115</v>
      </c>
      <c r="D1680" s="2">
        <v>23014</v>
      </c>
      <c r="E1680" s="2" t="s">
        <v>3822</v>
      </c>
      <c r="F1680" s="3">
        <v>29610268800231</v>
      </c>
      <c r="G1680" s="2" t="s">
        <v>3837</v>
      </c>
      <c r="H1680" s="2" t="s">
        <v>3841</v>
      </c>
      <c r="I1680" s="2" t="s">
        <v>66</v>
      </c>
      <c r="J1680" s="4">
        <v>43485</v>
      </c>
      <c r="K1680" s="2" t="s">
        <v>8</v>
      </c>
      <c r="L1680" s="2" t="s">
        <v>12</v>
      </c>
      <c r="M1680" s="75" t="s">
        <v>771</v>
      </c>
      <c r="R1680" s="76">
        <v>3</v>
      </c>
      <c r="S1680" s="76">
        <v>3</v>
      </c>
      <c r="T1680" s="76">
        <v>2</v>
      </c>
      <c r="U1680" s="76">
        <v>2</v>
      </c>
      <c r="V1680" s="76">
        <v>3</v>
      </c>
      <c r="W1680" s="75" t="s">
        <v>62</v>
      </c>
      <c r="Y1680" s="7">
        <v>43508</v>
      </c>
      <c r="Z1680" s="16" t="s">
        <v>66</v>
      </c>
      <c r="AA1680" s="7">
        <v>43513</v>
      </c>
    </row>
    <row r="1681" spans="1:28" ht="15" customHeight="1">
      <c r="A1681" s="285"/>
      <c r="C1681" s="25">
        <v>115</v>
      </c>
      <c r="D1681" s="2">
        <v>23015</v>
      </c>
      <c r="E1681" s="2" t="s">
        <v>3823</v>
      </c>
      <c r="F1681" s="3">
        <v>29406202102111</v>
      </c>
      <c r="G1681" s="2" t="s">
        <v>3837</v>
      </c>
      <c r="H1681" s="2" t="s">
        <v>3842</v>
      </c>
      <c r="I1681" s="2" t="s">
        <v>66</v>
      </c>
      <c r="J1681" s="4">
        <v>43485</v>
      </c>
      <c r="K1681" s="2" t="s">
        <v>8</v>
      </c>
      <c r="L1681" s="2" t="s">
        <v>12</v>
      </c>
      <c r="M1681" s="75" t="s">
        <v>55</v>
      </c>
      <c r="R1681" s="76">
        <v>3</v>
      </c>
      <c r="S1681" s="76">
        <v>2.5</v>
      </c>
      <c r="T1681" s="76">
        <v>2</v>
      </c>
      <c r="U1681" s="76">
        <v>2.5</v>
      </c>
      <c r="V1681" s="76">
        <v>3</v>
      </c>
      <c r="W1681" s="75" t="s">
        <v>171</v>
      </c>
      <c r="Y1681" s="45">
        <v>43508</v>
      </c>
      <c r="Z1681" s="16" t="s">
        <v>66</v>
      </c>
      <c r="AA1681" s="7">
        <v>43541</v>
      </c>
    </row>
    <row r="1682" spans="1:28" ht="15" customHeight="1">
      <c r="A1682" s="285"/>
      <c r="C1682" s="25">
        <v>115</v>
      </c>
      <c r="D1682" s="2">
        <v>23016</v>
      </c>
      <c r="E1682" s="2" t="s">
        <v>3824</v>
      </c>
      <c r="F1682" s="3">
        <v>29709271700472</v>
      </c>
      <c r="G1682" s="2" t="s">
        <v>4</v>
      </c>
      <c r="H1682" s="2" t="s">
        <v>3843</v>
      </c>
      <c r="I1682" s="2" t="s">
        <v>66</v>
      </c>
      <c r="J1682" s="4">
        <v>43485</v>
      </c>
      <c r="K1682" s="2" t="s">
        <v>8</v>
      </c>
      <c r="L1682" s="2" t="s">
        <v>12</v>
      </c>
      <c r="M1682" s="75" t="s">
        <v>53</v>
      </c>
      <c r="R1682" s="76">
        <v>3</v>
      </c>
      <c r="S1682" s="76">
        <v>2</v>
      </c>
      <c r="T1682" s="76">
        <v>2.5</v>
      </c>
      <c r="U1682" s="76">
        <v>2.5</v>
      </c>
      <c r="V1682" s="76">
        <v>3</v>
      </c>
      <c r="W1682" s="75" t="s">
        <v>64</v>
      </c>
      <c r="X1682" s="75" t="s">
        <v>66</v>
      </c>
      <c r="Z1682" s="16" t="s">
        <v>67</v>
      </c>
      <c r="AB1682" s="2" t="s">
        <v>4007</v>
      </c>
    </row>
    <row r="1683" spans="1:28" ht="15" customHeight="1">
      <c r="A1683" s="285"/>
      <c r="C1683" s="25">
        <v>115</v>
      </c>
      <c r="D1683" s="2">
        <v>23017</v>
      </c>
      <c r="E1683" s="2" t="s">
        <v>3825</v>
      </c>
      <c r="F1683" s="3">
        <v>29609030104009</v>
      </c>
      <c r="G1683" s="2" t="s">
        <v>3837</v>
      </c>
      <c r="H1683" s="2" t="s">
        <v>3844</v>
      </c>
      <c r="I1683" s="2" t="s">
        <v>66</v>
      </c>
      <c r="J1683" s="4">
        <v>43485</v>
      </c>
      <c r="K1683" s="2" t="s">
        <v>8</v>
      </c>
      <c r="L1683" s="2" t="s">
        <v>12</v>
      </c>
      <c r="M1683" s="75" t="s">
        <v>3696</v>
      </c>
      <c r="R1683" s="76">
        <v>3</v>
      </c>
      <c r="S1683" s="76">
        <v>3</v>
      </c>
      <c r="T1683" s="76">
        <v>2</v>
      </c>
      <c r="U1683" s="76">
        <v>2</v>
      </c>
      <c r="V1683" s="76">
        <v>2.5</v>
      </c>
      <c r="W1683" s="75" t="s">
        <v>64</v>
      </c>
      <c r="X1683" s="75" t="s">
        <v>66</v>
      </c>
      <c r="Z1683" s="16" t="s">
        <v>67</v>
      </c>
      <c r="AB1683" s="2" t="s">
        <v>4008</v>
      </c>
    </row>
    <row r="1684" spans="1:28" ht="15" customHeight="1">
      <c r="A1684" s="285"/>
      <c r="C1684" s="25">
        <v>115</v>
      </c>
      <c r="D1684" s="2">
        <v>23018</v>
      </c>
      <c r="E1684" s="2" t="s">
        <v>3826</v>
      </c>
      <c r="F1684" s="3">
        <v>29802172103675</v>
      </c>
      <c r="G1684" s="2" t="s">
        <v>4</v>
      </c>
      <c r="H1684" s="2" t="s">
        <v>3845</v>
      </c>
      <c r="I1684" s="2" t="s">
        <v>66</v>
      </c>
      <c r="J1684" s="4">
        <v>43485</v>
      </c>
      <c r="K1684" s="2" t="s">
        <v>8</v>
      </c>
      <c r="L1684" s="2" t="s">
        <v>12</v>
      </c>
      <c r="M1684" s="75" t="s">
        <v>3720</v>
      </c>
      <c r="R1684" s="76">
        <v>3</v>
      </c>
      <c r="S1684" s="76">
        <v>2.5</v>
      </c>
      <c r="T1684" s="76">
        <v>2</v>
      </c>
      <c r="U1684" s="76">
        <v>2.5</v>
      </c>
      <c r="V1684" s="76">
        <v>3</v>
      </c>
      <c r="W1684" s="75" t="s">
        <v>171</v>
      </c>
      <c r="Y1684" s="45">
        <v>43508</v>
      </c>
      <c r="Z1684" s="16" t="s">
        <v>66</v>
      </c>
      <c r="AA1684" s="45">
        <v>43541</v>
      </c>
    </row>
    <row r="1685" spans="1:28" ht="15" customHeight="1">
      <c r="A1685" s="285"/>
      <c r="C1685" s="25">
        <v>115</v>
      </c>
      <c r="D1685" s="2">
        <v>23019</v>
      </c>
      <c r="E1685" s="2" t="s">
        <v>3827</v>
      </c>
      <c r="F1685" s="3">
        <v>29107160103271</v>
      </c>
      <c r="G1685" s="2" t="s">
        <v>1152</v>
      </c>
      <c r="H1685" s="2" t="s">
        <v>3846</v>
      </c>
      <c r="I1685" s="2" t="s">
        <v>66</v>
      </c>
      <c r="J1685" s="4">
        <v>43485</v>
      </c>
      <c r="K1685" s="2" t="s">
        <v>8</v>
      </c>
      <c r="L1685" s="2" t="s">
        <v>12</v>
      </c>
      <c r="M1685" s="75" t="s">
        <v>103</v>
      </c>
      <c r="R1685" s="76">
        <v>3</v>
      </c>
      <c r="S1685" s="76">
        <v>3</v>
      </c>
      <c r="T1685" s="76">
        <v>2</v>
      </c>
      <c r="U1685" s="76">
        <v>2</v>
      </c>
      <c r="V1685" s="76">
        <v>3</v>
      </c>
      <c r="W1685" s="75" t="s">
        <v>62</v>
      </c>
      <c r="Y1685" s="45">
        <v>43508</v>
      </c>
      <c r="Z1685" s="16" t="s">
        <v>66</v>
      </c>
      <c r="AA1685" s="7">
        <v>43513</v>
      </c>
    </row>
    <row r="1686" spans="1:28" ht="15" customHeight="1">
      <c r="A1686" s="285"/>
      <c r="C1686" s="25">
        <v>115</v>
      </c>
      <c r="D1686" s="2">
        <v>23020</v>
      </c>
      <c r="E1686" s="2" t="s">
        <v>3828</v>
      </c>
      <c r="F1686" s="3">
        <v>29611090104622</v>
      </c>
      <c r="G1686" s="2" t="s">
        <v>3837</v>
      </c>
      <c r="H1686" s="2" t="s">
        <v>3847</v>
      </c>
      <c r="I1686" s="2" t="s">
        <v>66</v>
      </c>
      <c r="J1686" s="4">
        <v>43485</v>
      </c>
      <c r="K1686" s="2" t="s">
        <v>8</v>
      </c>
      <c r="L1686" s="2" t="s">
        <v>12</v>
      </c>
      <c r="M1686" s="75" t="s">
        <v>551</v>
      </c>
      <c r="R1686" s="76">
        <v>3</v>
      </c>
      <c r="S1686" s="76">
        <v>2</v>
      </c>
      <c r="T1686" s="76">
        <v>2</v>
      </c>
      <c r="U1686" s="76">
        <v>2</v>
      </c>
      <c r="V1686" s="76">
        <v>3</v>
      </c>
      <c r="W1686" s="75" t="s">
        <v>63</v>
      </c>
      <c r="X1686" s="75" t="s">
        <v>67</v>
      </c>
      <c r="Z1686" s="16" t="s">
        <v>67</v>
      </c>
      <c r="AB1686" s="75" t="s">
        <v>3857</v>
      </c>
    </row>
    <row r="1687" spans="1:28" ht="15" customHeight="1">
      <c r="A1687" s="285"/>
      <c r="C1687" s="25">
        <v>115</v>
      </c>
      <c r="D1687" s="2">
        <v>23021</v>
      </c>
      <c r="E1687" s="2" t="s">
        <v>3829</v>
      </c>
      <c r="F1687" s="3">
        <v>29601010138011</v>
      </c>
      <c r="G1687" s="2" t="s">
        <v>3837</v>
      </c>
      <c r="H1687" s="2" t="s">
        <v>3848</v>
      </c>
      <c r="I1687" s="2" t="s">
        <v>66</v>
      </c>
      <c r="J1687" s="4">
        <v>43485</v>
      </c>
      <c r="K1687" s="2" t="s">
        <v>8</v>
      </c>
      <c r="L1687" s="2" t="s">
        <v>12</v>
      </c>
      <c r="M1687" s="75" t="s">
        <v>1515</v>
      </c>
      <c r="R1687" s="76">
        <v>3</v>
      </c>
      <c r="S1687" s="76">
        <v>3</v>
      </c>
      <c r="T1687" s="76">
        <v>2.5</v>
      </c>
      <c r="U1687" s="76">
        <v>3</v>
      </c>
      <c r="V1687" s="76">
        <v>3</v>
      </c>
      <c r="W1687" s="75" t="s">
        <v>60</v>
      </c>
      <c r="Y1687" s="45">
        <v>43508</v>
      </c>
      <c r="Z1687" s="16" t="s">
        <v>66</v>
      </c>
      <c r="AA1687" s="45">
        <v>43508</v>
      </c>
    </row>
    <row r="1688" spans="1:28" ht="15" customHeight="1">
      <c r="A1688" s="285"/>
      <c r="C1688" s="25">
        <v>115</v>
      </c>
      <c r="D1688" s="2">
        <v>23022</v>
      </c>
      <c r="E1688" s="2" t="s">
        <v>3830</v>
      </c>
      <c r="F1688" s="3">
        <v>29607142402905</v>
      </c>
      <c r="G1688" s="2" t="s">
        <v>3837</v>
      </c>
      <c r="H1688" s="2" t="s">
        <v>3849</v>
      </c>
      <c r="I1688" s="2" t="s">
        <v>66</v>
      </c>
      <c r="J1688" s="4">
        <v>43485</v>
      </c>
      <c r="K1688" s="2" t="s">
        <v>8</v>
      </c>
      <c r="L1688" s="2" t="s">
        <v>12</v>
      </c>
      <c r="M1688" s="75" t="s">
        <v>771</v>
      </c>
      <c r="R1688" s="76">
        <v>3</v>
      </c>
      <c r="S1688" s="76">
        <v>3</v>
      </c>
      <c r="T1688" s="76">
        <v>2.5</v>
      </c>
      <c r="U1688" s="76">
        <v>2.5</v>
      </c>
      <c r="V1688" s="76">
        <v>3</v>
      </c>
      <c r="W1688" s="75" t="s">
        <v>60</v>
      </c>
      <c r="Y1688" s="45">
        <v>43508</v>
      </c>
      <c r="Z1688" s="16" t="s">
        <v>66</v>
      </c>
      <c r="AA1688" s="45">
        <v>43508</v>
      </c>
    </row>
    <row r="1689" spans="1:28" ht="15" customHeight="1">
      <c r="A1689" s="285"/>
      <c r="C1689" s="25">
        <v>115</v>
      </c>
      <c r="D1689" s="2">
        <v>23023</v>
      </c>
      <c r="E1689" s="2" t="s">
        <v>3831</v>
      </c>
      <c r="F1689" s="3">
        <v>29701012141839</v>
      </c>
      <c r="G1689" s="2" t="s">
        <v>3838</v>
      </c>
      <c r="H1689" s="2" t="s">
        <v>3850</v>
      </c>
      <c r="I1689" s="2" t="s">
        <v>66</v>
      </c>
      <c r="J1689" s="4">
        <v>43485</v>
      </c>
      <c r="K1689" s="2" t="s">
        <v>8</v>
      </c>
      <c r="L1689" s="2" t="s">
        <v>12</v>
      </c>
      <c r="M1689" s="75" t="s">
        <v>771</v>
      </c>
      <c r="R1689" s="76">
        <v>3</v>
      </c>
      <c r="S1689" s="76">
        <v>2.5</v>
      </c>
      <c r="T1689" s="76">
        <v>2</v>
      </c>
      <c r="U1689" s="76">
        <v>2.5</v>
      </c>
      <c r="V1689" s="76">
        <v>3</v>
      </c>
      <c r="W1689" s="75" t="s">
        <v>64</v>
      </c>
      <c r="X1689" s="75" t="s">
        <v>66</v>
      </c>
      <c r="Z1689" s="16" t="s">
        <v>67</v>
      </c>
      <c r="AB1689" s="2" t="s">
        <v>4009</v>
      </c>
    </row>
    <row r="1690" spans="1:28" ht="15" customHeight="1">
      <c r="A1690" s="285"/>
      <c r="C1690" s="25">
        <v>115</v>
      </c>
      <c r="D1690" s="2">
        <v>23024</v>
      </c>
      <c r="E1690" s="2" t="s">
        <v>3832</v>
      </c>
      <c r="F1690" s="3">
        <v>28008020104437</v>
      </c>
      <c r="G1690" s="2" t="s">
        <v>3837</v>
      </c>
      <c r="H1690" s="2" t="s">
        <v>3851</v>
      </c>
      <c r="I1690" s="2" t="s">
        <v>66</v>
      </c>
      <c r="J1690" s="4">
        <v>43485</v>
      </c>
      <c r="K1690" s="2" t="s">
        <v>8</v>
      </c>
      <c r="L1690" s="2" t="s">
        <v>12</v>
      </c>
      <c r="M1690" s="75" t="s">
        <v>55</v>
      </c>
      <c r="W1690" s="16" t="s">
        <v>64</v>
      </c>
      <c r="Z1690" s="16" t="s">
        <v>67</v>
      </c>
    </row>
    <row r="1691" spans="1:28" ht="15" customHeight="1">
      <c r="A1691" s="285"/>
      <c r="C1691" s="25">
        <v>115</v>
      </c>
      <c r="D1691" s="2">
        <v>23025</v>
      </c>
      <c r="E1691" s="2" t="s">
        <v>3833</v>
      </c>
      <c r="F1691" s="3">
        <v>29411051602063</v>
      </c>
      <c r="G1691" s="2" t="s">
        <v>3837</v>
      </c>
      <c r="H1691" s="2" t="s">
        <v>3852</v>
      </c>
      <c r="I1691" s="2" t="s">
        <v>66</v>
      </c>
      <c r="J1691" s="4">
        <v>43485</v>
      </c>
      <c r="K1691" s="2" t="s">
        <v>8</v>
      </c>
      <c r="L1691" s="2" t="s">
        <v>12</v>
      </c>
      <c r="M1691" s="75" t="s">
        <v>438</v>
      </c>
      <c r="R1691" s="77">
        <v>3</v>
      </c>
      <c r="S1691" s="77">
        <v>3</v>
      </c>
      <c r="T1691" s="77">
        <v>2</v>
      </c>
      <c r="U1691" s="77">
        <v>2.5</v>
      </c>
      <c r="V1691" s="77">
        <v>3</v>
      </c>
      <c r="W1691" s="75" t="s">
        <v>63</v>
      </c>
      <c r="X1691" s="75" t="s">
        <v>67</v>
      </c>
      <c r="Z1691" s="16" t="s">
        <v>67</v>
      </c>
      <c r="AB1691" s="75" t="s">
        <v>3857</v>
      </c>
    </row>
    <row r="1692" spans="1:28" ht="15" customHeight="1">
      <c r="A1692" s="285"/>
      <c r="C1692" s="25">
        <v>115</v>
      </c>
      <c r="D1692" s="2">
        <v>23026</v>
      </c>
      <c r="E1692" s="2" t="s">
        <v>3834</v>
      </c>
      <c r="F1692" s="3">
        <v>29001271205231</v>
      </c>
      <c r="G1692" s="2" t="s">
        <v>1152</v>
      </c>
      <c r="H1692" s="2" t="s">
        <v>3853</v>
      </c>
      <c r="I1692" s="2" t="s">
        <v>66</v>
      </c>
      <c r="J1692" s="4">
        <v>43485</v>
      </c>
      <c r="K1692" s="2" t="s">
        <v>8</v>
      </c>
      <c r="L1692" s="2" t="s">
        <v>12</v>
      </c>
      <c r="M1692" s="75" t="s">
        <v>105</v>
      </c>
      <c r="R1692" s="77">
        <v>3</v>
      </c>
      <c r="S1692" s="77">
        <v>3</v>
      </c>
      <c r="T1692" s="77">
        <v>2</v>
      </c>
      <c r="U1692" s="77">
        <v>2</v>
      </c>
      <c r="V1692" s="77">
        <v>3</v>
      </c>
      <c r="W1692" s="75" t="s">
        <v>62</v>
      </c>
      <c r="Y1692" s="45">
        <v>43508</v>
      </c>
      <c r="Z1692" s="16" t="s">
        <v>67</v>
      </c>
      <c r="AB1692" s="2" t="s">
        <v>3857</v>
      </c>
    </row>
    <row r="1693" spans="1:28" ht="15" customHeight="1">
      <c r="A1693" s="285"/>
      <c r="C1693" s="25">
        <v>115</v>
      </c>
      <c r="D1693" s="2">
        <v>23027</v>
      </c>
      <c r="E1693" s="2" t="s">
        <v>3835</v>
      </c>
      <c r="F1693" s="3">
        <v>7766718</v>
      </c>
      <c r="G1693" s="2" t="s">
        <v>4</v>
      </c>
      <c r="H1693" s="2" t="s">
        <v>3854</v>
      </c>
      <c r="I1693" s="2" t="s">
        <v>66</v>
      </c>
      <c r="J1693" s="4">
        <v>43485</v>
      </c>
      <c r="K1693" s="2" t="s">
        <v>8</v>
      </c>
      <c r="L1693" s="2" t="s">
        <v>12</v>
      </c>
      <c r="M1693" s="75" t="s">
        <v>109</v>
      </c>
      <c r="R1693" s="77">
        <v>3</v>
      </c>
      <c r="S1693" s="77">
        <v>2</v>
      </c>
      <c r="T1693" s="77">
        <v>2</v>
      </c>
      <c r="U1693" s="77">
        <v>2</v>
      </c>
      <c r="V1693" s="77">
        <v>3</v>
      </c>
      <c r="W1693" s="75" t="s">
        <v>62</v>
      </c>
      <c r="Y1693" s="45">
        <v>43508</v>
      </c>
      <c r="Z1693" s="16" t="s">
        <v>66</v>
      </c>
      <c r="AA1693" s="7">
        <v>43513</v>
      </c>
    </row>
    <row r="1694" spans="1:28" ht="15.75" customHeight="1" thickBot="1">
      <c r="A1694" s="286"/>
      <c r="C1694" s="28">
        <v>115</v>
      </c>
      <c r="D1694" s="28">
        <v>23028</v>
      </c>
      <c r="E1694" s="28" t="s">
        <v>3836</v>
      </c>
      <c r="F1694" s="29">
        <v>29404182103571</v>
      </c>
      <c r="G1694" s="28" t="s">
        <v>3837</v>
      </c>
      <c r="H1694" s="28" t="s">
        <v>3855</v>
      </c>
      <c r="I1694" s="28" t="s">
        <v>66</v>
      </c>
      <c r="J1694" s="30">
        <v>43485</v>
      </c>
      <c r="K1694" s="28" t="s">
        <v>8</v>
      </c>
      <c r="L1694" s="28" t="s">
        <v>12</v>
      </c>
      <c r="M1694" s="28" t="s">
        <v>585</v>
      </c>
      <c r="N1694" s="28"/>
      <c r="O1694" s="226"/>
      <c r="P1694" s="28"/>
      <c r="Q1694" s="226"/>
      <c r="R1694" s="37">
        <v>3</v>
      </c>
      <c r="S1694" s="37">
        <v>3</v>
      </c>
      <c r="T1694" s="37">
        <v>2</v>
      </c>
      <c r="U1694" s="37">
        <v>2</v>
      </c>
      <c r="V1694" s="37">
        <v>3</v>
      </c>
      <c r="W1694" s="28" t="s">
        <v>62</v>
      </c>
      <c r="X1694" s="28" t="s">
        <v>66</v>
      </c>
      <c r="Y1694" s="30">
        <v>43543</v>
      </c>
      <c r="Z1694" s="28" t="s">
        <v>66</v>
      </c>
      <c r="AA1694" s="30">
        <v>43545</v>
      </c>
      <c r="AB1694" s="28" t="s">
        <v>4118</v>
      </c>
    </row>
    <row r="1695" spans="1:28" ht="15.75" customHeight="1" thickTop="1">
      <c r="A1695" s="284" t="s">
        <v>3124</v>
      </c>
      <c r="C1695" s="25">
        <v>116</v>
      </c>
      <c r="D1695" s="25">
        <v>23029</v>
      </c>
      <c r="E1695" s="25" t="s">
        <v>3860</v>
      </c>
      <c r="F1695" s="26">
        <v>29504170102549</v>
      </c>
      <c r="G1695" s="25" t="s">
        <v>34</v>
      </c>
      <c r="H1695" s="25" t="s">
        <v>3861</v>
      </c>
      <c r="I1695" s="25" t="s">
        <v>66</v>
      </c>
      <c r="J1695" s="27">
        <v>43494</v>
      </c>
      <c r="K1695" s="25" t="s">
        <v>8</v>
      </c>
      <c r="L1695" s="25" t="s">
        <v>12</v>
      </c>
      <c r="M1695" s="25" t="s">
        <v>197</v>
      </c>
      <c r="N1695" s="25"/>
      <c r="O1695" s="224"/>
      <c r="P1695" s="25"/>
      <c r="Q1695" s="224"/>
      <c r="R1695" s="77">
        <v>3</v>
      </c>
      <c r="S1695" s="77">
        <v>3</v>
      </c>
      <c r="T1695" s="77">
        <v>2.5</v>
      </c>
      <c r="U1695" s="77">
        <v>2.5</v>
      </c>
      <c r="V1695" s="77">
        <v>3</v>
      </c>
      <c r="W1695" s="25" t="s">
        <v>170</v>
      </c>
      <c r="X1695" s="25"/>
      <c r="Y1695" s="27">
        <v>43520</v>
      </c>
      <c r="Z1695" s="25" t="s">
        <v>66</v>
      </c>
      <c r="AA1695" s="27">
        <v>43522</v>
      </c>
      <c r="AB1695" s="25"/>
    </row>
    <row r="1696" spans="1:28" ht="15" customHeight="1">
      <c r="A1696" s="285"/>
      <c r="C1696" s="25">
        <v>116</v>
      </c>
      <c r="D1696" s="2">
        <v>23030</v>
      </c>
      <c r="E1696" s="2" t="s">
        <v>3862</v>
      </c>
      <c r="F1696" s="3">
        <v>28711222104334</v>
      </c>
      <c r="G1696" s="2" t="s">
        <v>3837</v>
      </c>
      <c r="H1696" s="2" t="s">
        <v>3863</v>
      </c>
      <c r="I1696" s="2" t="s">
        <v>66</v>
      </c>
      <c r="J1696" s="4">
        <v>43494</v>
      </c>
      <c r="K1696" s="2" t="s">
        <v>8</v>
      </c>
      <c r="L1696" s="2" t="s">
        <v>12</v>
      </c>
      <c r="M1696" s="2" t="s">
        <v>3317</v>
      </c>
      <c r="R1696" s="77">
        <v>3</v>
      </c>
      <c r="S1696" s="77">
        <v>3</v>
      </c>
      <c r="T1696" s="77">
        <v>3</v>
      </c>
      <c r="U1696" s="77">
        <v>2.5</v>
      </c>
      <c r="V1696" s="77">
        <v>3</v>
      </c>
      <c r="W1696" s="16" t="s">
        <v>60</v>
      </c>
      <c r="X1696" s="2" t="s">
        <v>66</v>
      </c>
      <c r="Y1696" s="7">
        <v>43543</v>
      </c>
      <c r="Z1696" s="16" t="s">
        <v>66</v>
      </c>
      <c r="AA1696" s="7">
        <v>43549</v>
      </c>
    </row>
    <row r="1697" spans="1:35" ht="15" customHeight="1">
      <c r="A1697" s="285"/>
      <c r="C1697" s="25">
        <v>116</v>
      </c>
      <c r="D1697" s="2">
        <v>23031</v>
      </c>
      <c r="E1697" s="2" t="s">
        <v>3864</v>
      </c>
      <c r="F1697" s="3">
        <v>29508210400101</v>
      </c>
      <c r="G1697" s="2" t="s">
        <v>3837</v>
      </c>
      <c r="H1697" s="2" t="s">
        <v>3865</v>
      </c>
      <c r="I1697" s="2" t="s">
        <v>66</v>
      </c>
      <c r="J1697" s="4">
        <v>43494</v>
      </c>
      <c r="K1697" s="2" t="s">
        <v>8</v>
      </c>
      <c r="L1697" s="2" t="s">
        <v>12</v>
      </c>
      <c r="M1697" s="2" t="s">
        <v>622</v>
      </c>
      <c r="R1697" s="77">
        <v>3</v>
      </c>
      <c r="S1697" s="77">
        <v>2.5</v>
      </c>
      <c r="T1697" s="77">
        <v>2.5</v>
      </c>
      <c r="U1697" s="77">
        <v>2.5</v>
      </c>
      <c r="V1697" s="77">
        <v>3</v>
      </c>
      <c r="W1697" s="16" t="s">
        <v>170</v>
      </c>
      <c r="X1697" s="2" t="s">
        <v>66</v>
      </c>
      <c r="Y1697" s="45">
        <v>43543</v>
      </c>
      <c r="Z1697" s="16" t="s">
        <v>66</v>
      </c>
      <c r="AA1697" s="7">
        <v>43549</v>
      </c>
    </row>
    <row r="1698" spans="1:35" ht="15" customHeight="1">
      <c r="A1698" s="285"/>
      <c r="C1698" s="25">
        <v>116</v>
      </c>
      <c r="D1698" s="2">
        <v>23032</v>
      </c>
      <c r="E1698" s="2" t="s">
        <v>3866</v>
      </c>
      <c r="F1698" s="3">
        <v>29010011324635</v>
      </c>
      <c r="G1698" s="2" t="s">
        <v>129</v>
      </c>
      <c r="H1698" s="2" t="s">
        <v>3867</v>
      </c>
      <c r="I1698" s="2" t="s">
        <v>66</v>
      </c>
      <c r="J1698" s="4">
        <v>43494</v>
      </c>
      <c r="K1698" s="2" t="s">
        <v>8</v>
      </c>
      <c r="L1698" s="2" t="s">
        <v>12</v>
      </c>
      <c r="M1698" s="2" t="s">
        <v>622</v>
      </c>
      <c r="R1698" s="77">
        <v>3</v>
      </c>
      <c r="S1698" s="77">
        <v>2</v>
      </c>
      <c r="T1698" s="77">
        <v>2</v>
      </c>
      <c r="U1698" s="77">
        <v>2</v>
      </c>
      <c r="V1698" s="77">
        <v>3</v>
      </c>
      <c r="W1698" s="16" t="s">
        <v>62</v>
      </c>
      <c r="Y1698" s="7">
        <v>43520</v>
      </c>
      <c r="Z1698" s="16" t="s">
        <v>66</v>
      </c>
      <c r="AA1698" s="7">
        <v>43545</v>
      </c>
      <c r="AB1698" s="75" t="s">
        <v>4119</v>
      </c>
    </row>
    <row r="1699" spans="1:35" ht="15" customHeight="1">
      <c r="A1699" s="285"/>
      <c r="C1699" s="25">
        <v>116</v>
      </c>
      <c r="D1699" s="2">
        <v>23033</v>
      </c>
      <c r="E1699" s="2" t="s">
        <v>3868</v>
      </c>
      <c r="F1699" s="3">
        <v>29103091202177</v>
      </c>
      <c r="G1699" s="2" t="s">
        <v>129</v>
      </c>
      <c r="H1699" s="2" t="s">
        <v>3869</v>
      </c>
      <c r="I1699" s="2" t="s">
        <v>66</v>
      </c>
      <c r="J1699" s="4">
        <v>43494</v>
      </c>
      <c r="K1699" s="2" t="s">
        <v>8</v>
      </c>
      <c r="L1699" s="2" t="s">
        <v>12</v>
      </c>
      <c r="M1699" s="2" t="s">
        <v>771</v>
      </c>
      <c r="R1699" s="77">
        <v>3</v>
      </c>
      <c r="S1699" s="77">
        <v>2.5</v>
      </c>
      <c r="T1699" s="77">
        <v>2</v>
      </c>
      <c r="U1699" s="77">
        <v>2</v>
      </c>
      <c r="V1699" s="77">
        <v>3</v>
      </c>
      <c r="W1699" s="16" t="s">
        <v>62</v>
      </c>
      <c r="X1699" s="2" t="s">
        <v>66</v>
      </c>
      <c r="Y1699" s="45">
        <v>43543</v>
      </c>
      <c r="Z1699" s="16" t="s">
        <v>66</v>
      </c>
      <c r="AA1699" s="7">
        <v>43545</v>
      </c>
      <c r="AB1699" s="2" t="s">
        <v>4118</v>
      </c>
    </row>
    <row r="1700" spans="1:35" ht="15" customHeight="1">
      <c r="A1700" s="285"/>
      <c r="C1700" s="25">
        <v>116</v>
      </c>
      <c r="D1700" s="2">
        <v>23034</v>
      </c>
      <c r="E1700" s="2" t="s">
        <v>3870</v>
      </c>
      <c r="F1700" s="3">
        <v>29409170105065</v>
      </c>
      <c r="G1700" s="2" t="s">
        <v>3837</v>
      </c>
      <c r="H1700" s="2" t="s">
        <v>3871</v>
      </c>
      <c r="I1700" s="2" t="s">
        <v>66</v>
      </c>
      <c r="J1700" s="4">
        <v>43494</v>
      </c>
      <c r="K1700" s="2" t="s">
        <v>8</v>
      </c>
      <c r="L1700" s="2" t="s">
        <v>12</v>
      </c>
      <c r="M1700" s="2" t="s">
        <v>404</v>
      </c>
      <c r="R1700" s="77">
        <v>3</v>
      </c>
      <c r="S1700" s="77">
        <v>3</v>
      </c>
      <c r="T1700" s="77">
        <v>2.5</v>
      </c>
      <c r="U1700" s="77">
        <v>2</v>
      </c>
      <c r="V1700" s="77">
        <v>3</v>
      </c>
      <c r="W1700" s="16" t="s">
        <v>62</v>
      </c>
      <c r="X1700" s="2" t="s">
        <v>66</v>
      </c>
      <c r="Y1700" s="45">
        <v>43543</v>
      </c>
      <c r="Z1700" s="16" t="s">
        <v>66</v>
      </c>
      <c r="AA1700" s="7">
        <v>43545</v>
      </c>
      <c r="AB1700" s="2" t="s">
        <v>4118</v>
      </c>
    </row>
    <row r="1701" spans="1:35" ht="15" customHeight="1">
      <c r="A1701" s="285"/>
      <c r="C1701" s="25">
        <v>116</v>
      </c>
      <c r="D1701" s="2">
        <v>23035</v>
      </c>
      <c r="E1701" s="2" t="s">
        <v>3872</v>
      </c>
      <c r="F1701" s="3">
        <v>29612308800363</v>
      </c>
      <c r="G1701" s="2" t="s">
        <v>3837</v>
      </c>
      <c r="H1701" s="2" t="s">
        <v>3873</v>
      </c>
      <c r="I1701" s="2" t="s">
        <v>66</v>
      </c>
      <c r="J1701" s="4">
        <v>43494</v>
      </c>
      <c r="K1701" s="2" t="s">
        <v>8</v>
      </c>
      <c r="L1701" s="2" t="s">
        <v>12</v>
      </c>
      <c r="M1701" s="2" t="s">
        <v>489</v>
      </c>
      <c r="R1701" s="77">
        <v>3</v>
      </c>
      <c r="S1701" s="77">
        <v>3</v>
      </c>
      <c r="T1701" s="77">
        <v>2.5</v>
      </c>
      <c r="U1701" s="77">
        <v>2.5</v>
      </c>
      <c r="V1701" s="77">
        <v>3</v>
      </c>
      <c r="W1701" s="16" t="s">
        <v>171</v>
      </c>
      <c r="Y1701" s="7">
        <v>43520</v>
      </c>
      <c r="Z1701" s="16" t="s">
        <v>66</v>
      </c>
      <c r="AA1701" s="7">
        <v>43541</v>
      </c>
    </row>
    <row r="1702" spans="1:35" ht="15" customHeight="1">
      <c r="A1702" s="285"/>
      <c r="C1702" s="25">
        <v>116</v>
      </c>
      <c r="D1702" s="2">
        <v>23036</v>
      </c>
      <c r="E1702" s="2" t="s">
        <v>3874</v>
      </c>
      <c r="F1702" s="3">
        <v>29503260101553</v>
      </c>
      <c r="G1702" s="2" t="s">
        <v>3837</v>
      </c>
      <c r="H1702" s="2" t="s">
        <v>3875</v>
      </c>
      <c r="I1702" s="2" t="s">
        <v>66</v>
      </c>
      <c r="J1702" s="4">
        <v>43494</v>
      </c>
      <c r="K1702" s="2" t="s">
        <v>8</v>
      </c>
      <c r="L1702" s="2" t="s">
        <v>12</v>
      </c>
      <c r="M1702" s="75" t="s">
        <v>771</v>
      </c>
      <c r="R1702" s="77">
        <v>3</v>
      </c>
      <c r="S1702" s="77">
        <v>3</v>
      </c>
      <c r="T1702" s="77">
        <v>2</v>
      </c>
      <c r="U1702" s="77">
        <v>2</v>
      </c>
      <c r="V1702" s="77">
        <v>3</v>
      </c>
      <c r="W1702" s="16" t="s">
        <v>62</v>
      </c>
      <c r="X1702" s="2" t="s">
        <v>66</v>
      </c>
      <c r="Y1702" s="45">
        <v>43543</v>
      </c>
      <c r="Z1702" s="16" t="s">
        <v>66</v>
      </c>
      <c r="AA1702" s="7">
        <v>43545</v>
      </c>
    </row>
    <row r="1703" spans="1:35" ht="15" customHeight="1">
      <c r="A1703" s="285"/>
      <c r="C1703" s="25">
        <v>116</v>
      </c>
      <c r="D1703" s="2">
        <v>23037</v>
      </c>
      <c r="E1703" s="2" t="s">
        <v>3876</v>
      </c>
      <c r="F1703" s="3">
        <v>28907192102074</v>
      </c>
      <c r="G1703" s="2" t="s">
        <v>34</v>
      </c>
      <c r="H1703" s="2" t="s">
        <v>3877</v>
      </c>
      <c r="I1703" s="2" t="s">
        <v>66</v>
      </c>
      <c r="J1703" s="4">
        <v>43494</v>
      </c>
      <c r="K1703" s="2" t="s">
        <v>8</v>
      </c>
      <c r="L1703" s="2" t="s">
        <v>12</v>
      </c>
      <c r="M1703" s="2" t="s">
        <v>14</v>
      </c>
      <c r="R1703" s="77">
        <v>3</v>
      </c>
      <c r="S1703" s="77">
        <v>3</v>
      </c>
      <c r="T1703" s="77">
        <v>2</v>
      </c>
      <c r="U1703" s="77">
        <v>2.5</v>
      </c>
      <c r="V1703" s="77">
        <v>3</v>
      </c>
      <c r="W1703" s="16" t="s">
        <v>171</v>
      </c>
      <c r="Y1703" s="7">
        <v>43520</v>
      </c>
      <c r="Z1703" s="16" t="s">
        <v>66</v>
      </c>
      <c r="AA1703" s="45">
        <v>43541</v>
      </c>
    </row>
    <row r="1704" spans="1:35" ht="15" customHeight="1">
      <c r="A1704" s="285"/>
      <c r="C1704" s="25">
        <v>116</v>
      </c>
      <c r="D1704" s="2">
        <v>23038</v>
      </c>
      <c r="E1704" s="2" t="s">
        <v>3878</v>
      </c>
      <c r="F1704" s="3">
        <v>29210130100817</v>
      </c>
      <c r="G1704" s="2" t="s">
        <v>3838</v>
      </c>
      <c r="H1704" s="2" t="s">
        <v>3879</v>
      </c>
      <c r="I1704" s="2" t="s">
        <v>66</v>
      </c>
      <c r="J1704" s="4">
        <v>43494</v>
      </c>
      <c r="K1704" s="2" t="s">
        <v>8</v>
      </c>
      <c r="L1704" s="2" t="s">
        <v>12</v>
      </c>
      <c r="M1704" s="2" t="s">
        <v>697</v>
      </c>
      <c r="W1704" s="16" t="s">
        <v>63</v>
      </c>
      <c r="Z1704" s="16" t="s">
        <v>67</v>
      </c>
    </row>
    <row r="1705" spans="1:35" ht="15" customHeight="1">
      <c r="A1705" s="285"/>
      <c r="C1705" s="25">
        <v>116</v>
      </c>
      <c r="D1705" s="2">
        <v>23039</v>
      </c>
      <c r="E1705" s="2" t="s">
        <v>3880</v>
      </c>
      <c r="F1705" s="3">
        <v>29605050105332</v>
      </c>
      <c r="G1705" s="2" t="s">
        <v>34</v>
      </c>
      <c r="H1705" s="2" t="s">
        <v>3881</v>
      </c>
      <c r="I1705" s="2" t="s">
        <v>66</v>
      </c>
      <c r="J1705" s="4">
        <v>43494</v>
      </c>
      <c r="K1705" s="2" t="s">
        <v>8</v>
      </c>
      <c r="L1705" s="2" t="s">
        <v>12</v>
      </c>
      <c r="M1705" s="2" t="s">
        <v>3890</v>
      </c>
      <c r="R1705" s="77">
        <v>3</v>
      </c>
      <c r="S1705" s="77">
        <v>3</v>
      </c>
      <c r="T1705" s="77">
        <v>2.5</v>
      </c>
      <c r="U1705" s="77">
        <v>2.5</v>
      </c>
      <c r="V1705" s="77">
        <v>3</v>
      </c>
      <c r="W1705" s="16" t="s">
        <v>171</v>
      </c>
      <c r="Y1705" s="7">
        <v>43520</v>
      </c>
      <c r="Z1705" s="16" t="s">
        <v>66</v>
      </c>
      <c r="AA1705" s="45">
        <v>43541</v>
      </c>
      <c r="AB1705" s="2" t="s">
        <v>5410</v>
      </c>
    </row>
    <row r="1706" spans="1:35" ht="15" customHeight="1">
      <c r="A1706" s="285"/>
      <c r="C1706" s="25">
        <v>116</v>
      </c>
      <c r="D1706" s="2">
        <v>23040</v>
      </c>
      <c r="E1706" s="2" t="s">
        <v>3745</v>
      </c>
      <c r="F1706" s="3">
        <v>29404180103671</v>
      </c>
      <c r="G1706" s="2" t="s">
        <v>34</v>
      </c>
      <c r="H1706" s="2" t="s">
        <v>3746</v>
      </c>
      <c r="I1706" s="2" t="s">
        <v>66</v>
      </c>
      <c r="J1706" s="4">
        <v>43494</v>
      </c>
      <c r="K1706" s="2" t="s">
        <v>8</v>
      </c>
      <c r="L1706" s="2" t="s">
        <v>12</v>
      </c>
      <c r="M1706" s="2" t="s">
        <v>622</v>
      </c>
      <c r="R1706" s="77">
        <v>3</v>
      </c>
      <c r="S1706" s="77">
        <v>3</v>
      </c>
      <c r="T1706" s="77">
        <v>2</v>
      </c>
      <c r="U1706" s="77">
        <v>2</v>
      </c>
      <c r="V1706" s="77">
        <v>3</v>
      </c>
      <c r="W1706" s="16" t="s">
        <v>62</v>
      </c>
      <c r="X1706" s="2" t="s">
        <v>66</v>
      </c>
      <c r="Y1706" s="45">
        <v>43543</v>
      </c>
      <c r="Z1706" s="16" t="s">
        <v>66</v>
      </c>
      <c r="AA1706" s="7">
        <v>43549</v>
      </c>
      <c r="AB1706" s="2" t="s">
        <v>3967</v>
      </c>
    </row>
    <row r="1707" spans="1:35" ht="15" customHeight="1">
      <c r="A1707" s="285"/>
      <c r="C1707" s="25">
        <v>116</v>
      </c>
      <c r="D1707" s="2">
        <v>23041</v>
      </c>
      <c r="E1707" s="2" t="s">
        <v>3882</v>
      </c>
      <c r="F1707" s="3">
        <v>28703278800853</v>
      </c>
      <c r="G1707" s="2" t="s">
        <v>3837</v>
      </c>
      <c r="H1707" s="2" t="s">
        <v>3883</v>
      </c>
      <c r="I1707" s="2" t="s">
        <v>66</v>
      </c>
      <c r="J1707" s="4">
        <v>43494</v>
      </c>
      <c r="K1707" s="2" t="s">
        <v>8</v>
      </c>
      <c r="L1707" s="2" t="s">
        <v>12</v>
      </c>
      <c r="M1707" s="2" t="s">
        <v>58</v>
      </c>
      <c r="R1707" s="77">
        <v>3</v>
      </c>
      <c r="S1707" s="77">
        <v>2.5</v>
      </c>
      <c r="T1707" s="77">
        <v>2</v>
      </c>
      <c r="U1707" s="77">
        <v>2</v>
      </c>
      <c r="V1707" s="77">
        <v>3</v>
      </c>
      <c r="W1707" s="16" t="s">
        <v>62</v>
      </c>
      <c r="Y1707" s="7">
        <v>43520</v>
      </c>
      <c r="Z1707" s="16" t="s">
        <v>67</v>
      </c>
      <c r="AB1707" s="75" t="s">
        <v>4437</v>
      </c>
    </row>
    <row r="1708" spans="1:35" ht="15" customHeight="1">
      <c r="A1708" s="285"/>
      <c r="C1708" s="25">
        <v>116</v>
      </c>
      <c r="D1708" s="2">
        <v>23042</v>
      </c>
      <c r="E1708" s="2" t="s">
        <v>3884</v>
      </c>
      <c r="F1708" s="3">
        <v>28811298800644</v>
      </c>
      <c r="G1708" s="2" t="s">
        <v>3837</v>
      </c>
      <c r="H1708" s="2" t="s">
        <v>3885</v>
      </c>
      <c r="I1708" s="2" t="s">
        <v>66</v>
      </c>
      <c r="J1708" s="4">
        <v>43494</v>
      </c>
      <c r="K1708" s="2" t="s">
        <v>8</v>
      </c>
      <c r="L1708" s="2" t="s">
        <v>12</v>
      </c>
      <c r="M1708" s="2" t="s">
        <v>622</v>
      </c>
      <c r="R1708" s="77">
        <v>3</v>
      </c>
      <c r="S1708" s="77">
        <v>2</v>
      </c>
      <c r="T1708" s="77">
        <v>2</v>
      </c>
      <c r="U1708" s="77">
        <v>2</v>
      </c>
      <c r="V1708" s="77">
        <v>2.5</v>
      </c>
      <c r="W1708" s="16" t="s">
        <v>62</v>
      </c>
      <c r="Y1708" s="7">
        <v>43520</v>
      </c>
      <c r="Z1708" s="16" t="s">
        <v>66</v>
      </c>
      <c r="AA1708" s="45">
        <v>43530</v>
      </c>
      <c r="AB1708" s="2" t="s">
        <v>3967</v>
      </c>
    </row>
    <row r="1709" spans="1:35" ht="15" customHeight="1">
      <c r="A1709" s="285"/>
      <c r="C1709" s="25">
        <v>116</v>
      </c>
      <c r="D1709" s="2">
        <v>23043</v>
      </c>
      <c r="E1709" s="2" t="s">
        <v>3886</v>
      </c>
      <c r="F1709" s="3">
        <v>30101140102151</v>
      </c>
      <c r="G1709" s="2" t="s">
        <v>4</v>
      </c>
      <c r="H1709" s="2" t="s">
        <v>3887</v>
      </c>
      <c r="I1709" s="2" t="s">
        <v>66</v>
      </c>
      <c r="J1709" s="4">
        <v>43494</v>
      </c>
      <c r="K1709" s="2" t="s">
        <v>8</v>
      </c>
      <c r="L1709" s="2" t="s">
        <v>12</v>
      </c>
      <c r="M1709" s="75" t="s">
        <v>3890</v>
      </c>
      <c r="R1709" s="77">
        <v>3</v>
      </c>
      <c r="S1709" s="77">
        <v>3</v>
      </c>
      <c r="T1709" s="77">
        <v>2.5</v>
      </c>
      <c r="U1709" s="77">
        <v>2.5</v>
      </c>
      <c r="V1709" s="77">
        <v>3</v>
      </c>
      <c r="W1709" s="16" t="s">
        <v>60</v>
      </c>
      <c r="Y1709" s="7">
        <v>43520</v>
      </c>
      <c r="Z1709" s="16" t="s">
        <v>66</v>
      </c>
      <c r="AA1709" s="27">
        <v>43522</v>
      </c>
    </row>
    <row r="1710" spans="1:35" ht="15" customHeight="1">
      <c r="A1710" s="285"/>
      <c r="C1710" s="25">
        <v>116</v>
      </c>
      <c r="D1710" s="2">
        <v>23044</v>
      </c>
      <c r="E1710" s="2" t="s">
        <v>3888</v>
      </c>
      <c r="F1710" s="3">
        <v>29407078800455</v>
      </c>
      <c r="G1710" s="2" t="s">
        <v>3837</v>
      </c>
      <c r="H1710" s="2" t="s">
        <v>3889</v>
      </c>
      <c r="I1710" s="2" t="s">
        <v>66</v>
      </c>
      <c r="J1710" s="4">
        <v>43494</v>
      </c>
      <c r="K1710" s="2" t="s">
        <v>8</v>
      </c>
      <c r="L1710" s="2" t="s">
        <v>12</v>
      </c>
      <c r="M1710" s="2" t="s">
        <v>226</v>
      </c>
      <c r="R1710" s="77">
        <v>3</v>
      </c>
      <c r="S1710" s="77">
        <v>3</v>
      </c>
      <c r="T1710" s="77">
        <v>2</v>
      </c>
      <c r="U1710" s="77">
        <v>2</v>
      </c>
      <c r="V1710" s="77">
        <v>3</v>
      </c>
      <c r="W1710" s="16" t="s">
        <v>64</v>
      </c>
      <c r="X1710" s="2" t="s">
        <v>66</v>
      </c>
      <c r="Z1710" s="16" t="s">
        <v>67</v>
      </c>
      <c r="AB1710" s="2" t="s">
        <v>4006</v>
      </c>
    </row>
    <row r="1711" spans="1:35" ht="15.75" customHeight="1" thickBot="1">
      <c r="A1711" s="286"/>
      <c r="C1711" s="28">
        <v>116</v>
      </c>
      <c r="D1711" s="28">
        <v>23049</v>
      </c>
      <c r="E1711" s="28" t="s">
        <v>3891</v>
      </c>
      <c r="F1711" s="29">
        <v>30006130103467</v>
      </c>
      <c r="G1711" s="28" t="s">
        <v>3892</v>
      </c>
      <c r="H1711" s="78" t="s">
        <v>3893</v>
      </c>
      <c r="I1711" s="28" t="s">
        <v>66</v>
      </c>
      <c r="J1711" s="30">
        <v>43494</v>
      </c>
      <c r="K1711" s="28" t="s">
        <v>8</v>
      </c>
      <c r="L1711" s="28" t="s">
        <v>12</v>
      </c>
      <c r="M1711" s="28" t="s">
        <v>1515</v>
      </c>
      <c r="N1711" s="28"/>
      <c r="O1711" s="226"/>
      <c r="P1711" s="28"/>
      <c r="Q1711" s="226"/>
      <c r="R1711" s="37">
        <v>3</v>
      </c>
      <c r="S1711" s="37">
        <v>1.5</v>
      </c>
      <c r="T1711" s="37">
        <v>2</v>
      </c>
      <c r="U1711" s="37">
        <v>2</v>
      </c>
      <c r="V1711" s="37">
        <v>2.5</v>
      </c>
      <c r="W1711" s="28" t="s">
        <v>3321</v>
      </c>
      <c r="X1711" s="28"/>
      <c r="Y1711" s="30">
        <v>43520</v>
      </c>
      <c r="Z1711" s="28" t="s">
        <v>66</v>
      </c>
      <c r="AA1711" s="30">
        <v>43530</v>
      </c>
      <c r="AB1711" s="28" t="s">
        <v>3967</v>
      </c>
    </row>
    <row r="1712" spans="1:35" ht="15.75" customHeight="1" thickTop="1">
      <c r="A1712" s="284" t="s">
        <v>3696</v>
      </c>
      <c r="C1712" s="25">
        <v>117</v>
      </c>
      <c r="D1712" s="25">
        <v>23051</v>
      </c>
      <c r="E1712" s="25" t="s">
        <v>3902</v>
      </c>
      <c r="F1712" s="26">
        <v>29603182102895</v>
      </c>
      <c r="G1712" s="25" t="s">
        <v>34</v>
      </c>
      <c r="H1712" s="25" t="s">
        <v>3903</v>
      </c>
      <c r="I1712" s="25" t="s">
        <v>66</v>
      </c>
      <c r="J1712" s="27">
        <v>43499</v>
      </c>
      <c r="K1712" s="25" t="s">
        <v>8</v>
      </c>
      <c r="L1712" s="25" t="s">
        <v>12</v>
      </c>
      <c r="M1712" s="25" t="s">
        <v>105</v>
      </c>
      <c r="N1712" s="25"/>
      <c r="O1712" s="224"/>
      <c r="P1712" s="25"/>
      <c r="Q1712" s="224"/>
      <c r="R1712" s="77">
        <v>3</v>
      </c>
      <c r="S1712" s="77">
        <v>2.5</v>
      </c>
      <c r="T1712" s="77">
        <v>2.5</v>
      </c>
      <c r="U1712" s="77">
        <v>2.5</v>
      </c>
      <c r="V1712" s="77">
        <v>3</v>
      </c>
      <c r="W1712" s="25" t="s">
        <v>171</v>
      </c>
      <c r="X1712" s="25"/>
      <c r="Y1712" s="27">
        <v>43523</v>
      </c>
      <c r="Z1712" s="25" t="s">
        <v>66</v>
      </c>
      <c r="AA1712" s="45">
        <v>43541</v>
      </c>
      <c r="AB1712" s="25"/>
      <c r="AD1712" s="296" t="s">
        <v>4512</v>
      </c>
      <c r="AE1712" s="296"/>
      <c r="AF1712" s="296"/>
      <c r="AG1712" s="296"/>
      <c r="AH1712" s="296"/>
      <c r="AI1712" s="296"/>
    </row>
    <row r="1713" spans="1:35" ht="15" customHeight="1">
      <c r="A1713" s="285"/>
      <c r="C1713" s="25">
        <v>117</v>
      </c>
      <c r="D1713" s="2">
        <v>23052</v>
      </c>
      <c r="E1713" s="2" t="s">
        <v>3904</v>
      </c>
      <c r="F1713" s="3">
        <v>28812098800204</v>
      </c>
      <c r="G1713" s="2" t="s">
        <v>34</v>
      </c>
      <c r="H1713" s="2" t="s">
        <v>3905</v>
      </c>
      <c r="I1713" s="2" t="s">
        <v>66</v>
      </c>
      <c r="J1713" s="4">
        <v>43499</v>
      </c>
      <c r="K1713" s="2" t="s">
        <v>8</v>
      </c>
      <c r="L1713" s="2" t="s">
        <v>12</v>
      </c>
      <c r="M1713" s="2" t="s">
        <v>55</v>
      </c>
      <c r="R1713" s="77">
        <v>3</v>
      </c>
      <c r="S1713" s="77">
        <v>2.5</v>
      </c>
      <c r="T1713" s="77">
        <v>2.5</v>
      </c>
      <c r="U1713" s="77">
        <v>2.5</v>
      </c>
      <c r="V1713" s="77">
        <v>3</v>
      </c>
      <c r="W1713" s="16" t="s">
        <v>170</v>
      </c>
      <c r="X1713" s="2" t="s">
        <v>66</v>
      </c>
      <c r="Y1713" s="27">
        <v>43543</v>
      </c>
      <c r="Z1713" s="16" t="s">
        <v>66</v>
      </c>
      <c r="AA1713" s="7">
        <v>43549</v>
      </c>
      <c r="AD1713" s="100" t="s">
        <v>4505</v>
      </c>
      <c r="AE1713" s="101" t="s">
        <v>4506</v>
      </c>
      <c r="AF1713" s="68"/>
      <c r="AG1713" s="100" t="s">
        <v>34</v>
      </c>
      <c r="AH1713" s="100" t="s">
        <v>3817</v>
      </c>
      <c r="AI1713" s="101" t="s">
        <v>4507</v>
      </c>
    </row>
    <row r="1714" spans="1:35" ht="15" customHeight="1">
      <c r="A1714" s="285"/>
      <c r="C1714" s="25">
        <v>117</v>
      </c>
      <c r="D1714" s="2">
        <v>23053</v>
      </c>
      <c r="E1714" s="2" t="s">
        <v>3906</v>
      </c>
      <c r="F1714" s="3">
        <v>28907028800291</v>
      </c>
      <c r="G1714" s="2" t="s">
        <v>34</v>
      </c>
      <c r="H1714" s="2" t="s">
        <v>3907</v>
      </c>
      <c r="I1714" s="2" t="s">
        <v>66</v>
      </c>
      <c r="J1714" s="4">
        <v>43499</v>
      </c>
      <c r="K1714" s="2" t="s">
        <v>8</v>
      </c>
      <c r="L1714" s="2" t="s">
        <v>12</v>
      </c>
      <c r="M1714" s="2" t="s">
        <v>3317</v>
      </c>
      <c r="R1714" s="77">
        <v>3</v>
      </c>
      <c r="S1714" s="77">
        <v>3</v>
      </c>
      <c r="T1714" s="77">
        <v>2.5</v>
      </c>
      <c r="U1714" s="77">
        <v>2.5</v>
      </c>
      <c r="V1714" s="77">
        <v>3</v>
      </c>
      <c r="W1714" s="16" t="s">
        <v>170</v>
      </c>
      <c r="X1714" s="2" t="s">
        <v>66</v>
      </c>
      <c r="Y1714" s="27">
        <v>43543</v>
      </c>
      <c r="Z1714" s="16" t="s">
        <v>67</v>
      </c>
      <c r="AB1714" s="2" t="s">
        <v>4185</v>
      </c>
      <c r="AD1714" s="46">
        <v>75</v>
      </c>
      <c r="AE1714" s="46">
        <v>11</v>
      </c>
      <c r="AF1714" s="68"/>
      <c r="AG1714" s="46">
        <f>AD1714-AE1714</f>
        <v>64</v>
      </c>
      <c r="AH1714" s="46">
        <v>52</v>
      </c>
      <c r="AI1714" s="46">
        <v>23</v>
      </c>
    </row>
    <row r="1715" spans="1:35" ht="15" customHeight="1">
      <c r="A1715" s="285"/>
      <c r="C1715" s="25">
        <v>117</v>
      </c>
      <c r="D1715" s="2">
        <v>23054</v>
      </c>
      <c r="E1715" s="2" t="s">
        <v>3908</v>
      </c>
      <c r="F1715" s="3">
        <v>29311271200051</v>
      </c>
      <c r="G1715" s="2" t="s">
        <v>34</v>
      </c>
      <c r="H1715" s="2" t="s">
        <v>3909</v>
      </c>
      <c r="I1715" s="2" t="s">
        <v>66</v>
      </c>
      <c r="J1715" s="4">
        <v>43499</v>
      </c>
      <c r="K1715" s="2" t="s">
        <v>8</v>
      </c>
      <c r="L1715" s="2" t="s">
        <v>12</v>
      </c>
      <c r="M1715" s="2" t="s">
        <v>404</v>
      </c>
      <c r="R1715" s="77">
        <v>3</v>
      </c>
      <c r="S1715" s="77">
        <v>2.5</v>
      </c>
      <c r="T1715" s="77">
        <v>2</v>
      </c>
      <c r="U1715" s="77">
        <v>2</v>
      </c>
      <c r="V1715" s="77">
        <v>3</v>
      </c>
      <c r="W1715" s="16" t="s">
        <v>62</v>
      </c>
      <c r="Y1715" s="7">
        <v>43523</v>
      </c>
      <c r="Z1715" s="16" t="s">
        <v>67</v>
      </c>
      <c r="AB1715" s="2" t="s">
        <v>4085</v>
      </c>
      <c r="AD1715" s="44"/>
      <c r="AE1715" s="44"/>
      <c r="AF1715" s="44"/>
      <c r="AG1715" s="44"/>
      <c r="AH1715" s="44"/>
      <c r="AI1715" s="44"/>
    </row>
    <row r="1716" spans="1:35" ht="15" customHeight="1">
      <c r="A1716" s="285"/>
      <c r="C1716" s="25">
        <v>117</v>
      </c>
      <c r="D1716" s="2">
        <v>23055</v>
      </c>
      <c r="E1716" s="2" t="s">
        <v>3910</v>
      </c>
      <c r="F1716" s="3">
        <v>29711160102023</v>
      </c>
      <c r="G1716" s="2" t="s">
        <v>3911</v>
      </c>
      <c r="H1716" s="2" t="s">
        <v>3912</v>
      </c>
      <c r="I1716" s="2" t="s">
        <v>66</v>
      </c>
      <c r="J1716" s="4">
        <v>43499</v>
      </c>
      <c r="K1716" s="2" t="s">
        <v>8</v>
      </c>
      <c r="L1716" s="2" t="s">
        <v>12</v>
      </c>
      <c r="M1716" s="2" t="s">
        <v>696</v>
      </c>
      <c r="R1716" s="77">
        <v>3</v>
      </c>
      <c r="S1716" s="77">
        <v>2.5</v>
      </c>
      <c r="T1716" s="77">
        <v>2</v>
      </c>
      <c r="U1716" s="77">
        <v>2.5</v>
      </c>
      <c r="V1716" s="77">
        <v>3</v>
      </c>
      <c r="W1716" s="16" t="s">
        <v>62</v>
      </c>
      <c r="X1716" s="2" t="s">
        <v>66</v>
      </c>
      <c r="Y1716" s="27">
        <v>43559</v>
      </c>
      <c r="Z1716" s="16" t="s">
        <v>66</v>
      </c>
      <c r="AA1716" s="7">
        <v>43584</v>
      </c>
      <c r="AD1716" s="297" t="s">
        <v>4504</v>
      </c>
      <c r="AE1716" s="297"/>
      <c r="AF1716" s="44"/>
      <c r="AG1716" s="298" t="s">
        <v>502</v>
      </c>
      <c r="AH1716" s="298"/>
      <c r="AI1716" s="44"/>
    </row>
    <row r="1717" spans="1:35" ht="15" customHeight="1">
      <c r="A1717" s="285"/>
      <c r="C1717" s="25">
        <v>117</v>
      </c>
      <c r="D1717" s="2">
        <v>23056</v>
      </c>
      <c r="E1717" s="2" t="s">
        <v>3913</v>
      </c>
      <c r="F1717" s="3">
        <v>28711232103646</v>
      </c>
      <c r="G1717" s="2" t="s">
        <v>34</v>
      </c>
      <c r="H1717" s="2" t="s">
        <v>3914</v>
      </c>
      <c r="I1717" s="2" t="s">
        <v>66</v>
      </c>
      <c r="J1717" s="4">
        <v>43499</v>
      </c>
      <c r="K1717" s="2" t="s">
        <v>8</v>
      </c>
      <c r="L1717" s="2" t="s">
        <v>12</v>
      </c>
      <c r="M1717" s="2" t="s">
        <v>1515</v>
      </c>
      <c r="R1717" s="77">
        <v>3</v>
      </c>
      <c r="S1717" s="77">
        <v>2.5</v>
      </c>
      <c r="T1717" s="77">
        <v>2.5</v>
      </c>
      <c r="U1717" s="77">
        <v>2</v>
      </c>
      <c r="V1717" s="77">
        <v>3</v>
      </c>
      <c r="W1717" s="16" t="s">
        <v>171</v>
      </c>
      <c r="X1717" s="2" t="s">
        <v>66</v>
      </c>
      <c r="Y1717" s="27">
        <v>43543</v>
      </c>
      <c r="Z1717" s="16" t="s">
        <v>66</v>
      </c>
      <c r="AA1717" s="7">
        <v>43605</v>
      </c>
      <c r="AB1717" s="2" t="s">
        <v>4367</v>
      </c>
      <c r="AD1717" s="295">
        <v>27</v>
      </c>
      <c r="AE1717" s="295"/>
      <c r="AF1717" s="44"/>
      <c r="AG1717" s="295">
        <v>0</v>
      </c>
      <c r="AH1717" s="295"/>
      <c r="AI1717" s="44"/>
    </row>
    <row r="1718" spans="1:35" ht="15" customHeight="1">
      <c r="A1718" s="285"/>
      <c r="C1718" s="25">
        <v>117</v>
      </c>
      <c r="D1718" s="2">
        <v>23057</v>
      </c>
      <c r="E1718" s="2" t="s">
        <v>3915</v>
      </c>
      <c r="F1718" s="3">
        <v>28602058800835</v>
      </c>
      <c r="G1718" s="2" t="s">
        <v>34</v>
      </c>
      <c r="H1718" s="2" t="s">
        <v>3916</v>
      </c>
      <c r="I1718" s="2" t="s">
        <v>66</v>
      </c>
      <c r="J1718" s="4">
        <v>43499</v>
      </c>
      <c r="K1718" s="2" t="s">
        <v>8</v>
      </c>
      <c r="L1718" s="2" t="s">
        <v>12</v>
      </c>
      <c r="M1718" s="2" t="s">
        <v>623</v>
      </c>
      <c r="W1718" s="16" t="s">
        <v>64</v>
      </c>
      <c r="Z1718" s="16" t="s">
        <v>67</v>
      </c>
      <c r="AD1718" s="44"/>
      <c r="AE1718" s="44"/>
      <c r="AF1718" s="44"/>
      <c r="AG1718" s="44"/>
      <c r="AH1718" s="44"/>
      <c r="AI1718" s="44"/>
    </row>
    <row r="1719" spans="1:35" ht="15" customHeight="1">
      <c r="A1719" s="285"/>
      <c r="C1719" s="25">
        <v>117</v>
      </c>
      <c r="D1719" s="2">
        <v>23058</v>
      </c>
      <c r="E1719" s="2" t="s">
        <v>3917</v>
      </c>
      <c r="F1719" s="3">
        <v>29504100102321</v>
      </c>
      <c r="G1719" s="2" t="s">
        <v>34</v>
      </c>
      <c r="H1719" s="2" t="s">
        <v>3918</v>
      </c>
      <c r="I1719" s="2" t="s">
        <v>66</v>
      </c>
      <c r="J1719" s="4">
        <v>43499</v>
      </c>
      <c r="K1719" s="2" t="s">
        <v>8</v>
      </c>
      <c r="L1719" s="2" t="s">
        <v>12</v>
      </c>
      <c r="M1719" s="2" t="s">
        <v>105</v>
      </c>
      <c r="W1719" s="75" t="s">
        <v>64</v>
      </c>
      <c r="Z1719" s="16" t="s">
        <v>67</v>
      </c>
      <c r="AD1719" s="299" t="s">
        <v>4503</v>
      </c>
      <c r="AE1719" s="299"/>
      <c r="AF1719" s="44"/>
      <c r="AG1719" s="300" t="s">
        <v>4502</v>
      </c>
      <c r="AH1719" s="300"/>
      <c r="AI1719" s="44"/>
    </row>
    <row r="1720" spans="1:35" ht="15.75" customHeight="1" thickBot="1">
      <c r="A1720" s="286"/>
      <c r="C1720" s="28">
        <v>117</v>
      </c>
      <c r="D1720" s="28">
        <v>23059</v>
      </c>
      <c r="E1720" s="28" t="s">
        <v>3919</v>
      </c>
      <c r="F1720" s="29">
        <v>29306052800979</v>
      </c>
      <c r="G1720" s="28" t="s">
        <v>34</v>
      </c>
      <c r="H1720" s="28" t="s">
        <v>3920</v>
      </c>
      <c r="I1720" s="28" t="s">
        <v>66</v>
      </c>
      <c r="J1720" s="30">
        <v>43499</v>
      </c>
      <c r="K1720" s="28" t="s">
        <v>8</v>
      </c>
      <c r="L1720" s="28" t="s">
        <v>12</v>
      </c>
      <c r="M1720" s="28" t="s">
        <v>16</v>
      </c>
      <c r="N1720" s="28"/>
      <c r="O1720" s="226"/>
      <c r="P1720" s="28"/>
      <c r="Q1720" s="226"/>
      <c r="R1720" s="37">
        <v>3</v>
      </c>
      <c r="S1720" s="37">
        <v>2.5</v>
      </c>
      <c r="T1720" s="37">
        <v>2</v>
      </c>
      <c r="U1720" s="37">
        <v>2</v>
      </c>
      <c r="V1720" s="37">
        <v>3</v>
      </c>
      <c r="W1720" s="28" t="s">
        <v>62</v>
      </c>
      <c r="X1720" s="28"/>
      <c r="Y1720" s="30">
        <v>43523</v>
      </c>
      <c r="Z1720" s="28" t="s">
        <v>66</v>
      </c>
      <c r="AA1720" s="30">
        <v>43530</v>
      </c>
      <c r="AB1720" s="28" t="s">
        <v>3967</v>
      </c>
      <c r="AD1720" s="295">
        <v>12</v>
      </c>
      <c r="AE1720" s="295"/>
      <c r="AF1720" s="44"/>
      <c r="AG1720" s="295">
        <v>25</v>
      </c>
      <c r="AH1720" s="295"/>
      <c r="AI1720" s="44"/>
    </row>
    <row r="1721" spans="1:35" ht="15.75" customHeight="1" thickTop="1">
      <c r="A1721" s="284" t="s">
        <v>3125</v>
      </c>
      <c r="C1721" s="25">
        <v>118</v>
      </c>
      <c r="D1721" s="25">
        <v>23250</v>
      </c>
      <c r="E1721" s="25" t="s">
        <v>3925</v>
      </c>
      <c r="F1721" s="26">
        <v>29803310101375</v>
      </c>
      <c r="G1721" s="25" t="s">
        <v>935</v>
      </c>
      <c r="H1721" s="25" t="s">
        <v>3926</v>
      </c>
      <c r="I1721" s="25" t="s">
        <v>66</v>
      </c>
      <c r="J1721" s="27">
        <v>43506</v>
      </c>
      <c r="K1721" s="25" t="s">
        <v>8</v>
      </c>
      <c r="L1721" s="25" t="s">
        <v>12</v>
      </c>
      <c r="M1721" s="25" t="s">
        <v>551</v>
      </c>
      <c r="N1721" s="25"/>
      <c r="O1721" s="224"/>
      <c r="P1721" s="25"/>
      <c r="Q1721" s="224"/>
      <c r="R1721" s="77">
        <v>3</v>
      </c>
      <c r="S1721" s="77">
        <v>3</v>
      </c>
      <c r="T1721" s="77">
        <v>2</v>
      </c>
      <c r="U1721" s="77">
        <v>2.5</v>
      </c>
      <c r="V1721" s="77">
        <v>3</v>
      </c>
      <c r="W1721" s="25" t="s">
        <v>61</v>
      </c>
      <c r="X1721" s="25"/>
      <c r="Y1721" s="27">
        <v>43530</v>
      </c>
      <c r="Z1721" s="25" t="s">
        <v>66</v>
      </c>
      <c r="AA1721" s="27">
        <v>43541</v>
      </c>
      <c r="AB1721" s="25"/>
      <c r="AD1721" s="44"/>
      <c r="AE1721" s="44"/>
      <c r="AF1721" s="44"/>
      <c r="AG1721" s="44"/>
      <c r="AH1721" s="44"/>
      <c r="AI1721" s="44"/>
    </row>
    <row r="1722" spans="1:35" ht="15" customHeight="1">
      <c r="A1722" s="285"/>
      <c r="C1722" s="25">
        <v>118</v>
      </c>
      <c r="D1722" s="2">
        <v>23251</v>
      </c>
      <c r="E1722" s="2" t="s">
        <v>3927</v>
      </c>
      <c r="F1722" s="3">
        <v>28810010101732</v>
      </c>
      <c r="G1722" s="2" t="s">
        <v>34</v>
      </c>
      <c r="H1722" s="2" t="s">
        <v>3928</v>
      </c>
      <c r="I1722" s="2" t="s">
        <v>66</v>
      </c>
      <c r="J1722" s="4">
        <v>43506</v>
      </c>
      <c r="K1722" s="2" t="s">
        <v>8</v>
      </c>
      <c r="L1722" s="2" t="s">
        <v>12</v>
      </c>
      <c r="M1722" s="2" t="s">
        <v>3370</v>
      </c>
      <c r="R1722" s="77">
        <v>3</v>
      </c>
      <c r="S1722" s="77">
        <v>2</v>
      </c>
      <c r="T1722" s="77">
        <v>2.5</v>
      </c>
      <c r="U1722" s="77">
        <v>2</v>
      </c>
      <c r="V1722" s="77">
        <v>3</v>
      </c>
      <c r="W1722" s="16" t="s">
        <v>62</v>
      </c>
      <c r="Y1722" s="7">
        <v>43530</v>
      </c>
      <c r="Z1722" s="16" t="s">
        <v>66</v>
      </c>
      <c r="AA1722" s="7">
        <v>43549</v>
      </c>
      <c r="AB1722" s="2" t="s">
        <v>3967</v>
      </c>
      <c r="AD1722" s="44"/>
      <c r="AE1722" s="301" t="s">
        <v>4509</v>
      </c>
      <c r="AF1722" s="301"/>
      <c r="AG1722" s="301"/>
      <c r="AH1722" s="44"/>
      <c r="AI1722" s="44"/>
    </row>
    <row r="1723" spans="1:35" ht="15" customHeight="1">
      <c r="A1723" s="285"/>
      <c r="C1723" s="25">
        <v>118</v>
      </c>
      <c r="D1723" s="2">
        <v>23252</v>
      </c>
      <c r="E1723" s="2" t="s">
        <v>3929</v>
      </c>
      <c r="F1723" s="3">
        <v>29611110102052</v>
      </c>
      <c r="G1723" s="2" t="s">
        <v>34</v>
      </c>
      <c r="H1723" s="2" t="s">
        <v>3930</v>
      </c>
      <c r="I1723" s="2" t="s">
        <v>66</v>
      </c>
      <c r="J1723" s="4">
        <v>43506</v>
      </c>
      <c r="K1723" s="2" t="s">
        <v>8</v>
      </c>
      <c r="L1723" s="2" t="s">
        <v>12</v>
      </c>
      <c r="M1723" s="2" t="s">
        <v>103</v>
      </c>
      <c r="R1723" s="77">
        <v>3</v>
      </c>
      <c r="S1723" s="77">
        <v>2.5</v>
      </c>
      <c r="T1723" s="77">
        <v>2</v>
      </c>
      <c r="U1723" s="77">
        <v>2.5</v>
      </c>
      <c r="V1723" s="77">
        <v>3</v>
      </c>
      <c r="W1723" s="16" t="s">
        <v>61</v>
      </c>
      <c r="Y1723" s="7">
        <v>43530</v>
      </c>
      <c r="Z1723" s="16" t="s">
        <v>66</v>
      </c>
      <c r="AA1723" s="27">
        <v>43541</v>
      </c>
      <c r="AD1723" s="44"/>
      <c r="AE1723" s="295">
        <v>0</v>
      </c>
      <c r="AF1723" s="295"/>
      <c r="AG1723" s="295"/>
      <c r="AH1723" s="44"/>
      <c r="AI1723" s="44"/>
    </row>
    <row r="1724" spans="1:35" ht="15" customHeight="1">
      <c r="A1724" s="285"/>
      <c r="C1724" s="25">
        <v>118</v>
      </c>
      <c r="D1724" s="2">
        <v>23253</v>
      </c>
      <c r="E1724" s="2" t="s">
        <v>3931</v>
      </c>
      <c r="F1724" s="3">
        <v>29110010120691</v>
      </c>
      <c r="G1724" s="2" t="s">
        <v>129</v>
      </c>
      <c r="H1724" s="2" t="s">
        <v>3932</v>
      </c>
      <c r="I1724" s="2" t="s">
        <v>66</v>
      </c>
      <c r="J1724" s="4">
        <v>43506</v>
      </c>
      <c r="K1724" s="2" t="s">
        <v>8</v>
      </c>
      <c r="L1724" s="2" t="s">
        <v>12</v>
      </c>
      <c r="M1724" s="2" t="s">
        <v>55</v>
      </c>
      <c r="R1724" s="77">
        <v>3</v>
      </c>
      <c r="S1724" s="77">
        <v>2.5</v>
      </c>
      <c r="T1724" s="77">
        <v>2</v>
      </c>
      <c r="U1724" s="77">
        <v>2.5</v>
      </c>
      <c r="V1724" s="77">
        <v>3</v>
      </c>
      <c r="W1724" s="16" t="s">
        <v>62</v>
      </c>
      <c r="X1724" s="2" t="s">
        <v>66</v>
      </c>
      <c r="Y1724" s="27">
        <v>43559</v>
      </c>
      <c r="Z1724" s="16" t="s">
        <v>66</v>
      </c>
      <c r="AA1724" s="7">
        <v>43570</v>
      </c>
    </row>
    <row r="1725" spans="1:35" ht="15" customHeight="1">
      <c r="A1725" s="285"/>
      <c r="C1725" s="25">
        <v>118</v>
      </c>
      <c r="D1725" s="2">
        <v>23254</v>
      </c>
      <c r="E1725" s="2" t="s">
        <v>3933</v>
      </c>
      <c r="F1725" s="3">
        <v>29404040300034</v>
      </c>
      <c r="G1725" s="2" t="s">
        <v>34</v>
      </c>
      <c r="H1725" s="2" t="s">
        <v>3934</v>
      </c>
      <c r="I1725" s="2" t="s">
        <v>66</v>
      </c>
      <c r="J1725" s="4">
        <v>43506</v>
      </c>
      <c r="K1725" s="2" t="s">
        <v>8</v>
      </c>
      <c r="L1725" s="2" t="s">
        <v>12</v>
      </c>
      <c r="M1725" s="2" t="s">
        <v>103</v>
      </c>
      <c r="R1725" s="77">
        <v>3</v>
      </c>
      <c r="S1725" s="77">
        <v>2.5</v>
      </c>
      <c r="T1725" s="77">
        <v>2</v>
      </c>
      <c r="U1725" s="77">
        <v>2.5</v>
      </c>
      <c r="V1725" s="77">
        <v>3</v>
      </c>
      <c r="W1725" s="16" t="s">
        <v>171</v>
      </c>
      <c r="Y1725" s="7">
        <v>43530</v>
      </c>
      <c r="Z1725" s="16" t="s">
        <v>66</v>
      </c>
      <c r="AA1725" s="7">
        <v>43597</v>
      </c>
      <c r="AB1725" s="2" t="s">
        <v>3956</v>
      </c>
    </row>
    <row r="1726" spans="1:35" ht="15" customHeight="1">
      <c r="A1726" s="285"/>
      <c r="C1726" s="25">
        <v>118</v>
      </c>
      <c r="D1726" s="2">
        <v>23255</v>
      </c>
      <c r="E1726" s="2" t="s">
        <v>3935</v>
      </c>
      <c r="F1726" s="3">
        <v>28501228800664</v>
      </c>
      <c r="G1726" s="2" t="s">
        <v>34</v>
      </c>
      <c r="H1726" s="2" t="s">
        <v>3936</v>
      </c>
      <c r="I1726" s="2" t="s">
        <v>66</v>
      </c>
      <c r="J1726" s="4">
        <v>43506</v>
      </c>
      <c r="K1726" s="2" t="s">
        <v>8</v>
      </c>
      <c r="L1726" s="2" t="s">
        <v>12</v>
      </c>
      <c r="M1726" s="2" t="s">
        <v>55</v>
      </c>
      <c r="R1726" s="77">
        <v>3</v>
      </c>
      <c r="S1726" s="77">
        <v>3</v>
      </c>
      <c r="T1726" s="77">
        <v>2.5</v>
      </c>
      <c r="U1726" s="77">
        <v>2</v>
      </c>
      <c r="V1726" s="77">
        <v>2.5</v>
      </c>
      <c r="W1726" s="16" t="s">
        <v>62</v>
      </c>
      <c r="X1726" s="2" t="s">
        <v>66</v>
      </c>
      <c r="Y1726" s="27">
        <v>43559</v>
      </c>
      <c r="Z1726" s="16" t="s">
        <v>67</v>
      </c>
      <c r="AB1726" s="2" t="s">
        <v>5104</v>
      </c>
    </row>
    <row r="1727" spans="1:35" ht="15" customHeight="1">
      <c r="A1727" s="285"/>
      <c r="C1727" s="25">
        <v>118</v>
      </c>
      <c r="D1727" s="2">
        <v>23256</v>
      </c>
      <c r="E1727" s="2" t="s">
        <v>3937</v>
      </c>
      <c r="F1727" s="3">
        <v>28704160104395</v>
      </c>
      <c r="G1727" s="2" t="s">
        <v>129</v>
      </c>
      <c r="H1727" s="2" t="s">
        <v>3938</v>
      </c>
      <c r="I1727" s="2" t="s">
        <v>66</v>
      </c>
      <c r="J1727" s="4">
        <v>43506</v>
      </c>
      <c r="K1727" s="2" t="s">
        <v>8</v>
      </c>
      <c r="L1727" s="2" t="s">
        <v>12</v>
      </c>
      <c r="M1727" s="2" t="s">
        <v>3370</v>
      </c>
      <c r="R1727" s="77">
        <v>3</v>
      </c>
      <c r="S1727" s="77">
        <v>2.5</v>
      </c>
      <c r="T1727" s="77">
        <v>2</v>
      </c>
      <c r="U1727" s="77">
        <v>2</v>
      </c>
      <c r="V1727" s="77">
        <v>3</v>
      </c>
      <c r="W1727" s="16" t="s">
        <v>62</v>
      </c>
      <c r="Y1727" s="7">
        <v>43530</v>
      </c>
      <c r="Z1727" s="16" t="s">
        <v>66</v>
      </c>
      <c r="AB1727" s="2" t="s">
        <v>4084</v>
      </c>
    </row>
    <row r="1728" spans="1:35" ht="15" customHeight="1">
      <c r="A1728" s="285"/>
      <c r="C1728" s="25">
        <v>118</v>
      </c>
      <c r="D1728" s="2">
        <v>23257</v>
      </c>
      <c r="E1728" s="2" t="s">
        <v>3939</v>
      </c>
      <c r="F1728" s="3">
        <v>28911238800747</v>
      </c>
      <c r="G1728" s="2" t="s">
        <v>129</v>
      </c>
      <c r="H1728" s="2" t="s">
        <v>3940</v>
      </c>
      <c r="I1728" s="2" t="s">
        <v>66</v>
      </c>
      <c r="J1728" s="4">
        <v>43506</v>
      </c>
      <c r="K1728" s="2" t="s">
        <v>8</v>
      </c>
      <c r="L1728" s="2" t="s">
        <v>12</v>
      </c>
      <c r="M1728" s="2" t="s">
        <v>103</v>
      </c>
      <c r="R1728" s="77">
        <v>3</v>
      </c>
      <c r="S1728" s="77">
        <v>2.5</v>
      </c>
      <c r="T1728" s="77">
        <v>2</v>
      </c>
      <c r="U1728" s="77">
        <v>2</v>
      </c>
      <c r="V1728" s="77">
        <v>3</v>
      </c>
      <c r="W1728" s="16" t="s">
        <v>63</v>
      </c>
      <c r="X1728" s="2" t="s">
        <v>67</v>
      </c>
      <c r="Z1728" s="16" t="s">
        <v>67</v>
      </c>
      <c r="AB1728" s="2" t="s">
        <v>3857</v>
      </c>
    </row>
    <row r="1729" spans="1:28" ht="15" customHeight="1">
      <c r="A1729" s="285"/>
      <c r="C1729" s="25">
        <v>118</v>
      </c>
      <c r="D1729" s="2">
        <v>23258</v>
      </c>
      <c r="E1729" s="2" t="s">
        <v>3941</v>
      </c>
      <c r="F1729" s="3">
        <v>29511078800163</v>
      </c>
      <c r="G1729" s="2" t="s">
        <v>34</v>
      </c>
      <c r="H1729" s="2" t="s">
        <v>3942</v>
      </c>
      <c r="I1729" s="2" t="s">
        <v>66</v>
      </c>
      <c r="J1729" s="4">
        <v>43506</v>
      </c>
      <c r="K1729" s="2" t="s">
        <v>8</v>
      </c>
      <c r="L1729" s="2" t="s">
        <v>12</v>
      </c>
      <c r="M1729" s="2" t="s">
        <v>3317</v>
      </c>
      <c r="R1729" s="77">
        <v>3</v>
      </c>
      <c r="S1729" s="77">
        <v>2.5</v>
      </c>
      <c r="T1729" s="77">
        <v>2</v>
      </c>
      <c r="U1729" s="77">
        <v>2.5</v>
      </c>
      <c r="V1729" s="77">
        <v>3</v>
      </c>
      <c r="W1729" s="16" t="s">
        <v>62</v>
      </c>
      <c r="X1729" s="2" t="s">
        <v>66</v>
      </c>
      <c r="Y1729" s="27">
        <v>43559</v>
      </c>
      <c r="Z1729" s="16" t="s">
        <v>66</v>
      </c>
      <c r="AA1729" s="7">
        <v>43562</v>
      </c>
      <c r="AB1729" s="2" t="s">
        <v>4657</v>
      </c>
    </row>
    <row r="1730" spans="1:28" ht="15" customHeight="1">
      <c r="A1730" s="285"/>
      <c r="C1730" s="25">
        <v>118</v>
      </c>
      <c r="D1730" s="2">
        <v>23259</v>
      </c>
      <c r="E1730" s="2" t="s">
        <v>3943</v>
      </c>
      <c r="F1730" s="3">
        <v>29507041401679</v>
      </c>
      <c r="G1730" s="2" t="s">
        <v>935</v>
      </c>
      <c r="H1730" s="2" t="s">
        <v>3944</v>
      </c>
      <c r="I1730" s="2" t="s">
        <v>66</v>
      </c>
      <c r="J1730" s="4">
        <v>43506</v>
      </c>
      <c r="K1730" s="2" t="s">
        <v>8</v>
      </c>
      <c r="L1730" s="2" t="s">
        <v>12</v>
      </c>
      <c r="M1730" s="2" t="s">
        <v>147</v>
      </c>
      <c r="R1730" s="77">
        <v>3</v>
      </c>
      <c r="S1730" s="77">
        <v>2.5</v>
      </c>
      <c r="T1730" s="77">
        <v>2</v>
      </c>
      <c r="U1730" s="77">
        <v>2.5</v>
      </c>
      <c r="V1730" s="77">
        <v>3</v>
      </c>
      <c r="W1730" s="16" t="s">
        <v>171</v>
      </c>
      <c r="Y1730" s="7">
        <v>43530</v>
      </c>
      <c r="Z1730" s="16" t="s">
        <v>66</v>
      </c>
      <c r="AA1730" s="7">
        <v>43565</v>
      </c>
      <c r="AB1730" s="2" t="s">
        <v>3956</v>
      </c>
    </row>
    <row r="1731" spans="1:28" ht="15" customHeight="1">
      <c r="A1731" s="285"/>
      <c r="C1731" s="25">
        <v>118</v>
      </c>
      <c r="D1731" s="2">
        <v>23260</v>
      </c>
      <c r="E1731" s="2" t="s">
        <v>3945</v>
      </c>
      <c r="F1731" s="3">
        <v>29301180106153</v>
      </c>
      <c r="G1731" s="2" t="s">
        <v>34</v>
      </c>
      <c r="H1731" s="2" t="s">
        <v>3946</v>
      </c>
      <c r="I1731" s="2" t="s">
        <v>66</v>
      </c>
      <c r="J1731" s="4">
        <v>43506</v>
      </c>
      <c r="K1731" s="2" t="s">
        <v>8</v>
      </c>
      <c r="L1731" s="2" t="s">
        <v>12</v>
      </c>
      <c r="M1731" s="2" t="s">
        <v>226</v>
      </c>
      <c r="W1731" s="16" t="s">
        <v>64</v>
      </c>
      <c r="Z1731" s="16" t="s">
        <v>67</v>
      </c>
    </row>
    <row r="1732" spans="1:28" ht="15" customHeight="1">
      <c r="A1732" s="285"/>
      <c r="C1732" s="25">
        <v>118</v>
      </c>
      <c r="D1732" s="2">
        <v>23261</v>
      </c>
      <c r="E1732" s="2" t="s">
        <v>3947</v>
      </c>
      <c r="F1732" s="3">
        <v>28912250200115</v>
      </c>
      <c r="G1732" s="2" t="s">
        <v>34</v>
      </c>
      <c r="H1732" s="2" t="s">
        <v>3948</v>
      </c>
      <c r="I1732" s="2" t="s">
        <v>66</v>
      </c>
      <c r="J1732" s="4">
        <v>43506</v>
      </c>
      <c r="K1732" s="2" t="s">
        <v>8</v>
      </c>
      <c r="L1732" s="2" t="s">
        <v>12</v>
      </c>
      <c r="M1732" s="2" t="s">
        <v>103</v>
      </c>
      <c r="R1732" s="77">
        <v>3</v>
      </c>
      <c r="S1732" s="77">
        <v>3</v>
      </c>
      <c r="T1732" s="77">
        <v>2.5</v>
      </c>
      <c r="U1732" s="77">
        <v>2.5</v>
      </c>
      <c r="V1732" s="77">
        <v>3</v>
      </c>
      <c r="W1732" s="16" t="s">
        <v>60</v>
      </c>
      <c r="Y1732" s="7">
        <v>43530</v>
      </c>
      <c r="Z1732" s="16" t="s">
        <v>66</v>
      </c>
      <c r="AA1732" s="7">
        <v>43535</v>
      </c>
    </row>
    <row r="1733" spans="1:28" ht="15.75" customHeight="1">
      <c r="A1733" s="285"/>
      <c r="C1733" s="25">
        <v>118</v>
      </c>
      <c r="D1733" s="2">
        <v>23262</v>
      </c>
      <c r="E1733" s="2" t="s">
        <v>3949</v>
      </c>
      <c r="F1733" s="3">
        <v>29603010111574</v>
      </c>
      <c r="G1733" s="2" t="s">
        <v>34</v>
      </c>
      <c r="H1733" s="2" t="s">
        <v>3950</v>
      </c>
      <c r="I1733" s="2" t="s">
        <v>66</v>
      </c>
      <c r="J1733" s="4">
        <v>43506</v>
      </c>
      <c r="K1733" s="2" t="s">
        <v>8</v>
      </c>
      <c r="L1733" s="2" t="s">
        <v>12</v>
      </c>
      <c r="M1733" s="2" t="s">
        <v>3752</v>
      </c>
      <c r="R1733" s="77">
        <v>3</v>
      </c>
      <c r="S1733" s="77">
        <v>2.5</v>
      </c>
      <c r="T1733" s="77">
        <v>2.5</v>
      </c>
      <c r="U1733" s="77">
        <v>2.5</v>
      </c>
      <c r="V1733" s="77">
        <v>3</v>
      </c>
      <c r="W1733" s="16" t="s">
        <v>170</v>
      </c>
      <c r="X1733" s="2" t="s">
        <v>66</v>
      </c>
      <c r="Y1733" s="27">
        <v>43559</v>
      </c>
      <c r="Z1733" s="16" t="s">
        <v>66</v>
      </c>
      <c r="AA1733" s="7">
        <v>43562</v>
      </c>
    </row>
    <row r="1734" spans="1:28" ht="15.75" customHeight="1">
      <c r="A1734" s="285"/>
      <c r="C1734" s="25">
        <v>118</v>
      </c>
      <c r="D1734" s="2">
        <v>23263</v>
      </c>
      <c r="E1734" s="2" t="s">
        <v>3951</v>
      </c>
      <c r="F1734" s="3">
        <v>29408090103839</v>
      </c>
      <c r="G1734" s="2" t="s">
        <v>34</v>
      </c>
      <c r="H1734" s="2" t="s">
        <v>3952</v>
      </c>
      <c r="I1734" s="2" t="s">
        <v>66</v>
      </c>
      <c r="J1734" s="4">
        <v>43506</v>
      </c>
      <c r="K1734" s="2" t="s">
        <v>8</v>
      </c>
      <c r="L1734" s="2" t="s">
        <v>12</v>
      </c>
      <c r="M1734" s="2" t="s">
        <v>768</v>
      </c>
      <c r="R1734" s="77">
        <v>3</v>
      </c>
      <c r="S1734" s="77">
        <v>2.5</v>
      </c>
      <c r="T1734" s="77">
        <v>2.5</v>
      </c>
      <c r="U1734" s="77">
        <v>2.5</v>
      </c>
      <c r="V1734" s="77">
        <v>3</v>
      </c>
      <c r="W1734" s="75" t="s">
        <v>170</v>
      </c>
      <c r="X1734" s="2" t="s">
        <v>66</v>
      </c>
      <c r="Y1734" s="27">
        <v>43559</v>
      </c>
      <c r="Z1734" s="16" t="s">
        <v>66</v>
      </c>
      <c r="AA1734" s="7">
        <v>43562</v>
      </c>
    </row>
    <row r="1735" spans="1:28" ht="15.75" customHeight="1" thickBot="1">
      <c r="A1735" s="286"/>
      <c r="C1735" s="28">
        <v>118</v>
      </c>
      <c r="D1735" s="28">
        <v>19161</v>
      </c>
      <c r="E1735" s="28" t="s">
        <v>3953</v>
      </c>
      <c r="F1735" s="29">
        <v>27903080102293</v>
      </c>
      <c r="G1735" s="28" t="s">
        <v>34</v>
      </c>
      <c r="H1735" s="28" t="s">
        <v>3954</v>
      </c>
      <c r="I1735" s="28" t="s">
        <v>67</v>
      </c>
      <c r="J1735" s="30">
        <v>43506</v>
      </c>
      <c r="K1735" s="28" t="s">
        <v>8</v>
      </c>
      <c r="L1735" s="28" t="s">
        <v>12</v>
      </c>
      <c r="M1735" s="28" t="s">
        <v>55</v>
      </c>
      <c r="N1735" s="28"/>
      <c r="O1735" s="226"/>
      <c r="P1735" s="28"/>
      <c r="Q1735" s="226"/>
      <c r="R1735" s="37">
        <v>3</v>
      </c>
      <c r="S1735" s="37">
        <v>2.5</v>
      </c>
      <c r="T1735" s="37">
        <v>2</v>
      </c>
      <c r="U1735" s="37">
        <v>2</v>
      </c>
      <c r="V1735" s="37">
        <v>3</v>
      </c>
      <c r="W1735" s="28" t="s">
        <v>63</v>
      </c>
      <c r="X1735" s="28" t="s">
        <v>66</v>
      </c>
      <c r="Y1735" s="30"/>
      <c r="Z1735" s="28" t="s">
        <v>67</v>
      </c>
      <c r="AA1735" s="30"/>
      <c r="AB1735" s="28" t="s">
        <v>3966</v>
      </c>
    </row>
    <row r="1736" spans="1:28" ht="15.75" customHeight="1" thickTop="1">
      <c r="A1736" s="284" t="s">
        <v>3128</v>
      </c>
      <c r="C1736" s="25">
        <v>119</v>
      </c>
      <c r="D1736" s="25">
        <v>23317</v>
      </c>
      <c r="E1736" s="25" t="s">
        <v>3969</v>
      </c>
      <c r="F1736" s="26">
        <v>29811220101417</v>
      </c>
      <c r="G1736" s="25" t="s">
        <v>3970</v>
      </c>
      <c r="H1736" s="25" t="s">
        <v>3971</v>
      </c>
      <c r="I1736" s="25" t="s">
        <v>66</v>
      </c>
      <c r="J1736" s="27">
        <v>43514</v>
      </c>
      <c r="K1736" s="25" t="s">
        <v>8</v>
      </c>
      <c r="L1736" s="25" t="s">
        <v>12</v>
      </c>
      <c r="M1736" s="25" t="s">
        <v>109</v>
      </c>
      <c r="N1736" s="25"/>
      <c r="O1736" s="224"/>
      <c r="P1736" s="25"/>
      <c r="Q1736" s="224"/>
      <c r="R1736" s="77">
        <v>3</v>
      </c>
      <c r="S1736" s="77">
        <v>2.5</v>
      </c>
      <c r="T1736" s="77">
        <v>2.5</v>
      </c>
      <c r="U1736" s="77">
        <v>2.5</v>
      </c>
      <c r="V1736" s="77">
        <v>3</v>
      </c>
      <c r="W1736" s="25" t="s">
        <v>170</v>
      </c>
      <c r="X1736" s="25"/>
      <c r="Y1736" s="27">
        <v>43538</v>
      </c>
      <c r="Z1736" s="25" t="s">
        <v>66</v>
      </c>
      <c r="AA1736" s="27">
        <v>43549</v>
      </c>
      <c r="AB1736" s="25"/>
    </row>
    <row r="1737" spans="1:28" ht="15" customHeight="1">
      <c r="A1737" s="285"/>
      <c r="C1737" s="25">
        <v>119</v>
      </c>
      <c r="D1737" s="2">
        <v>23318</v>
      </c>
      <c r="E1737" s="2" t="s">
        <v>3972</v>
      </c>
      <c r="F1737" s="3">
        <v>28508180103804</v>
      </c>
      <c r="G1737" s="2" t="s">
        <v>129</v>
      </c>
      <c r="H1737" s="2" t="s">
        <v>3973</v>
      </c>
      <c r="I1737" s="2" t="s">
        <v>66</v>
      </c>
      <c r="J1737" s="4">
        <v>43514</v>
      </c>
      <c r="K1737" s="2" t="s">
        <v>8</v>
      </c>
      <c r="L1737" s="2" t="s">
        <v>12</v>
      </c>
      <c r="M1737" s="2" t="s">
        <v>105</v>
      </c>
      <c r="R1737" s="77">
        <v>3</v>
      </c>
      <c r="S1737" s="77">
        <v>2.5</v>
      </c>
      <c r="T1737" s="77">
        <v>2</v>
      </c>
      <c r="U1737" s="77">
        <v>2</v>
      </c>
      <c r="V1737" s="77">
        <v>3</v>
      </c>
      <c r="W1737" s="16" t="s">
        <v>62</v>
      </c>
      <c r="Y1737" s="7">
        <v>43538</v>
      </c>
      <c r="Z1737" s="16" t="s">
        <v>67</v>
      </c>
      <c r="AB1737" s="2" t="s">
        <v>4086</v>
      </c>
    </row>
    <row r="1738" spans="1:28" ht="15" customHeight="1">
      <c r="A1738" s="285"/>
      <c r="C1738" s="25">
        <v>119</v>
      </c>
      <c r="D1738" s="2">
        <v>23319</v>
      </c>
      <c r="E1738" s="2" t="s">
        <v>3974</v>
      </c>
      <c r="F1738" s="3">
        <v>29507180104263</v>
      </c>
      <c r="G1738" s="2" t="s">
        <v>129</v>
      </c>
      <c r="H1738" s="2" t="s">
        <v>3975</v>
      </c>
      <c r="I1738" s="2" t="s">
        <v>66</v>
      </c>
      <c r="J1738" s="4">
        <v>43514</v>
      </c>
      <c r="K1738" s="2" t="s">
        <v>8</v>
      </c>
      <c r="L1738" s="2" t="s">
        <v>12</v>
      </c>
      <c r="M1738" s="2" t="s">
        <v>197</v>
      </c>
      <c r="R1738" s="77">
        <v>3</v>
      </c>
      <c r="S1738" s="77">
        <v>3</v>
      </c>
      <c r="T1738" s="77">
        <v>2</v>
      </c>
      <c r="U1738" s="77">
        <v>2.5</v>
      </c>
      <c r="V1738" s="77">
        <v>3</v>
      </c>
      <c r="W1738" s="16" t="s">
        <v>171</v>
      </c>
      <c r="Y1738" s="7">
        <v>43538</v>
      </c>
      <c r="Z1738" s="16" t="s">
        <v>67</v>
      </c>
    </row>
    <row r="1739" spans="1:28" ht="15.75" customHeight="1">
      <c r="A1739" s="285"/>
      <c r="C1739" s="25">
        <v>119</v>
      </c>
      <c r="D1739" s="2">
        <v>23320</v>
      </c>
      <c r="E1739" s="2" t="s">
        <v>3976</v>
      </c>
      <c r="F1739" s="3">
        <v>29907158800734</v>
      </c>
      <c r="G1739" s="2" t="s">
        <v>3911</v>
      </c>
      <c r="H1739" s="2" t="s">
        <v>3977</v>
      </c>
      <c r="I1739" s="2" t="s">
        <v>66</v>
      </c>
      <c r="J1739" s="4">
        <v>43514</v>
      </c>
      <c r="K1739" s="2" t="s">
        <v>8</v>
      </c>
      <c r="L1739" s="2" t="s">
        <v>12</v>
      </c>
      <c r="M1739" s="2" t="s">
        <v>3752</v>
      </c>
      <c r="R1739" s="77">
        <v>3</v>
      </c>
      <c r="S1739" s="77">
        <v>2.5</v>
      </c>
      <c r="T1739" s="77">
        <v>2.5</v>
      </c>
      <c r="U1739" s="77">
        <v>2</v>
      </c>
      <c r="V1739" s="77">
        <v>3</v>
      </c>
      <c r="W1739" s="25" t="s">
        <v>170</v>
      </c>
      <c r="X1739" s="2" t="s">
        <v>66</v>
      </c>
      <c r="Y1739" s="27">
        <v>43559</v>
      </c>
      <c r="Z1739" s="16" t="s">
        <v>66</v>
      </c>
      <c r="AA1739" s="7">
        <v>43562</v>
      </c>
      <c r="AB1739" s="2" t="s">
        <v>6458</v>
      </c>
    </row>
    <row r="1740" spans="1:28" ht="15" customHeight="1">
      <c r="A1740" s="285"/>
      <c r="C1740" s="25">
        <v>119</v>
      </c>
      <c r="D1740" s="2">
        <v>23321</v>
      </c>
      <c r="E1740" s="2" t="s">
        <v>3978</v>
      </c>
      <c r="F1740" s="3">
        <v>29408201701706</v>
      </c>
      <c r="G1740" s="2" t="s">
        <v>129</v>
      </c>
      <c r="H1740" s="2" t="s">
        <v>3979</v>
      </c>
      <c r="I1740" s="2" t="s">
        <v>66</v>
      </c>
      <c r="J1740" s="4">
        <v>43514</v>
      </c>
      <c r="K1740" s="2" t="s">
        <v>8</v>
      </c>
      <c r="L1740" s="2" t="s">
        <v>12</v>
      </c>
      <c r="M1740" s="2" t="s">
        <v>488</v>
      </c>
      <c r="R1740" s="77">
        <v>3</v>
      </c>
      <c r="S1740" s="77">
        <v>2.5</v>
      </c>
      <c r="T1740" s="77">
        <v>2.5</v>
      </c>
      <c r="U1740" s="77">
        <v>2</v>
      </c>
      <c r="V1740" s="77">
        <v>3</v>
      </c>
      <c r="W1740" s="75" t="s">
        <v>62</v>
      </c>
      <c r="X1740" s="2" t="s">
        <v>66</v>
      </c>
      <c r="Y1740" s="27">
        <v>43559</v>
      </c>
      <c r="Z1740" s="16" t="s">
        <v>67</v>
      </c>
      <c r="AB1740" s="2" t="s">
        <v>5103</v>
      </c>
    </row>
    <row r="1741" spans="1:28" ht="15" customHeight="1">
      <c r="A1741" s="285"/>
      <c r="C1741" s="25">
        <v>119</v>
      </c>
      <c r="D1741" s="2">
        <v>23322</v>
      </c>
      <c r="E1741" s="2" t="s">
        <v>3980</v>
      </c>
      <c r="F1741" s="3">
        <v>29602048800954</v>
      </c>
      <c r="G1741" s="2" t="s">
        <v>129</v>
      </c>
      <c r="H1741" s="2" t="s">
        <v>3981</v>
      </c>
      <c r="I1741" s="2" t="s">
        <v>66</v>
      </c>
      <c r="J1741" s="4">
        <v>43514</v>
      </c>
      <c r="K1741" s="2" t="s">
        <v>8</v>
      </c>
      <c r="L1741" s="2" t="s">
        <v>12</v>
      </c>
      <c r="M1741" s="2" t="s">
        <v>103</v>
      </c>
      <c r="W1741" s="16" t="s">
        <v>64</v>
      </c>
      <c r="Z1741" s="16" t="s">
        <v>67</v>
      </c>
    </row>
    <row r="1742" spans="1:28" ht="15" customHeight="1">
      <c r="A1742" s="285"/>
      <c r="C1742" s="25">
        <v>119</v>
      </c>
      <c r="D1742" s="2">
        <v>23323</v>
      </c>
      <c r="E1742" s="2" t="s">
        <v>3982</v>
      </c>
      <c r="F1742" s="3">
        <v>28707172103237</v>
      </c>
      <c r="G1742" s="2" t="s">
        <v>129</v>
      </c>
      <c r="H1742" s="2" t="s">
        <v>3983</v>
      </c>
      <c r="I1742" s="2" t="s">
        <v>66</v>
      </c>
      <c r="J1742" s="4">
        <v>43514</v>
      </c>
      <c r="K1742" s="2" t="s">
        <v>8</v>
      </c>
      <c r="L1742" s="2" t="s">
        <v>12</v>
      </c>
      <c r="M1742" s="2" t="s">
        <v>3173</v>
      </c>
      <c r="R1742" s="77">
        <v>3</v>
      </c>
      <c r="S1742" s="77">
        <v>3</v>
      </c>
      <c r="T1742" s="77">
        <v>2.5</v>
      </c>
      <c r="U1742" s="77">
        <v>2.5</v>
      </c>
      <c r="V1742" s="77">
        <v>3</v>
      </c>
      <c r="W1742" s="16" t="s">
        <v>61</v>
      </c>
      <c r="Y1742" s="7">
        <v>43538</v>
      </c>
      <c r="Z1742" s="16" t="s">
        <v>66</v>
      </c>
      <c r="AA1742" s="7">
        <v>43541</v>
      </c>
    </row>
    <row r="1743" spans="1:28" ht="15" customHeight="1">
      <c r="A1743" s="285"/>
      <c r="C1743" s="25">
        <v>119</v>
      </c>
      <c r="D1743" s="2">
        <v>23324</v>
      </c>
      <c r="E1743" s="2" t="s">
        <v>3984</v>
      </c>
      <c r="F1743" s="3">
        <v>29009190102854</v>
      </c>
      <c r="G1743" s="2" t="s">
        <v>34</v>
      </c>
      <c r="H1743" s="2" t="s">
        <v>3985</v>
      </c>
      <c r="I1743" s="2" t="s">
        <v>66</v>
      </c>
      <c r="J1743" s="4">
        <v>43514</v>
      </c>
      <c r="K1743" s="2" t="s">
        <v>8</v>
      </c>
      <c r="L1743" s="2" t="s">
        <v>12</v>
      </c>
      <c r="M1743" s="2" t="s">
        <v>3986</v>
      </c>
      <c r="R1743" s="77">
        <v>3</v>
      </c>
      <c r="S1743" s="77">
        <v>2.5</v>
      </c>
      <c r="T1743" s="77">
        <v>2.5</v>
      </c>
      <c r="U1743" s="77">
        <v>2.5</v>
      </c>
      <c r="V1743" s="77">
        <v>3</v>
      </c>
      <c r="W1743" s="16" t="s">
        <v>60</v>
      </c>
      <c r="Y1743" s="7">
        <v>43538</v>
      </c>
      <c r="Z1743" s="16" t="s">
        <v>66</v>
      </c>
      <c r="AA1743" s="7">
        <v>43549</v>
      </c>
    </row>
    <row r="1744" spans="1:28" ht="15" customHeight="1">
      <c r="A1744" s="285"/>
      <c r="C1744" s="25">
        <v>119</v>
      </c>
      <c r="D1744" s="2">
        <v>23325</v>
      </c>
      <c r="E1744" s="2" t="s">
        <v>3987</v>
      </c>
      <c r="F1744" s="3">
        <v>29410012103169</v>
      </c>
      <c r="G1744" s="2" t="s">
        <v>129</v>
      </c>
      <c r="H1744" s="2" t="s">
        <v>3988</v>
      </c>
      <c r="I1744" s="2" t="s">
        <v>66</v>
      </c>
      <c r="J1744" s="4">
        <v>43514</v>
      </c>
      <c r="K1744" s="2" t="s">
        <v>8</v>
      </c>
      <c r="L1744" s="2" t="s">
        <v>12</v>
      </c>
      <c r="M1744" s="2" t="s">
        <v>52</v>
      </c>
      <c r="W1744" s="16" t="s">
        <v>64</v>
      </c>
      <c r="Z1744" s="16" t="s">
        <v>67</v>
      </c>
    </row>
    <row r="1745" spans="1:28" ht="15" customHeight="1">
      <c r="A1745" s="285"/>
      <c r="C1745" s="25">
        <v>119</v>
      </c>
      <c r="D1745" s="2">
        <v>23326</v>
      </c>
      <c r="E1745" s="2" t="s">
        <v>3989</v>
      </c>
      <c r="F1745" s="3">
        <v>29110210101381</v>
      </c>
      <c r="G1745" s="2" t="s">
        <v>34</v>
      </c>
      <c r="H1745" s="2" t="s">
        <v>3990</v>
      </c>
      <c r="I1745" s="2" t="s">
        <v>66</v>
      </c>
      <c r="J1745" s="4">
        <v>43514</v>
      </c>
      <c r="K1745" s="2" t="s">
        <v>8</v>
      </c>
      <c r="L1745" s="2" t="s">
        <v>12</v>
      </c>
      <c r="M1745" s="2" t="s">
        <v>147</v>
      </c>
      <c r="R1745" s="77">
        <v>3</v>
      </c>
      <c r="S1745" s="77">
        <v>2.5</v>
      </c>
      <c r="T1745" s="77">
        <v>2</v>
      </c>
      <c r="U1745" s="77">
        <v>2</v>
      </c>
      <c r="V1745" s="77">
        <v>3</v>
      </c>
      <c r="W1745" s="16" t="s">
        <v>62</v>
      </c>
      <c r="Y1745" s="7">
        <v>43538</v>
      </c>
      <c r="Z1745" s="16" t="s">
        <v>66</v>
      </c>
      <c r="AB1745" s="2" t="s">
        <v>4087</v>
      </c>
    </row>
    <row r="1746" spans="1:28" ht="15" customHeight="1">
      <c r="A1746" s="285"/>
      <c r="C1746" s="25">
        <v>119</v>
      </c>
      <c r="D1746" s="2">
        <v>23327</v>
      </c>
      <c r="E1746" s="2" t="s">
        <v>3991</v>
      </c>
      <c r="F1746" s="3">
        <v>29409011400536</v>
      </c>
      <c r="G1746" s="2" t="s">
        <v>34</v>
      </c>
      <c r="H1746" s="2" t="s">
        <v>3992</v>
      </c>
      <c r="I1746" s="2" t="s">
        <v>66</v>
      </c>
      <c r="J1746" s="4">
        <v>43514</v>
      </c>
      <c r="K1746" s="2" t="s">
        <v>8</v>
      </c>
      <c r="L1746" s="2" t="s">
        <v>12</v>
      </c>
      <c r="M1746" s="2" t="s">
        <v>696</v>
      </c>
      <c r="R1746" s="77">
        <v>3</v>
      </c>
      <c r="S1746" s="77">
        <v>3</v>
      </c>
      <c r="T1746" s="77">
        <v>2.5</v>
      </c>
      <c r="U1746" s="77">
        <v>2.5</v>
      </c>
      <c r="V1746" s="77">
        <v>3</v>
      </c>
      <c r="W1746" s="16" t="s">
        <v>171</v>
      </c>
      <c r="X1746" s="2" t="s">
        <v>66</v>
      </c>
      <c r="Y1746" s="27">
        <v>43559</v>
      </c>
      <c r="Z1746" s="16" t="s">
        <v>66</v>
      </c>
      <c r="AA1746" s="7">
        <v>43565</v>
      </c>
      <c r="AB1746" s="2" t="s">
        <v>3956</v>
      </c>
    </row>
    <row r="1747" spans="1:28" ht="15" customHeight="1">
      <c r="A1747" s="285"/>
      <c r="C1747" s="25">
        <v>119</v>
      </c>
      <c r="D1747" s="2">
        <v>23328</v>
      </c>
      <c r="E1747" s="2" t="s">
        <v>3993</v>
      </c>
      <c r="F1747" s="3">
        <v>29602288800498</v>
      </c>
      <c r="G1747" s="2" t="s">
        <v>34</v>
      </c>
      <c r="H1747" s="2" t="s">
        <v>3994</v>
      </c>
      <c r="I1747" s="2" t="s">
        <v>66</v>
      </c>
      <c r="J1747" s="4">
        <v>43514</v>
      </c>
      <c r="K1747" s="2" t="s">
        <v>8</v>
      </c>
      <c r="L1747" s="2" t="s">
        <v>12</v>
      </c>
      <c r="M1747" s="2" t="s">
        <v>1515</v>
      </c>
      <c r="R1747" s="77">
        <v>3</v>
      </c>
      <c r="S1747" s="77">
        <v>2.5</v>
      </c>
      <c r="T1747" s="77">
        <v>2.5</v>
      </c>
      <c r="U1747" s="77">
        <v>2.5</v>
      </c>
      <c r="V1747" s="77">
        <v>3</v>
      </c>
      <c r="W1747" s="16" t="s">
        <v>61</v>
      </c>
      <c r="X1747" s="2" t="s">
        <v>66</v>
      </c>
      <c r="Y1747" s="27">
        <v>43559</v>
      </c>
      <c r="Z1747" s="16" t="s">
        <v>66</v>
      </c>
      <c r="AA1747" s="7">
        <v>43565</v>
      </c>
      <c r="AB1747" s="2" t="s">
        <v>3956</v>
      </c>
    </row>
    <row r="1748" spans="1:28" ht="15" customHeight="1">
      <c r="A1748" s="285"/>
      <c r="C1748" s="25">
        <v>119</v>
      </c>
      <c r="D1748" s="2">
        <v>23329</v>
      </c>
      <c r="E1748" s="2" t="s">
        <v>3995</v>
      </c>
      <c r="F1748" s="3">
        <v>28609192102359</v>
      </c>
      <c r="G1748" s="2" t="s">
        <v>129</v>
      </c>
      <c r="H1748" s="2" t="s">
        <v>3996</v>
      </c>
      <c r="I1748" s="2" t="s">
        <v>66</v>
      </c>
      <c r="J1748" s="4">
        <v>43514</v>
      </c>
      <c r="K1748" s="2" t="s">
        <v>8</v>
      </c>
      <c r="L1748" s="2" t="s">
        <v>12</v>
      </c>
      <c r="M1748" s="2" t="s">
        <v>103</v>
      </c>
      <c r="R1748" s="77">
        <v>3</v>
      </c>
      <c r="S1748" s="77">
        <v>3</v>
      </c>
      <c r="T1748" s="77">
        <v>2</v>
      </c>
      <c r="U1748" s="77">
        <v>2</v>
      </c>
      <c r="V1748" s="77">
        <v>3</v>
      </c>
      <c r="W1748" s="16" t="s">
        <v>62</v>
      </c>
      <c r="Y1748" s="7">
        <v>43538</v>
      </c>
      <c r="Z1748" s="16" t="s">
        <v>66</v>
      </c>
      <c r="AA1748" s="7">
        <v>43545</v>
      </c>
      <c r="AB1748" s="75" t="s">
        <v>4118</v>
      </c>
    </row>
    <row r="1749" spans="1:28" ht="15" customHeight="1">
      <c r="A1749" s="285"/>
      <c r="C1749" s="25">
        <v>119</v>
      </c>
      <c r="D1749" s="2">
        <v>23330</v>
      </c>
      <c r="E1749" s="2" t="s">
        <v>3997</v>
      </c>
      <c r="F1749" s="3">
        <v>29406052201417</v>
      </c>
      <c r="G1749" s="2" t="s">
        <v>129</v>
      </c>
      <c r="H1749" s="2" t="s">
        <v>3998</v>
      </c>
      <c r="I1749" s="2" t="s">
        <v>66</v>
      </c>
      <c r="J1749" s="4">
        <v>43514</v>
      </c>
      <c r="K1749" s="2" t="s">
        <v>8</v>
      </c>
      <c r="L1749" s="2" t="s">
        <v>12</v>
      </c>
      <c r="M1749" s="2" t="s">
        <v>256</v>
      </c>
      <c r="R1749" s="77">
        <v>3</v>
      </c>
      <c r="S1749" s="77">
        <v>2.5</v>
      </c>
      <c r="T1749" s="77">
        <v>2.5</v>
      </c>
      <c r="U1749" s="77">
        <v>2</v>
      </c>
      <c r="V1749" s="77">
        <v>3</v>
      </c>
      <c r="W1749" s="75" t="s">
        <v>62</v>
      </c>
      <c r="X1749" s="2" t="s">
        <v>66</v>
      </c>
      <c r="Y1749" s="27">
        <v>43559</v>
      </c>
      <c r="Z1749" s="16" t="s">
        <v>67</v>
      </c>
      <c r="AB1749" s="2" t="s">
        <v>4438</v>
      </c>
    </row>
    <row r="1750" spans="1:28" ht="15.75" customHeight="1">
      <c r="A1750" s="285"/>
      <c r="C1750" s="25">
        <v>119</v>
      </c>
      <c r="D1750" s="2">
        <v>23331</v>
      </c>
      <c r="E1750" s="2" t="s">
        <v>3999</v>
      </c>
      <c r="F1750" s="3">
        <v>29311230103733</v>
      </c>
      <c r="G1750" s="2" t="s">
        <v>935</v>
      </c>
      <c r="H1750" s="2" t="s">
        <v>4000</v>
      </c>
      <c r="I1750" s="2" t="s">
        <v>66</v>
      </c>
      <c r="J1750" s="4">
        <v>43514</v>
      </c>
      <c r="K1750" s="2" t="s">
        <v>8</v>
      </c>
      <c r="L1750" s="2" t="s">
        <v>12</v>
      </c>
      <c r="M1750" s="2" t="s">
        <v>4001</v>
      </c>
      <c r="R1750" s="77">
        <v>3</v>
      </c>
      <c r="S1750" s="77">
        <v>3</v>
      </c>
      <c r="T1750" s="77">
        <v>2.5</v>
      </c>
      <c r="U1750" s="77">
        <v>2.5</v>
      </c>
      <c r="V1750" s="77">
        <v>3</v>
      </c>
      <c r="W1750" s="16" t="s">
        <v>170</v>
      </c>
      <c r="Y1750" s="7">
        <v>43538</v>
      </c>
      <c r="Z1750" s="16" t="s">
        <v>67</v>
      </c>
      <c r="AB1750" s="2" t="s">
        <v>4155</v>
      </c>
    </row>
    <row r="1751" spans="1:28" ht="15" customHeight="1">
      <c r="A1751" s="285"/>
      <c r="C1751" s="25">
        <v>119</v>
      </c>
      <c r="D1751" s="2">
        <v>23332</v>
      </c>
      <c r="E1751" s="2" t="s">
        <v>4002</v>
      </c>
      <c r="F1751" s="3">
        <v>29407220100954</v>
      </c>
      <c r="G1751" s="2" t="s">
        <v>3911</v>
      </c>
      <c r="H1751" s="2" t="s">
        <v>4003</v>
      </c>
      <c r="I1751" s="2" t="s">
        <v>66</v>
      </c>
      <c r="J1751" s="4">
        <v>43514</v>
      </c>
      <c r="K1751" s="2" t="s">
        <v>8</v>
      </c>
      <c r="L1751" s="2" t="s">
        <v>12</v>
      </c>
      <c r="M1751" s="2" t="s">
        <v>147</v>
      </c>
      <c r="R1751" s="77">
        <v>3</v>
      </c>
      <c r="S1751" s="77">
        <v>3</v>
      </c>
      <c r="T1751" s="77">
        <v>2.5</v>
      </c>
      <c r="U1751" s="77">
        <v>2.5</v>
      </c>
      <c r="V1751" s="77">
        <v>3</v>
      </c>
      <c r="W1751" s="75" t="s">
        <v>61</v>
      </c>
      <c r="X1751" s="2" t="s">
        <v>66</v>
      </c>
      <c r="Y1751" s="27">
        <v>43559</v>
      </c>
      <c r="Z1751" s="16" t="s">
        <v>67</v>
      </c>
      <c r="AB1751" s="2" t="s">
        <v>4224</v>
      </c>
    </row>
    <row r="1752" spans="1:28" ht="15.75" customHeight="1" thickBot="1">
      <c r="A1752" s="286"/>
      <c r="C1752" s="28">
        <v>119</v>
      </c>
      <c r="D1752" s="28">
        <v>13210</v>
      </c>
      <c r="E1752" s="28" t="s">
        <v>4004</v>
      </c>
      <c r="F1752" s="29">
        <v>28812240103192</v>
      </c>
      <c r="G1752" s="28" t="s">
        <v>129</v>
      </c>
      <c r="H1752" s="28" t="s">
        <v>4005</v>
      </c>
      <c r="I1752" s="28" t="s">
        <v>67</v>
      </c>
      <c r="J1752" s="30">
        <v>43514</v>
      </c>
      <c r="K1752" s="28" t="s">
        <v>8</v>
      </c>
      <c r="L1752" s="28" t="s">
        <v>12</v>
      </c>
      <c r="M1752" s="28" t="s">
        <v>4001</v>
      </c>
      <c r="N1752" s="28"/>
      <c r="O1752" s="226"/>
      <c r="P1752" s="28"/>
      <c r="Q1752" s="226"/>
      <c r="R1752" s="37">
        <v>3</v>
      </c>
      <c r="S1752" s="37">
        <v>2.5</v>
      </c>
      <c r="T1752" s="37">
        <v>2</v>
      </c>
      <c r="U1752" s="37">
        <v>2</v>
      </c>
      <c r="V1752" s="37">
        <v>3</v>
      </c>
      <c r="W1752" s="28" t="s">
        <v>62</v>
      </c>
      <c r="X1752" s="28" t="s">
        <v>66</v>
      </c>
      <c r="Y1752" s="30">
        <v>43559</v>
      </c>
      <c r="Z1752" s="28" t="s">
        <v>66</v>
      </c>
      <c r="AA1752" s="30">
        <v>43562</v>
      </c>
      <c r="AB1752" s="28" t="s">
        <v>3967</v>
      </c>
    </row>
    <row r="1753" spans="1:28" ht="15.75" customHeight="1" thickTop="1">
      <c r="A1753" s="284" t="s">
        <v>3123</v>
      </c>
      <c r="C1753" s="25">
        <v>120</v>
      </c>
      <c r="D1753" s="25">
        <v>23333</v>
      </c>
      <c r="E1753" s="25" t="s">
        <v>4010</v>
      </c>
      <c r="F1753" s="26">
        <v>28902140100594</v>
      </c>
      <c r="G1753" s="25" t="s">
        <v>34</v>
      </c>
      <c r="H1753" s="25" t="s">
        <v>4011</v>
      </c>
      <c r="I1753" s="25" t="s">
        <v>66</v>
      </c>
      <c r="J1753" s="27">
        <v>43520</v>
      </c>
      <c r="K1753" s="25" t="s">
        <v>8</v>
      </c>
      <c r="L1753" s="25" t="s">
        <v>12</v>
      </c>
      <c r="M1753" s="25" t="s">
        <v>3173</v>
      </c>
      <c r="N1753" s="25"/>
      <c r="O1753" s="224"/>
      <c r="P1753" s="25"/>
      <c r="Q1753" s="224"/>
      <c r="R1753" s="36">
        <v>3</v>
      </c>
      <c r="S1753" s="36">
        <v>2.5</v>
      </c>
      <c r="T1753" s="36">
        <v>2</v>
      </c>
      <c r="U1753" s="36">
        <v>2</v>
      </c>
      <c r="V1753" s="36">
        <v>3</v>
      </c>
      <c r="W1753" s="25" t="s">
        <v>62</v>
      </c>
      <c r="X1753" s="25"/>
      <c r="Y1753" s="27">
        <v>43544</v>
      </c>
      <c r="Z1753" s="25" t="s">
        <v>66</v>
      </c>
      <c r="AA1753" s="27">
        <v>43545</v>
      </c>
      <c r="AB1753" s="25" t="s">
        <v>4118</v>
      </c>
    </row>
    <row r="1754" spans="1:28" ht="15" customHeight="1">
      <c r="A1754" s="285"/>
      <c r="C1754" s="25">
        <v>120</v>
      </c>
      <c r="D1754" s="2">
        <v>23334</v>
      </c>
      <c r="E1754" s="2" t="s">
        <v>4012</v>
      </c>
      <c r="F1754" s="3">
        <v>561193149</v>
      </c>
      <c r="G1754" s="2" t="s">
        <v>129</v>
      </c>
      <c r="H1754" s="2" t="s">
        <v>4013</v>
      </c>
      <c r="I1754" s="2" t="s">
        <v>66</v>
      </c>
      <c r="J1754" s="4">
        <v>43520</v>
      </c>
      <c r="K1754" s="2" t="s">
        <v>8</v>
      </c>
      <c r="L1754" s="2" t="s">
        <v>12</v>
      </c>
      <c r="M1754" s="2" t="s">
        <v>3752</v>
      </c>
      <c r="R1754" s="77">
        <v>3</v>
      </c>
      <c r="S1754" s="77">
        <v>2</v>
      </c>
      <c r="T1754" s="77">
        <v>2.5</v>
      </c>
      <c r="U1754" s="77">
        <v>2</v>
      </c>
      <c r="V1754" s="77">
        <v>2.5</v>
      </c>
      <c r="W1754" s="16" t="s">
        <v>62</v>
      </c>
      <c r="Y1754" s="7">
        <v>43544</v>
      </c>
      <c r="Z1754" s="16" t="s">
        <v>66</v>
      </c>
      <c r="AA1754" s="7">
        <v>43549</v>
      </c>
      <c r="AB1754" s="2" t="s">
        <v>5971</v>
      </c>
    </row>
    <row r="1755" spans="1:28" ht="15" customHeight="1">
      <c r="A1755" s="285"/>
      <c r="C1755" s="25">
        <v>120</v>
      </c>
      <c r="D1755" s="2">
        <v>23335</v>
      </c>
      <c r="E1755" s="2" t="s">
        <v>4037</v>
      </c>
      <c r="F1755" s="3" t="s">
        <v>4038</v>
      </c>
      <c r="G1755" s="2" t="s">
        <v>3911</v>
      </c>
      <c r="H1755" s="2" t="s">
        <v>4039</v>
      </c>
      <c r="I1755" s="2" t="s">
        <v>66</v>
      </c>
      <c r="J1755" s="4">
        <v>43520</v>
      </c>
      <c r="K1755" s="2" t="s">
        <v>8</v>
      </c>
      <c r="L1755" s="2" t="s">
        <v>12</v>
      </c>
      <c r="M1755" s="2" t="s">
        <v>551</v>
      </c>
      <c r="W1755" s="16" t="s">
        <v>63</v>
      </c>
      <c r="Z1755" s="16" t="s">
        <v>67</v>
      </c>
    </row>
    <row r="1756" spans="1:28" ht="15" customHeight="1">
      <c r="A1756" s="285"/>
      <c r="C1756" s="25">
        <v>120</v>
      </c>
      <c r="D1756" s="2">
        <v>23336</v>
      </c>
      <c r="E1756" s="2" t="s">
        <v>4014</v>
      </c>
      <c r="F1756" s="3">
        <v>29405050102555</v>
      </c>
      <c r="G1756" s="2" t="s">
        <v>129</v>
      </c>
      <c r="H1756" s="2" t="s">
        <v>4015</v>
      </c>
      <c r="I1756" s="2" t="s">
        <v>66</v>
      </c>
      <c r="J1756" s="4">
        <v>43520</v>
      </c>
      <c r="K1756" s="2" t="s">
        <v>8</v>
      </c>
      <c r="L1756" s="2" t="s">
        <v>12</v>
      </c>
      <c r="M1756" s="2" t="s">
        <v>3317</v>
      </c>
      <c r="R1756" s="77">
        <v>2.5</v>
      </c>
      <c r="S1756" s="77">
        <v>2</v>
      </c>
      <c r="T1756" s="77">
        <v>2.5</v>
      </c>
      <c r="U1756" s="77">
        <v>2</v>
      </c>
      <c r="V1756" s="77">
        <v>3</v>
      </c>
      <c r="W1756" s="16" t="s">
        <v>62</v>
      </c>
      <c r="Y1756" s="7">
        <v>43544</v>
      </c>
      <c r="Z1756" s="16" t="s">
        <v>66</v>
      </c>
      <c r="AA1756" s="7">
        <v>43545</v>
      </c>
      <c r="AB1756" s="2" t="s">
        <v>4118</v>
      </c>
    </row>
    <row r="1757" spans="1:28" ht="15" customHeight="1">
      <c r="A1757" s="285"/>
      <c r="C1757" s="25">
        <v>120</v>
      </c>
      <c r="D1757" s="2">
        <v>23337</v>
      </c>
      <c r="E1757" s="2" t="s">
        <v>4016</v>
      </c>
      <c r="F1757" s="3">
        <v>29303031100471</v>
      </c>
      <c r="G1757" s="2" t="s">
        <v>129</v>
      </c>
      <c r="H1757" s="2" t="s">
        <v>4017</v>
      </c>
      <c r="I1757" s="2" t="s">
        <v>66</v>
      </c>
      <c r="J1757" s="4">
        <v>43520</v>
      </c>
      <c r="K1757" s="2" t="s">
        <v>8</v>
      </c>
      <c r="L1757" s="2" t="s">
        <v>12</v>
      </c>
      <c r="M1757" s="2" t="s">
        <v>696</v>
      </c>
      <c r="R1757" s="77">
        <v>3</v>
      </c>
      <c r="S1757" s="77">
        <v>2</v>
      </c>
      <c r="T1757" s="77">
        <v>2.5</v>
      </c>
      <c r="U1757" s="77">
        <v>2.5</v>
      </c>
      <c r="V1757" s="77">
        <v>3</v>
      </c>
      <c r="W1757" s="16" t="s">
        <v>60</v>
      </c>
      <c r="X1757" s="2" t="s">
        <v>67</v>
      </c>
      <c r="Y1757" s="45">
        <v>43557</v>
      </c>
      <c r="Z1757" s="16" t="s">
        <v>66</v>
      </c>
      <c r="AA1757" s="7">
        <v>43558</v>
      </c>
      <c r="AB1757" s="2" t="s">
        <v>4151</v>
      </c>
    </row>
    <row r="1758" spans="1:28" ht="15" customHeight="1">
      <c r="A1758" s="285"/>
      <c r="C1758" s="25">
        <v>120</v>
      </c>
      <c r="D1758" s="2">
        <v>23338</v>
      </c>
      <c r="E1758" s="2" t="s">
        <v>4018</v>
      </c>
      <c r="F1758" s="3">
        <v>29903302100402</v>
      </c>
      <c r="G1758" s="2" t="s">
        <v>3911</v>
      </c>
      <c r="H1758" s="2" t="s">
        <v>4019</v>
      </c>
      <c r="I1758" s="2" t="s">
        <v>66</v>
      </c>
      <c r="J1758" s="4">
        <v>43520</v>
      </c>
      <c r="K1758" s="2" t="s">
        <v>8</v>
      </c>
      <c r="L1758" s="2" t="s">
        <v>12</v>
      </c>
      <c r="M1758" s="2" t="s">
        <v>551</v>
      </c>
      <c r="R1758" s="77">
        <v>3</v>
      </c>
      <c r="S1758" s="77">
        <v>3</v>
      </c>
      <c r="T1758" s="77">
        <v>2.5</v>
      </c>
      <c r="U1758" s="77">
        <v>2.5</v>
      </c>
      <c r="V1758" s="77">
        <v>3</v>
      </c>
      <c r="W1758" s="16" t="s">
        <v>61</v>
      </c>
      <c r="Y1758" s="7">
        <v>43544</v>
      </c>
      <c r="Z1758" s="16" t="s">
        <v>67</v>
      </c>
    </row>
    <row r="1759" spans="1:28" ht="15" customHeight="1">
      <c r="A1759" s="285"/>
      <c r="C1759" s="25">
        <v>120</v>
      </c>
      <c r="D1759" s="2">
        <v>23339</v>
      </c>
      <c r="E1759" s="2" t="s">
        <v>4020</v>
      </c>
      <c r="F1759" s="3">
        <v>29203180101303</v>
      </c>
      <c r="G1759" s="2" t="s">
        <v>34</v>
      </c>
      <c r="H1759" s="2" t="s">
        <v>4021</v>
      </c>
      <c r="I1759" s="2" t="s">
        <v>66</v>
      </c>
      <c r="J1759" s="4">
        <v>43520</v>
      </c>
      <c r="K1759" s="2" t="s">
        <v>8</v>
      </c>
      <c r="L1759" s="2" t="s">
        <v>12</v>
      </c>
      <c r="M1759" s="2" t="s">
        <v>105</v>
      </c>
      <c r="R1759" s="77">
        <v>3</v>
      </c>
      <c r="S1759" s="77">
        <v>2.5</v>
      </c>
      <c r="T1759" s="77">
        <v>2.5</v>
      </c>
      <c r="U1759" s="77">
        <v>2.5</v>
      </c>
      <c r="V1759" s="77">
        <v>3</v>
      </c>
      <c r="W1759" s="16" t="s">
        <v>170</v>
      </c>
      <c r="X1759" s="2" t="s">
        <v>66</v>
      </c>
      <c r="Y1759" s="7">
        <v>43576</v>
      </c>
      <c r="Z1759" s="16" t="s">
        <v>66</v>
      </c>
      <c r="AA1759" s="7">
        <v>43583</v>
      </c>
    </row>
    <row r="1760" spans="1:28" ht="15.75" customHeight="1">
      <c r="A1760" s="285"/>
      <c r="C1760" s="25">
        <v>120</v>
      </c>
      <c r="D1760" s="2">
        <v>23340</v>
      </c>
      <c r="E1760" s="2" t="s">
        <v>3917</v>
      </c>
      <c r="F1760" s="3">
        <v>29504100102321</v>
      </c>
      <c r="G1760" s="2" t="s">
        <v>34</v>
      </c>
      <c r="H1760" s="2" t="s">
        <v>3918</v>
      </c>
      <c r="I1760" s="2" t="s">
        <v>66</v>
      </c>
      <c r="J1760" s="4">
        <v>43520</v>
      </c>
      <c r="K1760" s="2" t="s">
        <v>8</v>
      </c>
      <c r="L1760" s="2" t="s">
        <v>12</v>
      </c>
      <c r="M1760" s="2" t="s">
        <v>696</v>
      </c>
      <c r="R1760" s="77">
        <v>3</v>
      </c>
      <c r="S1760" s="77">
        <v>2.5</v>
      </c>
      <c r="T1760" s="77">
        <v>2.5</v>
      </c>
      <c r="U1760" s="77">
        <v>2.5</v>
      </c>
      <c r="V1760" s="77">
        <v>3</v>
      </c>
      <c r="W1760" s="16" t="s">
        <v>60</v>
      </c>
      <c r="Y1760" s="45">
        <v>43557</v>
      </c>
      <c r="Z1760" s="16" t="s">
        <v>66</v>
      </c>
      <c r="AA1760" s="7">
        <v>43577</v>
      </c>
      <c r="AB1760" s="2" t="s">
        <v>4333</v>
      </c>
    </row>
    <row r="1761" spans="1:28" ht="15" customHeight="1">
      <c r="A1761" s="285"/>
      <c r="C1761" s="25">
        <v>120</v>
      </c>
      <c r="D1761" s="2">
        <v>23341</v>
      </c>
      <c r="E1761" s="2" t="s">
        <v>4022</v>
      </c>
      <c r="F1761" s="3">
        <v>28407202103594</v>
      </c>
      <c r="G1761" s="2" t="s">
        <v>34</v>
      </c>
      <c r="H1761" s="2" t="s">
        <v>4023</v>
      </c>
      <c r="I1761" s="2" t="s">
        <v>66</v>
      </c>
      <c r="J1761" s="4">
        <v>43520</v>
      </c>
      <c r="K1761" s="2" t="s">
        <v>8</v>
      </c>
      <c r="L1761" s="2" t="s">
        <v>12</v>
      </c>
      <c r="M1761" s="2" t="s">
        <v>197</v>
      </c>
      <c r="R1761" s="77">
        <v>3</v>
      </c>
      <c r="S1761" s="77">
        <v>2.5</v>
      </c>
      <c r="T1761" s="77">
        <v>2</v>
      </c>
      <c r="U1761" s="77">
        <v>2</v>
      </c>
      <c r="V1761" s="77">
        <v>3</v>
      </c>
      <c r="W1761" s="16" t="s">
        <v>62</v>
      </c>
      <c r="Y1761" s="7">
        <v>43544</v>
      </c>
      <c r="Z1761" s="16" t="s">
        <v>66</v>
      </c>
      <c r="AA1761" s="7">
        <v>43549</v>
      </c>
      <c r="AB1761" s="2" t="s">
        <v>3967</v>
      </c>
    </row>
    <row r="1762" spans="1:28" ht="15" customHeight="1">
      <c r="A1762" s="285"/>
      <c r="C1762" s="25">
        <v>120</v>
      </c>
      <c r="D1762" s="2">
        <v>23342</v>
      </c>
      <c r="E1762" s="2" t="s">
        <v>4024</v>
      </c>
      <c r="F1762" s="3">
        <v>29406140104391</v>
      </c>
      <c r="G1762" s="2" t="s">
        <v>4025</v>
      </c>
      <c r="H1762" s="2" t="s">
        <v>4026</v>
      </c>
      <c r="I1762" s="2" t="s">
        <v>66</v>
      </c>
      <c r="J1762" s="4">
        <v>43520</v>
      </c>
      <c r="K1762" s="2" t="s">
        <v>8</v>
      </c>
      <c r="L1762" s="2" t="s">
        <v>12</v>
      </c>
      <c r="M1762" s="2" t="s">
        <v>103</v>
      </c>
      <c r="R1762" s="77">
        <v>3</v>
      </c>
      <c r="S1762" s="77">
        <v>2.5</v>
      </c>
      <c r="T1762" s="77">
        <v>3</v>
      </c>
      <c r="U1762" s="77">
        <v>2.5</v>
      </c>
      <c r="V1762" s="77">
        <v>3</v>
      </c>
      <c r="W1762" s="16" t="s">
        <v>60</v>
      </c>
      <c r="Y1762" s="7">
        <v>43544</v>
      </c>
      <c r="Z1762" s="16" t="s">
        <v>66</v>
      </c>
      <c r="AA1762" s="7">
        <v>43549</v>
      </c>
      <c r="AB1762" s="2" t="s">
        <v>5288</v>
      </c>
    </row>
    <row r="1763" spans="1:28" ht="15" customHeight="1">
      <c r="A1763" s="285"/>
      <c r="C1763" s="25">
        <v>120</v>
      </c>
      <c r="D1763" s="2">
        <v>23343</v>
      </c>
      <c r="E1763" s="2" t="s">
        <v>4027</v>
      </c>
      <c r="F1763" s="3">
        <v>29603060100034</v>
      </c>
      <c r="G1763" s="2" t="s">
        <v>34</v>
      </c>
      <c r="H1763" s="2" t="s">
        <v>4028</v>
      </c>
      <c r="I1763" s="2" t="s">
        <v>66</v>
      </c>
      <c r="J1763" s="4">
        <v>43520</v>
      </c>
      <c r="K1763" s="2" t="s">
        <v>8</v>
      </c>
      <c r="L1763" s="2" t="s">
        <v>12</v>
      </c>
      <c r="M1763" s="2" t="s">
        <v>52</v>
      </c>
      <c r="R1763" s="77">
        <v>3</v>
      </c>
      <c r="S1763" s="77">
        <v>3</v>
      </c>
      <c r="T1763" s="77">
        <v>2.5</v>
      </c>
      <c r="U1763" s="77">
        <v>2.5</v>
      </c>
      <c r="V1763" s="77">
        <v>3</v>
      </c>
      <c r="W1763" s="16" t="s">
        <v>170</v>
      </c>
      <c r="Y1763" s="7">
        <v>43544</v>
      </c>
      <c r="Z1763" s="16" t="s">
        <v>66</v>
      </c>
      <c r="AA1763" s="7">
        <v>43549</v>
      </c>
      <c r="AB1763" s="2" t="s">
        <v>5665</v>
      </c>
    </row>
    <row r="1764" spans="1:28" ht="15" customHeight="1">
      <c r="A1764" s="285"/>
      <c r="C1764" s="25">
        <v>120</v>
      </c>
      <c r="D1764" s="2">
        <v>23344</v>
      </c>
      <c r="E1764" s="2" t="s">
        <v>4029</v>
      </c>
      <c r="F1764" s="3">
        <v>29004260103517</v>
      </c>
      <c r="G1764" s="2" t="s">
        <v>129</v>
      </c>
      <c r="H1764" s="2" t="s">
        <v>4030</v>
      </c>
      <c r="I1764" s="2" t="s">
        <v>66</v>
      </c>
      <c r="J1764" s="4">
        <v>43520</v>
      </c>
      <c r="K1764" s="2" t="s">
        <v>8</v>
      </c>
      <c r="L1764" s="2" t="s">
        <v>12</v>
      </c>
      <c r="M1764" s="2" t="s">
        <v>4031</v>
      </c>
      <c r="R1764" s="77">
        <v>3</v>
      </c>
      <c r="S1764" s="77">
        <v>3</v>
      </c>
      <c r="T1764" s="77">
        <v>2</v>
      </c>
      <c r="U1764" s="77">
        <v>2</v>
      </c>
      <c r="V1764" s="77">
        <v>3</v>
      </c>
      <c r="W1764" s="16" t="s">
        <v>63</v>
      </c>
      <c r="X1764" s="2" t="s">
        <v>66</v>
      </c>
      <c r="Z1764" s="16" t="s">
        <v>67</v>
      </c>
      <c r="AB1764" s="2" t="s">
        <v>3901</v>
      </c>
    </row>
    <row r="1765" spans="1:28" ht="15" customHeight="1">
      <c r="A1765" s="285"/>
      <c r="C1765" s="25">
        <v>120</v>
      </c>
      <c r="D1765" s="2">
        <v>23345</v>
      </c>
      <c r="E1765" s="2" t="s">
        <v>4032</v>
      </c>
      <c r="F1765" s="3">
        <v>29505108800325</v>
      </c>
      <c r="G1765" s="2" t="s">
        <v>34</v>
      </c>
      <c r="H1765" s="2" t="s">
        <v>4033</v>
      </c>
      <c r="I1765" s="2" t="s">
        <v>66</v>
      </c>
      <c r="J1765" s="4">
        <v>43520</v>
      </c>
      <c r="K1765" s="2" t="s">
        <v>8</v>
      </c>
      <c r="L1765" s="2" t="s">
        <v>12</v>
      </c>
      <c r="M1765" s="2" t="s">
        <v>3173</v>
      </c>
      <c r="R1765" s="77">
        <v>3</v>
      </c>
      <c r="S1765" s="77">
        <v>2.5</v>
      </c>
      <c r="T1765" s="77">
        <v>2.5</v>
      </c>
      <c r="U1765" s="77">
        <v>2</v>
      </c>
      <c r="V1765" s="77">
        <v>3</v>
      </c>
      <c r="W1765" s="75" t="s">
        <v>60</v>
      </c>
      <c r="X1765" s="2" t="s">
        <v>67</v>
      </c>
      <c r="Y1765" s="45">
        <v>43557</v>
      </c>
      <c r="Z1765" s="16" t="s">
        <v>66</v>
      </c>
      <c r="AA1765" s="7">
        <v>43558</v>
      </c>
      <c r="AB1765" s="75" t="s">
        <v>4151</v>
      </c>
    </row>
    <row r="1766" spans="1:28" ht="15.75" customHeight="1">
      <c r="A1766" s="285"/>
      <c r="C1766" s="25">
        <v>120</v>
      </c>
      <c r="D1766" s="2">
        <v>23346</v>
      </c>
      <c r="E1766" s="2" t="s">
        <v>4034</v>
      </c>
      <c r="F1766" s="3">
        <v>28210010107679</v>
      </c>
      <c r="G1766" s="2" t="s">
        <v>129</v>
      </c>
      <c r="H1766" s="2" t="s">
        <v>4035</v>
      </c>
      <c r="I1766" s="2" t="s">
        <v>66</v>
      </c>
      <c r="J1766" s="4">
        <v>43520</v>
      </c>
      <c r="K1766" s="2" t="s">
        <v>8</v>
      </c>
      <c r="L1766" s="2" t="s">
        <v>12</v>
      </c>
      <c r="M1766" s="2" t="s">
        <v>3317</v>
      </c>
      <c r="R1766" s="77">
        <v>3</v>
      </c>
      <c r="S1766" s="77">
        <v>3</v>
      </c>
      <c r="T1766" s="77">
        <v>2</v>
      </c>
      <c r="U1766" s="77">
        <v>2</v>
      </c>
      <c r="V1766" s="77">
        <v>3</v>
      </c>
      <c r="W1766" s="75" t="s">
        <v>60</v>
      </c>
      <c r="X1766" s="2" t="s">
        <v>67</v>
      </c>
      <c r="Y1766" s="45">
        <v>43557</v>
      </c>
      <c r="Z1766" s="16" t="s">
        <v>66</v>
      </c>
      <c r="AA1766" s="7">
        <v>43558</v>
      </c>
      <c r="AB1766" s="75" t="s">
        <v>4332</v>
      </c>
    </row>
    <row r="1767" spans="1:28" ht="15.75" customHeight="1" thickBot="1">
      <c r="A1767" s="286"/>
      <c r="C1767" s="28">
        <v>120</v>
      </c>
      <c r="D1767" s="28">
        <v>18239</v>
      </c>
      <c r="E1767" s="28" t="s">
        <v>4036</v>
      </c>
      <c r="F1767" s="29">
        <v>28409050100562</v>
      </c>
      <c r="G1767" s="28" t="s">
        <v>34</v>
      </c>
      <c r="H1767" s="28" t="s">
        <v>3622</v>
      </c>
      <c r="I1767" s="28" t="s">
        <v>67</v>
      </c>
      <c r="J1767" s="30">
        <v>43520</v>
      </c>
      <c r="K1767" s="28" t="s">
        <v>8</v>
      </c>
      <c r="L1767" s="28" t="s">
        <v>12</v>
      </c>
      <c r="M1767" s="28" t="s">
        <v>3370</v>
      </c>
      <c r="N1767" s="28"/>
      <c r="O1767" s="226"/>
      <c r="P1767" s="28"/>
      <c r="Q1767" s="226"/>
      <c r="R1767" s="37">
        <v>3</v>
      </c>
      <c r="S1767" s="37">
        <v>2.5</v>
      </c>
      <c r="T1767" s="37">
        <v>2.5</v>
      </c>
      <c r="U1767" s="37">
        <v>2.5</v>
      </c>
      <c r="V1767" s="37">
        <v>3</v>
      </c>
      <c r="W1767" s="28" t="s">
        <v>170</v>
      </c>
      <c r="X1767" s="28" t="s">
        <v>66</v>
      </c>
      <c r="Y1767" s="30">
        <v>43576</v>
      </c>
      <c r="Z1767" s="28" t="s">
        <v>66</v>
      </c>
      <c r="AA1767" s="30">
        <v>43583</v>
      </c>
      <c r="AB1767" s="28"/>
    </row>
    <row r="1768" spans="1:28" ht="15.75" customHeight="1" thickTop="1">
      <c r="A1768" s="284" t="s">
        <v>4077</v>
      </c>
      <c r="C1768" s="25">
        <v>121</v>
      </c>
      <c r="D1768" s="25">
        <v>23352</v>
      </c>
      <c r="E1768" s="25" t="s">
        <v>4040</v>
      </c>
      <c r="F1768" s="26">
        <v>29410012126134</v>
      </c>
      <c r="G1768" s="25" t="s">
        <v>4025</v>
      </c>
      <c r="H1768" s="25" t="s">
        <v>4041</v>
      </c>
      <c r="I1768" s="25" t="s">
        <v>66</v>
      </c>
      <c r="J1768" s="27">
        <v>43523</v>
      </c>
      <c r="K1768" s="25" t="s">
        <v>8</v>
      </c>
      <c r="L1768" s="25" t="s">
        <v>12</v>
      </c>
      <c r="M1768" s="25" t="s">
        <v>109</v>
      </c>
      <c r="N1768" s="25"/>
      <c r="O1768" s="224"/>
      <c r="P1768" s="25"/>
      <c r="Q1768" s="224"/>
      <c r="R1768" s="36">
        <v>3</v>
      </c>
      <c r="S1768" s="36">
        <v>3</v>
      </c>
      <c r="T1768" s="36">
        <v>2.5</v>
      </c>
      <c r="U1768" s="36">
        <v>2.5</v>
      </c>
      <c r="V1768" s="36">
        <v>3</v>
      </c>
      <c r="W1768" s="25" t="s">
        <v>170</v>
      </c>
      <c r="X1768" s="25"/>
      <c r="Y1768" s="27">
        <v>43550</v>
      </c>
      <c r="Z1768" s="25" t="s">
        <v>66</v>
      </c>
      <c r="AA1768" s="27">
        <v>43558</v>
      </c>
      <c r="AB1768" s="25"/>
    </row>
    <row r="1769" spans="1:28" ht="15" customHeight="1">
      <c r="A1769" s="285"/>
      <c r="C1769" s="25">
        <v>121</v>
      </c>
      <c r="D1769" s="2">
        <v>23353</v>
      </c>
      <c r="E1769" s="2" t="s">
        <v>4042</v>
      </c>
      <c r="F1769" s="3">
        <v>29104120103864</v>
      </c>
      <c r="G1769" s="2" t="s">
        <v>34</v>
      </c>
      <c r="H1769" s="2" t="s">
        <v>4043</v>
      </c>
      <c r="I1769" s="2" t="s">
        <v>66</v>
      </c>
      <c r="J1769" s="4">
        <v>43523</v>
      </c>
      <c r="K1769" s="2" t="s">
        <v>8</v>
      </c>
      <c r="L1769" s="2" t="s">
        <v>12</v>
      </c>
      <c r="M1769" s="2" t="s">
        <v>197</v>
      </c>
      <c r="R1769" s="77">
        <v>3</v>
      </c>
      <c r="S1769" s="77">
        <v>2.5</v>
      </c>
      <c r="T1769" s="77">
        <v>2</v>
      </c>
      <c r="U1769" s="77">
        <v>2.5</v>
      </c>
      <c r="V1769" s="77">
        <v>3</v>
      </c>
      <c r="W1769" s="16" t="s">
        <v>60</v>
      </c>
      <c r="X1769" s="75" t="s">
        <v>67</v>
      </c>
      <c r="Y1769" s="45">
        <v>43557</v>
      </c>
      <c r="Z1769" s="16" t="s">
        <v>66</v>
      </c>
      <c r="AA1769" s="7">
        <v>43562</v>
      </c>
      <c r="AB1769" s="75" t="s">
        <v>5289</v>
      </c>
    </row>
    <row r="1770" spans="1:28" ht="15" customHeight="1">
      <c r="A1770" s="285"/>
      <c r="C1770" s="25">
        <v>121</v>
      </c>
      <c r="D1770" s="2">
        <v>23354</v>
      </c>
      <c r="E1770" s="2" t="s">
        <v>4044</v>
      </c>
      <c r="F1770" s="3">
        <v>29308032102372</v>
      </c>
      <c r="G1770" s="2" t="s">
        <v>34</v>
      </c>
      <c r="H1770" s="2" t="s">
        <v>4045</v>
      </c>
      <c r="I1770" s="2" t="s">
        <v>66</v>
      </c>
      <c r="J1770" s="4">
        <v>43523</v>
      </c>
      <c r="K1770" s="2" t="s">
        <v>8</v>
      </c>
      <c r="L1770" s="2" t="s">
        <v>12</v>
      </c>
      <c r="M1770" s="2" t="s">
        <v>197</v>
      </c>
      <c r="R1770" s="77">
        <v>3</v>
      </c>
      <c r="S1770" s="77">
        <v>2.5</v>
      </c>
      <c r="T1770" s="77">
        <v>2</v>
      </c>
      <c r="U1770" s="77">
        <v>2.5</v>
      </c>
      <c r="V1770" s="77">
        <v>3</v>
      </c>
      <c r="W1770" s="16" t="s">
        <v>60</v>
      </c>
      <c r="X1770" s="75" t="s">
        <v>67</v>
      </c>
      <c r="Y1770" s="45">
        <v>43557</v>
      </c>
      <c r="Z1770" s="16" t="s">
        <v>66</v>
      </c>
      <c r="AA1770" s="7">
        <v>43562</v>
      </c>
      <c r="AB1770" s="75" t="s">
        <v>4151</v>
      </c>
    </row>
    <row r="1771" spans="1:28" ht="15" customHeight="1">
      <c r="A1771" s="285"/>
      <c r="C1771" s="25">
        <v>121</v>
      </c>
      <c r="D1771" s="2">
        <v>23355</v>
      </c>
      <c r="E1771" s="2" t="s">
        <v>4046</v>
      </c>
      <c r="F1771" s="3">
        <v>29907060105477</v>
      </c>
      <c r="G1771" s="2" t="s">
        <v>34</v>
      </c>
      <c r="H1771" s="2" t="s">
        <v>4047</v>
      </c>
      <c r="I1771" s="2" t="s">
        <v>66</v>
      </c>
      <c r="J1771" s="4">
        <v>43523</v>
      </c>
      <c r="K1771" s="2" t="s">
        <v>8</v>
      </c>
      <c r="L1771" s="2" t="s">
        <v>12</v>
      </c>
      <c r="M1771" s="2" t="s">
        <v>105</v>
      </c>
      <c r="R1771" s="77">
        <v>3</v>
      </c>
      <c r="S1771" s="77">
        <v>3</v>
      </c>
      <c r="T1771" s="77">
        <v>2.5</v>
      </c>
      <c r="U1771" s="77">
        <v>2</v>
      </c>
      <c r="V1771" s="77">
        <v>3</v>
      </c>
      <c r="W1771" s="16" t="s">
        <v>60</v>
      </c>
      <c r="X1771" s="2" t="s">
        <v>67</v>
      </c>
      <c r="Y1771" s="45">
        <v>43557</v>
      </c>
      <c r="Z1771" s="16" t="s">
        <v>66</v>
      </c>
      <c r="AA1771" s="7">
        <v>43562</v>
      </c>
      <c r="AB1771" s="75" t="s">
        <v>4151</v>
      </c>
    </row>
    <row r="1772" spans="1:28" ht="15" customHeight="1">
      <c r="A1772" s="285"/>
      <c r="C1772" s="25">
        <v>121</v>
      </c>
      <c r="D1772" s="2">
        <v>23356</v>
      </c>
      <c r="E1772" s="2" t="s">
        <v>4048</v>
      </c>
      <c r="F1772" s="3">
        <v>29101080101198</v>
      </c>
      <c r="G1772" s="2" t="s">
        <v>34</v>
      </c>
      <c r="H1772" s="2" t="s">
        <v>4049</v>
      </c>
      <c r="I1772" s="2" t="s">
        <v>66</v>
      </c>
      <c r="J1772" s="4">
        <v>43523</v>
      </c>
      <c r="K1772" s="2" t="s">
        <v>8</v>
      </c>
      <c r="L1772" s="2" t="s">
        <v>12</v>
      </c>
      <c r="M1772" s="2" t="s">
        <v>771</v>
      </c>
      <c r="R1772" s="77">
        <v>3</v>
      </c>
      <c r="S1772" s="77">
        <v>2</v>
      </c>
      <c r="T1772" s="77">
        <v>2</v>
      </c>
      <c r="U1772" s="77">
        <v>2</v>
      </c>
      <c r="V1772" s="77">
        <v>3</v>
      </c>
      <c r="W1772" s="16" t="s">
        <v>60</v>
      </c>
      <c r="X1772" s="2" t="s">
        <v>67</v>
      </c>
      <c r="Y1772" s="45">
        <v>43557</v>
      </c>
      <c r="Z1772" s="16" t="s">
        <v>66</v>
      </c>
      <c r="AA1772" s="7">
        <v>43562</v>
      </c>
      <c r="AB1772" s="75" t="s">
        <v>4151</v>
      </c>
    </row>
    <row r="1773" spans="1:28" ht="15" customHeight="1">
      <c r="A1773" s="285"/>
      <c r="C1773" s="25">
        <v>121</v>
      </c>
      <c r="D1773" s="2">
        <v>23357</v>
      </c>
      <c r="E1773" s="2" t="s">
        <v>4050</v>
      </c>
      <c r="F1773" s="3">
        <v>28805170101336</v>
      </c>
      <c r="G1773" s="2" t="s">
        <v>34</v>
      </c>
      <c r="H1773" s="2" t="s">
        <v>4051</v>
      </c>
      <c r="I1773" s="2" t="s">
        <v>66</v>
      </c>
      <c r="J1773" s="4">
        <v>43523</v>
      </c>
      <c r="K1773" s="2" t="s">
        <v>8</v>
      </c>
      <c r="L1773" s="2" t="s">
        <v>12</v>
      </c>
      <c r="M1773" s="2" t="s">
        <v>294</v>
      </c>
      <c r="R1773" s="77">
        <v>3</v>
      </c>
      <c r="S1773" s="77">
        <v>2.5</v>
      </c>
      <c r="T1773" s="77">
        <v>2</v>
      </c>
      <c r="U1773" s="77">
        <v>2</v>
      </c>
      <c r="V1773" s="77">
        <v>3</v>
      </c>
      <c r="W1773" s="16" t="s">
        <v>62</v>
      </c>
      <c r="Y1773" s="7">
        <v>43550</v>
      </c>
      <c r="Z1773" s="16" t="s">
        <v>66</v>
      </c>
      <c r="AA1773" s="7">
        <v>43545</v>
      </c>
    </row>
    <row r="1774" spans="1:28" ht="15" customHeight="1">
      <c r="A1774" s="285"/>
      <c r="C1774" s="25">
        <v>121</v>
      </c>
      <c r="D1774" s="2">
        <v>23358</v>
      </c>
      <c r="E1774" s="2" t="s">
        <v>4052</v>
      </c>
      <c r="F1774" s="3">
        <v>28201238800588</v>
      </c>
      <c r="G1774" s="2" t="s">
        <v>34</v>
      </c>
      <c r="H1774" s="2" t="s">
        <v>4053</v>
      </c>
      <c r="I1774" s="2" t="s">
        <v>66</v>
      </c>
      <c r="J1774" s="4">
        <v>43523</v>
      </c>
      <c r="K1774" s="2" t="s">
        <v>8</v>
      </c>
      <c r="L1774" s="2" t="s">
        <v>12</v>
      </c>
      <c r="M1774" s="75" t="s">
        <v>294</v>
      </c>
      <c r="W1774" s="16" t="s">
        <v>63</v>
      </c>
      <c r="Z1774" s="16" t="s">
        <v>67</v>
      </c>
    </row>
    <row r="1775" spans="1:28" ht="15" customHeight="1">
      <c r="A1775" s="285"/>
      <c r="C1775" s="25">
        <v>121</v>
      </c>
      <c r="D1775" s="2">
        <v>23359</v>
      </c>
      <c r="E1775" s="2" t="s">
        <v>4054</v>
      </c>
      <c r="F1775" s="3">
        <v>29502011506113</v>
      </c>
      <c r="G1775" s="2" t="s">
        <v>34</v>
      </c>
      <c r="H1775" s="2" t="s">
        <v>4055</v>
      </c>
      <c r="I1775" s="2" t="s">
        <v>66</v>
      </c>
      <c r="J1775" s="4">
        <v>43523</v>
      </c>
      <c r="K1775" s="2" t="s">
        <v>8</v>
      </c>
      <c r="L1775" s="2" t="s">
        <v>12</v>
      </c>
      <c r="M1775" s="2" t="s">
        <v>3317</v>
      </c>
      <c r="R1775" s="77">
        <v>3</v>
      </c>
      <c r="S1775" s="77">
        <v>2</v>
      </c>
      <c r="T1775" s="86">
        <v>2</v>
      </c>
      <c r="U1775" s="77">
        <v>2</v>
      </c>
      <c r="V1775" s="77">
        <v>3</v>
      </c>
      <c r="W1775" s="16" t="s">
        <v>63</v>
      </c>
      <c r="X1775" s="2" t="s">
        <v>66</v>
      </c>
      <c r="Z1775" s="16" t="s">
        <v>67</v>
      </c>
      <c r="AB1775" s="2" t="s">
        <v>3901</v>
      </c>
    </row>
    <row r="1776" spans="1:28" ht="15" customHeight="1">
      <c r="A1776" s="285"/>
      <c r="C1776" s="25">
        <v>121</v>
      </c>
      <c r="D1776" s="2">
        <v>23360</v>
      </c>
      <c r="E1776" s="2" t="s">
        <v>4056</v>
      </c>
      <c r="F1776" s="3">
        <v>29510301301771</v>
      </c>
      <c r="G1776" s="2" t="s">
        <v>34</v>
      </c>
      <c r="H1776" s="2" t="s">
        <v>4057</v>
      </c>
      <c r="I1776" s="2" t="s">
        <v>66</v>
      </c>
      <c r="J1776" s="4">
        <v>43523</v>
      </c>
      <c r="K1776" s="2" t="s">
        <v>8</v>
      </c>
      <c r="L1776" s="2" t="s">
        <v>12</v>
      </c>
      <c r="M1776" s="2" t="s">
        <v>3173</v>
      </c>
      <c r="R1776" s="77">
        <v>3</v>
      </c>
      <c r="S1776" s="77">
        <v>2.5</v>
      </c>
      <c r="T1776" s="77">
        <v>2</v>
      </c>
      <c r="U1776" s="77">
        <v>2</v>
      </c>
      <c r="V1776" s="77">
        <v>3</v>
      </c>
      <c r="W1776" s="16" t="s">
        <v>62</v>
      </c>
      <c r="Y1776" s="7">
        <v>43550</v>
      </c>
      <c r="Z1776" s="16" t="s">
        <v>66</v>
      </c>
      <c r="AA1776" s="7">
        <v>43562</v>
      </c>
      <c r="AB1776" s="75" t="s">
        <v>3967</v>
      </c>
    </row>
    <row r="1777" spans="1:35" ht="15" customHeight="1">
      <c r="A1777" s="285"/>
      <c r="C1777" s="25">
        <v>121</v>
      </c>
      <c r="D1777" s="2">
        <v>23361</v>
      </c>
      <c r="E1777" s="2" t="s">
        <v>4058</v>
      </c>
      <c r="F1777" s="3">
        <v>29601190103024</v>
      </c>
      <c r="G1777" s="2" t="s">
        <v>34</v>
      </c>
      <c r="H1777" s="2" t="s">
        <v>4059</v>
      </c>
      <c r="I1777" s="2" t="s">
        <v>66</v>
      </c>
      <c r="J1777" s="4">
        <v>43523</v>
      </c>
      <c r="K1777" s="2" t="s">
        <v>8</v>
      </c>
      <c r="L1777" s="2" t="s">
        <v>12</v>
      </c>
      <c r="M1777" s="2" t="s">
        <v>52</v>
      </c>
      <c r="R1777" s="77">
        <v>3</v>
      </c>
      <c r="S1777" s="77">
        <v>3</v>
      </c>
      <c r="T1777" s="77">
        <v>2.5</v>
      </c>
      <c r="U1777" s="77">
        <v>2.5</v>
      </c>
      <c r="V1777" s="77">
        <v>3</v>
      </c>
      <c r="W1777" s="16" t="s">
        <v>170</v>
      </c>
      <c r="Y1777" s="7">
        <v>43550</v>
      </c>
      <c r="Z1777" s="16" t="s">
        <v>66</v>
      </c>
      <c r="AA1777" s="7">
        <v>43558</v>
      </c>
    </row>
    <row r="1778" spans="1:35" ht="15" customHeight="1">
      <c r="A1778" s="285"/>
      <c r="C1778" s="25">
        <v>121</v>
      </c>
      <c r="D1778" s="2">
        <v>23362</v>
      </c>
      <c r="E1778" s="2" t="s">
        <v>4060</v>
      </c>
      <c r="F1778" s="3">
        <v>29509122100366</v>
      </c>
      <c r="G1778" s="2" t="s">
        <v>34</v>
      </c>
      <c r="H1778" s="2" t="s">
        <v>4061</v>
      </c>
      <c r="I1778" s="2" t="s">
        <v>66</v>
      </c>
      <c r="J1778" s="4">
        <v>43523</v>
      </c>
      <c r="K1778" s="2" t="s">
        <v>8</v>
      </c>
      <c r="L1778" s="2" t="s">
        <v>12</v>
      </c>
      <c r="M1778" s="2" t="s">
        <v>55</v>
      </c>
      <c r="R1778" s="77">
        <v>3</v>
      </c>
      <c r="S1778" s="77">
        <v>2.5</v>
      </c>
      <c r="T1778" s="77">
        <v>2.5</v>
      </c>
      <c r="U1778" s="77">
        <v>2.5</v>
      </c>
      <c r="V1778" s="77">
        <v>3</v>
      </c>
      <c r="W1778" s="16" t="s">
        <v>60</v>
      </c>
      <c r="X1778" s="2" t="s">
        <v>67</v>
      </c>
      <c r="Y1778" s="45">
        <v>43557</v>
      </c>
      <c r="Z1778" s="16" t="s">
        <v>66</v>
      </c>
      <c r="AA1778" s="7">
        <v>43562</v>
      </c>
      <c r="AB1778" s="75" t="s">
        <v>4368</v>
      </c>
    </row>
    <row r="1779" spans="1:35" ht="15" customHeight="1">
      <c r="A1779" s="285"/>
      <c r="C1779" s="25">
        <v>121</v>
      </c>
      <c r="D1779" s="2">
        <v>23363</v>
      </c>
      <c r="E1779" s="2" t="s">
        <v>4062</v>
      </c>
      <c r="F1779" s="3">
        <v>29411250105133</v>
      </c>
      <c r="G1779" s="2" t="s">
        <v>34</v>
      </c>
      <c r="H1779" s="2" t="s">
        <v>4063</v>
      </c>
      <c r="I1779" s="2" t="s">
        <v>66</v>
      </c>
      <c r="J1779" s="4">
        <v>43523</v>
      </c>
      <c r="K1779" s="2" t="s">
        <v>8</v>
      </c>
      <c r="L1779" s="2" t="s">
        <v>12</v>
      </c>
      <c r="M1779" s="2" t="s">
        <v>103</v>
      </c>
      <c r="R1779" s="77">
        <v>3</v>
      </c>
      <c r="S1779" s="77">
        <v>2</v>
      </c>
      <c r="T1779" s="77">
        <v>2</v>
      </c>
      <c r="U1779" s="77">
        <v>2</v>
      </c>
      <c r="V1779" s="77">
        <v>3</v>
      </c>
      <c r="W1779" s="16" t="s">
        <v>62</v>
      </c>
      <c r="Y1779" s="7">
        <v>43550</v>
      </c>
      <c r="Z1779" s="16" t="s">
        <v>66</v>
      </c>
      <c r="AA1779" s="7">
        <v>43562</v>
      </c>
      <c r="AB1779" s="2" t="s">
        <v>3967</v>
      </c>
    </row>
    <row r="1780" spans="1:35" ht="15" customHeight="1">
      <c r="A1780" s="285"/>
      <c r="C1780" s="25">
        <v>121</v>
      </c>
      <c r="D1780" s="2">
        <v>23364</v>
      </c>
      <c r="E1780" s="2" t="s">
        <v>4064</v>
      </c>
      <c r="F1780" s="3">
        <v>30004042103934</v>
      </c>
      <c r="G1780" s="2" t="s">
        <v>4</v>
      </c>
      <c r="H1780" s="2" t="s">
        <v>4065</v>
      </c>
      <c r="I1780" s="2" t="s">
        <v>66</v>
      </c>
      <c r="J1780" s="4">
        <v>43523</v>
      </c>
      <c r="K1780" s="2" t="s">
        <v>8</v>
      </c>
      <c r="L1780" s="2" t="s">
        <v>12</v>
      </c>
      <c r="M1780" s="2" t="s">
        <v>197</v>
      </c>
      <c r="R1780" s="77">
        <v>3</v>
      </c>
      <c r="S1780" s="77">
        <v>2.5</v>
      </c>
      <c r="T1780" s="77">
        <v>2</v>
      </c>
      <c r="U1780" s="77">
        <v>2</v>
      </c>
      <c r="V1780" s="77">
        <v>3</v>
      </c>
      <c r="W1780" s="16" t="s">
        <v>60</v>
      </c>
      <c r="X1780" s="2" t="s">
        <v>67</v>
      </c>
      <c r="Y1780" s="45">
        <v>43557</v>
      </c>
      <c r="Z1780" s="16" t="s">
        <v>66</v>
      </c>
      <c r="AA1780" s="7">
        <v>43562</v>
      </c>
      <c r="AB1780" s="75" t="s">
        <v>4151</v>
      </c>
    </row>
    <row r="1781" spans="1:35" ht="15" customHeight="1">
      <c r="A1781" s="285"/>
      <c r="C1781" s="25">
        <v>121</v>
      </c>
      <c r="D1781" s="2">
        <v>23365</v>
      </c>
      <c r="E1781" s="2" t="s">
        <v>4066</v>
      </c>
      <c r="F1781" s="3">
        <v>28612128800914</v>
      </c>
      <c r="G1781" s="2" t="s">
        <v>34</v>
      </c>
      <c r="H1781" s="2" t="s">
        <v>4067</v>
      </c>
      <c r="I1781" s="2" t="s">
        <v>66</v>
      </c>
      <c r="J1781" s="4">
        <v>43523</v>
      </c>
      <c r="K1781" s="2" t="s">
        <v>8</v>
      </c>
      <c r="L1781" s="2" t="s">
        <v>12</v>
      </c>
      <c r="M1781" s="2" t="s">
        <v>736</v>
      </c>
      <c r="R1781" s="77">
        <v>3</v>
      </c>
      <c r="S1781" s="77">
        <v>2</v>
      </c>
      <c r="T1781" s="77">
        <v>2</v>
      </c>
      <c r="U1781" s="77">
        <v>2</v>
      </c>
      <c r="V1781" s="77">
        <v>3</v>
      </c>
      <c r="W1781" s="16" t="s">
        <v>3321</v>
      </c>
      <c r="Y1781" s="7">
        <v>43550</v>
      </c>
      <c r="Z1781" s="16" t="s">
        <v>66</v>
      </c>
      <c r="AA1781" s="7">
        <v>43545</v>
      </c>
      <c r="AB1781" s="2" t="s">
        <v>5693</v>
      </c>
    </row>
    <row r="1782" spans="1:35" ht="15" customHeight="1">
      <c r="A1782" s="285"/>
      <c r="C1782" s="25">
        <v>121</v>
      </c>
      <c r="D1782" s="2">
        <v>23366</v>
      </c>
      <c r="E1782" s="2" t="s">
        <v>4068</v>
      </c>
      <c r="F1782" s="3">
        <v>29610011234579</v>
      </c>
      <c r="G1782" s="2" t="s">
        <v>34</v>
      </c>
      <c r="H1782" s="2" t="s">
        <v>4069</v>
      </c>
      <c r="I1782" s="2" t="s">
        <v>66</v>
      </c>
      <c r="J1782" s="4">
        <v>43523</v>
      </c>
      <c r="K1782" s="2" t="s">
        <v>8</v>
      </c>
      <c r="L1782" s="2" t="s">
        <v>12</v>
      </c>
      <c r="M1782" s="2" t="s">
        <v>197</v>
      </c>
      <c r="R1782" s="77">
        <v>3</v>
      </c>
      <c r="S1782" s="77">
        <v>2.5</v>
      </c>
      <c r="T1782" s="77">
        <v>2.5</v>
      </c>
      <c r="U1782" s="77">
        <v>2</v>
      </c>
      <c r="V1782" s="77">
        <v>3</v>
      </c>
      <c r="W1782" s="16" t="s">
        <v>62</v>
      </c>
      <c r="X1782" s="2" t="s">
        <v>66</v>
      </c>
      <c r="Y1782" s="7">
        <v>43576</v>
      </c>
      <c r="Z1782" s="16" t="s">
        <v>67</v>
      </c>
      <c r="AB1782" s="2" t="s">
        <v>6738</v>
      </c>
    </row>
    <row r="1783" spans="1:35" ht="15" customHeight="1">
      <c r="A1783" s="285"/>
      <c r="C1783" s="25">
        <v>121</v>
      </c>
      <c r="D1783" s="2">
        <v>23367</v>
      </c>
      <c r="E1783" s="2" t="s">
        <v>4070</v>
      </c>
      <c r="F1783" s="3">
        <v>29206062102744</v>
      </c>
      <c r="G1783" s="2" t="s">
        <v>34</v>
      </c>
      <c r="H1783" s="2" t="s">
        <v>4071</v>
      </c>
      <c r="I1783" s="2" t="s">
        <v>66</v>
      </c>
      <c r="J1783" s="4">
        <v>43523</v>
      </c>
      <c r="K1783" s="2" t="s">
        <v>8</v>
      </c>
      <c r="L1783" s="2" t="s">
        <v>12</v>
      </c>
      <c r="M1783" s="2" t="s">
        <v>380</v>
      </c>
      <c r="R1783" s="77">
        <v>3</v>
      </c>
      <c r="S1783" s="77">
        <v>2.5</v>
      </c>
      <c r="T1783" s="77">
        <v>2.5</v>
      </c>
      <c r="U1783" s="77">
        <v>2.5</v>
      </c>
      <c r="V1783" s="77">
        <v>3</v>
      </c>
      <c r="W1783" s="16" t="s">
        <v>60</v>
      </c>
      <c r="Y1783" s="7">
        <v>43550</v>
      </c>
      <c r="Z1783" s="16" t="s">
        <v>66</v>
      </c>
      <c r="AA1783" s="7">
        <v>43577</v>
      </c>
      <c r="AB1783" s="2" t="s">
        <v>5374</v>
      </c>
    </row>
    <row r="1784" spans="1:35" ht="15" customHeight="1">
      <c r="A1784" s="285"/>
      <c r="C1784" s="25">
        <v>121</v>
      </c>
      <c r="D1784" s="2">
        <v>23368</v>
      </c>
      <c r="E1784" s="2" t="s">
        <v>4072</v>
      </c>
      <c r="F1784" s="3" t="s">
        <v>4073</v>
      </c>
      <c r="G1784" s="2" t="s">
        <v>3892</v>
      </c>
      <c r="H1784" s="2" t="s">
        <v>4074</v>
      </c>
      <c r="I1784" s="2" t="s">
        <v>66</v>
      </c>
      <c r="J1784" s="4">
        <v>43523</v>
      </c>
      <c r="K1784" s="2" t="s">
        <v>8</v>
      </c>
      <c r="L1784" s="2" t="s">
        <v>12</v>
      </c>
      <c r="M1784" s="2" t="s">
        <v>197</v>
      </c>
      <c r="R1784" s="77">
        <v>3</v>
      </c>
      <c r="S1784" s="77">
        <v>2.5</v>
      </c>
      <c r="T1784" s="77">
        <v>2</v>
      </c>
      <c r="U1784" s="77">
        <v>2</v>
      </c>
      <c r="V1784" s="77">
        <v>3</v>
      </c>
      <c r="W1784" s="75" t="s">
        <v>62</v>
      </c>
      <c r="X1784" s="2" t="s">
        <v>66</v>
      </c>
      <c r="Y1784" s="45">
        <v>43576</v>
      </c>
      <c r="Z1784" s="16" t="s">
        <v>66</v>
      </c>
      <c r="AA1784" s="7">
        <v>43611</v>
      </c>
    </row>
    <row r="1785" spans="1:35" ht="15.75" customHeight="1">
      <c r="A1785" s="285"/>
      <c r="C1785" s="25">
        <v>121</v>
      </c>
      <c r="D1785" s="2">
        <v>23369</v>
      </c>
      <c r="E1785" s="2" t="s">
        <v>4075</v>
      </c>
      <c r="F1785" s="3">
        <v>29506221500857</v>
      </c>
      <c r="G1785" s="2" t="s">
        <v>34</v>
      </c>
      <c r="H1785" s="2" t="s">
        <v>4076</v>
      </c>
      <c r="I1785" s="2" t="s">
        <v>66</v>
      </c>
      <c r="J1785" s="4">
        <v>43523</v>
      </c>
      <c r="K1785" s="2" t="s">
        <v>8</v>
      </c>
      <c r="L1785" s="2" t="s">
        <v>12</v>
      </c>
      <c r="M1785" s="2" t="s">
        <v>197</v>
      </c>
      <c r="R1785" s="77">
        <v>3</v>
      </c>
      <c r="S1785" s="77">
        <v>2.5</v>
      </c>
      <c r="T1785" s="77">
        <v>2.5</v>
      </c>
      <c r="U1785" s="77">
        <v>2</v>
      </c>
      <c r="V1785" s="77">
        <v>3</v>
      </c>
      <c r="W1785" s="16" t="s">
        <v>60</v>
      </c>
      <c r="X1785" s="2" t="s">
        <v>67</v>
      </c>
      <c r="Y1785" s="45">
        <v>43557</v>
      </c>
      <c r="Z1785" s="16" t="s">
        <v>67</v>
      </c>
      <c r="AB1785" s="75" t="s">
        <v>4186</v>
      </c>
    </row>
    <row r="1786" spans="1:35" ht="15.75" customHeight="1" thickBot="1">
      <c r="A1786" s="286"/>
      <c r="C1786" s="28">
        <v>121</v>
      </c>
      <c r="D1786" s="28">
        <v>15110</v>
      </c>
      <c r="E1786" s="28" t="s">
        <v>3334</v>
      </c>
      <c r="F1786" s="29">
        <v>28909010101585</v>
      </c>
      <c r="G1786" s="28" t="s">
        <v>34</v>
      </c>
      <c r="H1786" s="28" t="s">
        <v>3345</v>
      </c>
      <c r="I1786" s="28" t="s">
        <v>67</v>
      </c>
      <c r="J1786" s="30">
        <v>43523</v>
      </c>
      <c r="K1786" s="28" t="s">
        <v>8</v>
      </c>
      <c r="L1786" s="28" t="s">
        <v>12</v>
      </c>
      <c r="M1786" s="28" t="s">
        <v>696</v>
      </c>
      <c r="N1786" s="28"/>
      <c r="O1786" s="226"/>
      <c r="P1786" s="28"/>
      <c r="Q1786" s="226"/>
      <c r="R1786" s="37">
        <v>3</v>
      </c>
      <c r="S1786" s="37">
        <v>3</v>
      </c>
      <c r="T1786" s="37">
        <v>2.5</v>
      </c>
      <c r="U1786" s="37">
        <v>2</v>
      </c>
      <c r="V1786" s="37">
        <v>3</v>
      </c>
      <c r="W1786" s="28" t="s">
        <v>62</v>
      </c>
      <c r="X1786" s="28"/>
      <c r="Y1786" s="30">
        <v>43550</v>
      </c>
      <c r="Z1786" s="28" t="s">
        <v>66</v>
      </c>
      <c r="AA1786" s="30">
        <v>43562</v>
      </c>
      <c r="AB1786" s="28" t="s">
        <v>3967</v>
      </c>
    </row>
    <row r="1787" spans="1:35" ht="15.75" customHeight="1" thickTop="1">
      <c r="A1787" s="284" t="s">
        <v>3696</v>
      </c>
      <c r="C1787" s="25">
        <v>122</v>
      </c>
      <c r="D1787" s="25">
        <v>23380</v>
      </c>
      <c r="E1787" s="25" t="s">
        <v>4089</v>
      </c>
      <c r="F1787" s="26">
        <v>28701110100292</v>
      </c>
      <c r="G1787" s="25" t="s">
        <v>129</v>
      </c>
      <c r="H1787" s="25" t="s">
        <v>4090</v>
      </c>
      <c r="I1787" s="25" t="s">
        <v>66</v>
      </c>
      <c r="J1787" s="27">
        <v>43527</v>
      </c>
      <c r="K1787" s="25" t="s">
        <v>8</v>
      </c>
      <c r="L1787" s="25" t="s">
        <v>12</v>
      </c>
      <c r="M1787" s="25" t="s">
        <v>736</v>
      </c>
      <c r="N1787" s="25"/>
      <c r="O1787" s="224"/>
      <c r="P1787" s="25"/>
      <c r="Q1787" s="224"/>
      <c r="R1787" s="77">
        <v>3</v>
      </c>
      <c r="S1787" s="77">
        <v>2.5</v>
      </c>
      <c r="T1787" s="77">
        <v>2.5</v>
      </c>
      <c r="U1787" s="77">
        <v>2</v>
      </c>
      <c r="V1787" s="77">
        <v>3</v>
      </c>
      <c r="W1787" s="75" t="s">
        <v>60</v>
      </c>
      <c r="X1787" s="75" t="s">
        <v>67</v>
      </c>
      <c r="Y1787" s="45">
        <v>43557</v>
      </c>
      <c r="Z1787" s="25" t="s">
        <v>66</v>
      </c>
      <c r="AA1787" s="27">
        <v>43562</v>
      </c>
      <c r="AB1787" s="75" t="s">
        <v>4151</v>
      </c>
      <c r="AD1787" s="296" t="s">
        <v>4513</v>
      </c>
      <c r="AE1787" s="296"/>
      <c r="AF1787" s="296"/>
      <c r="AG1787" s="296"/>
      <c r="AH1787" s="296"/>
      <c r="AI1787" s="296"/>
    </row>
    <row r="1788" spans="1:35" ht="15" customHeight="1">
      <c r="A1788" s="285"/>
      <c r="C1788" s="25">
        <v>122</v>
      </c>
      <c r="D1788" s="2">
        <v>23381</v>
      </c>
      <c r="E1788" s="2" t="s">
        <v>4091</v>
      </c>
      <c r="F1788" s="3">
        <v>29605282402384</v>
      </c>
      <c r="G1788" s="2" t="s">
        <v>129</v>
      </c>
      <c r="H1788" s="2" t="s">
        <v>4092</v>
      </c>
      <c r="I1788" s="2" t="s">
        <v>66</v>
      </c>
      <c r="J1788" s="4">
        <v>43527</v>
      </c>
      <c r="K1788" s="2" t="s">
        <v>8</v>
      </c>
      <c r="L1788" s="2" t="s">
        <v>12</v>
      </c>
      <c r="M1788" s="2" t="s">
        <v>226</v>
      </c>
      <c r="R1788" s="77">
        <v>3</v>
      </c>
      <c r="S1788" s="77">
        <v>2.5</v>
      </c>
      <c r="T1788" s="77">
        <v>2.5</v>
      </c>
      <c r="U1788" s="77">
        <v>2.5</v>
      </c>
      <c r="V1788" s="77">
        <v>3</v>
      </c>
      <c r="W1788" s="16" t="s">
        <v>60</v>
      </c>
      <c r="X1788" s="2" t="s">
        <v>67</v>
      </c>
      <c r="Y1788" s="45">
        <v>43557</v>
      </c>
      <c r="Z1788" s="16" t="s">
        <v>66</v>
      </c>
      <c r="AA1788" s="7">
        <v>43558</v>
      </c>
      <c r="AB1788" s="75" t="s">
        <v>4151</v>
      </c>
      <c r="AD1788" s="100" t="s">
        <v>4505</v>
      </c>
      <c r="AE1788" s="101" t="s">
        <v>4506</v>
      </c>
      <c r="AF1788" s="68"/>
      <c r="AG1788" s="100" t="s">
        <v>34</v>
      </c>
      <c r="AH1788" s="100" t="s">
        <v>3817</v>
      </c>
      <c r="AI1788" s="101" t="s">
        <v>4507</v>
      </c>
    </row>
    <row r="1789" spans="1:35" ht="15" customHeight="1">
      <c r="A1789" s="285"/>
      <c r="C1789" s="25">
        <v>122</v>
      </c>
      <c r="D1789" s="2">
        <v>23382</v>
      </c>
      <c r="E1789" s="2" t="s">
        <v>4093</v>
      </c>
      <c r="F1789" s="3">
        <v>28410190100536</v>
      </c>
      <c r="G1789" s="2" t="s">
        <v>129</v>
      </c>
      <c r="H1789" s="2" t="s">
        <v>4094</v>
      </c>
      <c r="I1789" s="2" t="s">
        <v>66</v>
      </c>
      <c r="J1789" s="4">
        <v>43527</v>
      </c>
      <c r="K1789" s="2" t="s">
        <v>8</v>
      </c>
      <c r="L1789" s="2" t="s">
        <v>12</v>
      </c>
      <c r="M1789" s="2" t="s">
        <v>551</v>
      </c>
      <c r="R1789" s="77">
        <v>3</v>
      </c>
      <c r="S1789" s="77">
        <v>2</v>
      </c>
      <c r="T1789" s="77">
        <v>2.5</v>
      </c>
      <c r="U1789" s="77">
        <v>2</v>
      </c>
      <c r="V1789" s="77">
        <v>3</v>
      </c>
      <c r="W1789" s="16" t="s">
        <v>62</v>
      </c>
      <c r="Y1789" s="7">
        <v>43555</v>
      </c>
      <c r="Z1789" s="16" t="s">
        <v>67</v>
      </c>
      <c r="AB1789" s="2" t="s">
        <v>4439</v>
      </c>
      <c r="AD1789" s="46">
        <v>72</v>
      </c>
      <c r="AE1789" s="46">
        <v>13</v>
      </c>
      <c r="AF1789" s="68"/>
      <c r="AG1789" s="46">
        <f>AD1789-AE1789</f>
        <v>59</v>
      </c>
      <c r="AH1789" s="46">
        <v>45</v>
      </c>
      <c r="AI1789" s="46">
        <v>27</v>
      </c>
    </row>
    <row r="1790" spans="1:35" ht="15" customHeight="1">
      <c r="A1790" s="285"/>
      <c r="C1790" s="25">
        <v>122</v>
      </c>
      <c r="D1790" s="2">
        <v>23383</v>
      </c>
      <c r="E1790" s="2" t="s">
        <v>4095</v>
      </c>
      <c r="F1790" s="3">
        <v>29512250104022</v>
      </c>
      <c r="G1790" s="2" t="s">
        <v>129</v>
      </c>
      <c r="H1790" s="2" t="s">
        <v>4096</v>
      </c>
      <c r="I1790" s="2" t="s">
        <v>66</v>
      </c>
      <c r="J1790" s="4">
        <v>43527</v>
      </c>
      <c r="K1790" s="2" t="s">
        <v>8</v>
      </c>
      <c r="L1790" s="2" t="s">
        <v>12</v>
      </c>
      <c r="M1790" s="2" t="s">
        <v>3696</v>
      </c>
      <c r="R1790" s="77">
        <v>3</v>
      </c>
      <c r="S1790" s="77">
        <v>2.5</v>
      </c>
      <c r="T1790" s="77">
        <v>2.5</v>
      </c>
      <c r="U1790" s="77">
        <v>2.5</v>
      </c>
      <c r="V1790" s="77">
        <v>3</v>
      </c>
      <c r="W1790" s="16" t="s">
        <v>170</v>
      </c>
      <c r="Y1790" s="7">
        <v>43555</v>
      </c>
      <c r="Z1790" s="16" t="s">
        <v>66</v>
      </c>
      <c r="AA1790" s="7">
        <v>43558</v>
      </c>
      <c r="AD1790" s="44"/>
      <c r="AE1790" s="44"/>
      <c r="AF1790" s="44"/>
      <c r="AG1790" s="44"/>
      <c r="AH1790" s="44"/>
      <c r="AI1790" s="44"/>
    </row>
    <row r="1791" spans="1:35" ht="15" customHeight="1">
      <c r="A1791" s="285"/>
      <c r="C1791" s="25">
        <v>122</v>
      </c>
      <c r="D1791" s="2">
        <v>23384</v>
      </c>
      <c r="E1791" s="2" t="s">
        <v>4097</v>
      </c>
      <c r="F1791" s="3">
        <v>29509070101989</v>
      </c>
      <c r="G1791" s="2" t="s">
        <v>129</v>
      </c>
      <c r="H1791" s="2" t="s">
        <v>4098</v>
      </c>
      <c r="I1791" s="2" t="s">
        <v>66</v>
      </c>
      <c r="J1791" s="4">
        <v>43527</v>
      </c>
      <c r="K1791" s="2" t="s">
        <v>8</v>
      </c>
      <c r="L1791" s="2" t="s">
        <v>12</v>
      </c>
      <c r="M1791" s="2" t="s">
        <v>771</v>
      </c>
      <c r="R1791" s="77">
        <v>3</v>
      </c>
      <c r="S1791" s="77">
        <v>2.5</v>
      </c>
      <c r="T1791" s="77">
        <v>2.5</v>
      </c>
      <c r="U1791" s="77">
        <v>2.5</v>
      </c>
      <c r="V1791" s="77">
        <v>3</v>
      </c>
      <c r="W1791" s="16" t="s">
        <v>60</v>
      </c>
      <c r="Y1791" s="7">
        <v>43555</v>
      </c>
      <c r="Z1791" s="16" t="s">
        <v>66</v>
      </c>
      <c r="AA1791" s="7">
        <v>43558</v>
      </c>
      <c r="AD1791" s="297" t="s">
        <v>4504</v>
      </c>
      <c r="AE1791" s="297"/>
      <c r="AF1791" s="44"/>
      <c r="AG1791" s="298" t="s">
        <v>502</v>
      </c>
      <c r="AH1791" s="298"/>
      <c r="AI1791" s="44"/>
    </row>
    <row r="1792" spans="1:35" ht="15" customHeight="1">
      <c r="A1792" s="285"/>
      <c r="C1792" s="25">
        <v>122</v>
      </c>
      <c r="D1792" s="2">
        <v>23385</v>
      </c>
      <c r="E1792" s="2" t="s">
        <v>4099</v>
      </c>
      <c r="F1792" s="3" t="s">
        <v>4100</v>
      </c>
      <c r="G1792" s="2" t="s">
        <v>129</v>
      </c>
      <c r="H1792" s="2" t="s">
        <v>4101</v>
      </c>
      <c r="I1792" s="2" t="s">
        <v>66</v>
      </c>
      <c r="J1792" s="4">
        <v>43527</v>
      </c>
      <c r="K1792" s="2" t="s">
        <v>8</v>
      </c>
      <c r="L1792" s="2" t="s">
        <v>12</v>
      </c>
      <c r="M1792" s="2" t="s">
        <v>585</v>
      </c>
      <c r="R1792" s="77">
        <v>3</v>
      </c>
      <c r="S1792" s="77">
        <v>2.5</v>
      </c>
      <c r="T1792" s="77">
        <v>2.5</v>
      </c>
      <c r="U1792" s="77">
        <v>2</v>
      </c>
      <c r="V1792" s="77">
        <v>3</v>
      </c>
      <c r="W1792" s="16" t="s">
        <v>60</v>
      </c>
      <c r="X1792" s="2" t="s">
        <v>67</v>
      </c>
      <c r="Y1792" s="45">
        <v>43557</v>
      </c>
      <c r="Z1792" s="16" t="s">
        <v>66</v>
      </c>
      <c r="AA1792" s="7">
        <v>43558</v>
      </c>
      <c r="AB1792" s="75" t="s">
        <v>4151</v>
      </c>
      <c r="AD1792" s="295">
        <v>20</v>
      </c>
      <c r="AE1792" s="295"/>
      <c r="AF1792" s="44"/>
      <c r="AG1792" s="295">
        <v>8</v>
      </c>
      <c r="AH1792" s="295"/>
      <c r="AI1792" s="44"/>
    </row>
    <row r="1793" spans="1:35" ht="15" customHeight="1">
      <c r="A1793" s="285"/>
      <c r="C1793" s="25">
        <v>122</v>
      </c>
      <c r="D1793" s="2">
        <v>23386</v>
      </c>
      <c r="E1793" s="2" t="s">
        <v>4102</v>
      </c>
      <c r="F1793" s="3">
        <v>28411202101181</v>
      </c>
      <c r="G1793" s="2" t="s">
        <v>129</v>
      </c>
      <c r="H1793" s="2" t="s">
        <v>4103</v>
      </c>
      <c r="I1793" s="2" t="s">
        <v>66</v>
      </c>
      <c r="J1793" s="4">
        <v>43527</v>
      </c>
      <c r="K1793" s="2" t="s">
        <v>8</v>
      </c>
      <c r="L1793" s="2" t="s">
        <v>12</v>
      </c>
      <c r="M1793" s="2" t="s">
        <v>489</v>
      </c>
      <c r="R1793" s="77">
        <v>3</v>
      </c>
      <c r="S1793" s="77">
        <v>3</v>
      </c>
      <c r="T1793" s="77">
        <v>2</v>
      </c>
      <c r="U1793" s="77">
        <v>2</v>
      </c>
      <c r="V1793" s="77">
        <v>3</v>
      </c>
      <c r="W1793" s="16" t="s">
        <v>60</v>
      </c>
      <c r="X1793" s="2" t="s">
        <v>67</v>
      </c>
      <c r="Y1793" s="45">
        <v>43557</v>
      </c>
      <c r="Z1793" s="16" t="s">
        <v>66</v>
      </c>
      <c r="AA1793" s="7">
        <v>43558</v>
      </c>
      <c r="AB1793" s="75" t="s">
        <v>4151</v>
      </c>
      <c r="AD1793" s="44"/>
      <c r="AE1793" s="44"/>
      <c r="AF1793" s="44"/>
      <c r="AG1793" s="44"/>
      <c r="AH1793" s="44"/>
      <c r="AI1793" s="44"/>
    </row>
    <row r="1794" spans="1:35" ht="15" customHeight="1">
      <c r="A1794" s="285"/>
      <c r="C1794" s="25">
        <v>122</v>
      </c>
      <c r="D1794" s="2">
        <v>23387</v>
      </c>
      <c r="E1794" s="2" t="s">
        <v>4104</v>
      </c>
      <c r="F1794" s="3">
        <v>29511050102827</v>
      </c>
      <c r="G1794" s="2" t="s">
        <v>129</v>
      </c>
      <c r="H1794" s="2" t="s">
        <v>4105</v>
      </c>
      <c r="I1794" s="2" t="s">
        <v>66</v>
      </c>
      <c r="J1794" s="4">
        <v>43527</v>
      </c>
      <c r="K1794" s="2" t="s">
        <v>8</v>
      </c>
      <c r="L1794" s="2" t="s">
        <v>12</v>
      </c>
      <c r="M1794" s="2" t="s">
        <v>147</v>
      </c>
      <c r="R1794" s="77">
        <v>3</v>
      </c>
      <c r="S1794" s="77">
        <v>2.5</v>
      </c>
      <c r="T1794" s="77">
        <v>2.5</v>
      </c>
      <c r="U1794" s="77">
        <v>2.5</v>
      </c>
      <c r="V1794" s="77">
        <v>3</v>
      </c>
      <c r="W1794" s="16" t="s">
        <v>170</v>
      </c>
      <c r="Y1794" s="7">
        <v>43555</v>
      </c>
      <c r="Z1794" s="16" t="s">
        <v>66</v>
      </c>
      <c r="AA1794" s="7">
        <v>43558</v>
      </c>
      <c r="AB1794" s="75" t="s">
        <v>4329</v>
      </c>
      <c r="AD1794" s="299" t="s">
        <v>4503</v>
      </c>
      <c r="AE1794" s="299"/>
      <c r="AF1794" s="44"/>
      <c r="AG1794" s="300" t="s">
        <v>4502</v>
      </c>
      <c r="AH1794" s="300"/>
      <c r="AI1794" s="44"/>
    </row>
    <row r="1795" spans="1:35" ht="15" customHeight="1">
      <c r="A1795" s="285"/>
      <c r="C1795" s="25">
        <v>122</v>
      </c>
      <c r="D1795" s="2">
        <v>23388</v>
      </c>
      <c r="E1795" s="2" t="s">
        <v>4106</v>
      </c>
      <c r="F1795" s="3">
        <v>29210142200817</v>
      </c>
      <c r="G1795" s="2" t="s">
        <v>129</v>
      </c>
      <c r="H1795" s="2" t="s">
        <v>4107</v>
      </c>
      <c r="I1795" s="2" t="s">
        <v>66</v>
      </c>
      <c r="J1795" s="4">
        <v>43527</v>
      </c>
      <c r="K1795" s="2" t="s">
        <v>8</v>
      </c>
      <c r="L1795" s="2" t="s">
        <v>12</v>
      </c>
      <c r="M1795" s="2" t="s">
        <v>380</v>
      </c>
      <c r="R1795" s="77">
        <v>3</v>
      </c>
      <c r="S1795" s="77">
        <v>2.5</v>
      </c>
      <c r="T1795" s="77">
        <v>2.5</v>
      </c>
      <c r="U1795" s="77">
        <v>2.5</v>
      </c>
      <c r="V1795" s="77">
        <v>3</v>
      </c>
      <c r="W1795" s="16" t="s">
        <v>62</v>
      </c>
      <c r="Y1795" s="7">
        <v>43555</v>
      </c>
      <c r="Z1795" s="16" t="s">
        <v>66</v>
      </c>
      <c r="AA1795" s="7">
        <v>43607</v>
      </c>
      <c r="AB1795" s="2" t="s">
        <v>4407</v>
      </c>
      <c r="AD1795" s="295">
        <v>2</v>
      </c>
      <c r="AE1795" s="295"/>
      <c r="AF1795" s="44"/>
      <c r="AG1795" s="295">
        <v>26</v>
      </c>
      <c r="AH1795" s="295"/>
      <c r="AI1795" s="44"/>
    </row>
    <row r="1796" spans="1:35" ht="15" customHeight="1">
      <c r="A1796" s="285"/>
      <c r="C1796" s="25">
        <v>122</v>
      </c>
      <c r="D1796" s="2">
        <v>23389</v>
      </c>
      <c r="E1796" s="2" t="s">
        <v>4108</v>
      </c>
      <c r="F1796" s="3">
        <v>29604150101389</v>
      </c>
      <c r="G1796" s="2" t="s">
        <v>129</v>
      </c>
      <c r="H1796" s="2" t="s">
        <v>4109</v>
      </c>
      <c r="I1796" s="2" t="s">
        <v>66</v>
      </c>
      <c r="J1796" s="4">
        <v>43527</v>
      </c>
      <c r="K1796" s="2" t="s">
        <v>8</v>
      </c>
      <c r="L1796" s="2" t="s">
        <v>12</v>
      </c>
      <c r="M1796" s="2" t="s">
        <v>736</v>
      </c>
      <c r="W1796" s="16" t="s">
        <v>63</v>
      </c>
      <c r="Z1796" s="16" t="s">
        <v>67</v>
      </c>
      <c r="AD1796" s="44"/>
      <c r="AE1796" s="44"/>
      <c r="AF1796" s="44"/>
      <c r="AG1796" s="44"/>
      <c r="AH1796" s="44"/>
      <c r="AI1796" s="44"/>
    </row>
    <row r="1797" spans="1:35" ht="15" customHeight="1">
      <c r="A1797" s="285"/>
      <c r="C1797" s="25">
        <v>122</v>
      </c>
      <c r="D1797" s="2">
        <v>23390</v>
      </c>
      <c r="E1797" s="2" t="s">
        <v>4110</v>
      </c>
      <c r="F1797" s="3">
        <v>29605010109629</v>
      </c>
      <c r="G1797" s="2" t="s">
        <v>129</v>
      </c>
      <c r="H1797" s="2" t="s">
        <v>4111</v>
      </c>
      <c r="I1797" s="2" t="s">
        <v>66</v>
      </c>
      <c r="J1797" s="4">
        <v>43527</v>
      </c>
      <c r="K1797" s="2" t="s">
        <v>8</v>
      </c>
      <c r="L1797" s="2" t="s">
        <v>12</v>
      </c>
      <c r="M1797" s="2" t="s">
        <v>3696</v>
      </c>
      <c r="R1797" s="77">
        <v>3</v>
      </c>
      <c r="S1797" s="77">
        <v>2</v>
      </c>
      <c r="T1797" s="77">
        <v>2.5</v>
      </c>
      <c r="U1797" s="77">
        <v>2.5</v>
      </c>
      <c r="V1797" s="77">
        <v>3</v>
      </c>
      <c r="W1797" s="16" t="s">
        <v>60</v>
      </c>
      <c r="X1797" s="2" t="s">
        <v>67</v>
      </c>
      <c r="Y1797" s="45">
        <v>43557</v>
      </c>
      <c r="Z1797" s="16" t="s">
        <v>66</v>
      </c>
      <c r="AA1797" s="7">
        <v>43562</v>
      </c>
      <c r="AB1797" s="75" t="s">
        <v>4151</v>
      </c>
      <c r="AD1797" s="44"/>
      <c r="AE1797" s="301" t="s">
        <v>4509</v>
      </c>
      <c r="AF1797" s="301"/>
      <c r="AG1797" s="301"/>
      <c r="AH1797" s="44"/>
      <c r="AI1797" s="44"/>
    </row>
    <row r="1798" spans="1:35" ht="15" customHeight="1">
      <c r="A1798" s="285"/>
      <c r="C1798" s="25">
        <v>122</v>
      </c>
      <c r="D1798" s="2">
        <v>23391</v>
      </c>
      <c r="E1798" s="2" t="s">
        <v>4112</v>
      </c>
      <c r="F1798" s="3">
        <v>29701250105883</v>
      </c>
      <c r="G1798" s="2" t="s">
        <v>129</v>
      </c>
      <c r="H1798" s="2" t="s">
        <v>4113</v>
      </c>
      <c r="I1798" s="2" t="s">
        <v>66</v>
      </c>
      <c r="J1798" s="4">
        <v>43527</v>
      </c>
      <c r="K1798" s="2" t="s">
        <v>8</v>
      </c>
      <c r="L1798" s="2" t="s">
        <v>12</v>
      </c>
      <c r="M1798" s="2" t="s">
        <v>103</v>
      </c>
      <c r="R1798" s="77">
        <v>3</v>
      </c>
      <c r="S1798" s="77">
        <v>2.5</v>
      </c>
      <c r="T1798" s="77">
        <v>2.5</v>
      </c>
      <c r="U1798" s="77">
        <v>2</v>
      </c>
      <c r="V1798" s="77">
        <v>3</v>
      </c>
      <c r="W1798" s="16" t="s">
        <v>62</v>
      </c>
      <c r="Y1798" s="7">
        <v>43555</v>
      </c>
      <c r="Z1798" s="16" t="s">
        <v>66</v>
      </c>
      <c r="AA1798" s="7">
        <v>43562</v>
      </c>
      <c r="AB1798" s="2" t="s">
        <v>3967</v>
      </c>
      <c r="AD1798" s="44"/>
      <c r="AE1798" s="295">
        <v>2</v>
      </c>
      <c r="AF1798" s="295"/>
      <c r="AG1798" s="295"/>
      <c r="AH1798" s="44"/>
      <c r="AI1798" s="44"/>
    </row>
    <row r="1799" spans="1:35" ht="15" customHeight="1">
      <c r="A1799" s="285"/>
      <c r="C1799" s="25">
        <v>122</v>
      </c>
      <c r="D1799" s="2">
        <v>21898</v>
      </c>
      <c r="E1799" s="2" t="s">
        <v>447</v>
      </c>
      <c r="F1799" s="3">
        <v>29607100102561</v>
      </c>
      <c r="G1799" s="2" t="s">
        <v>129</v>
      </c>
      <c r="H1799" s="2" t="s">
        <v>462</v>
      </c>
      <c r="I1799" s="2" t="s">
        <v>67</v>
      </c>
      <c r="J1799" s="4">
        <v>43527</v>
      </c>
      <c r="K1799" s="2" t="s">
        <v>8</v>
      </c>
      <c r="L1799" s="2" t="s">
        <v>12</v>
      </c>
      <c r="M1799" s="2" t="s">
        <v>380</v>
      </c>
      <c r="R1799" s="77">
        <v>3</v>
      </c>
      <c r="S1799" s="77">
        <v>3</v>
      </c>
      <c r="T1799" s="77">
        <v>3</v>
      </c>
      <c r="U1799" s="77">
        <v>3</v>
      </c>
      <c r="V1799" s="77">
        <v>3</v>
      </c>
      <c r="W1799" s="16" t="s">
        <v>60</v>
      </c>
      <c r="Y1799" s="7">
        <v>43555</v>
      </c>
      <c r="Z1799" s="16" t="s">
        <v>66</v>
      </c>
      <c r="AA1799" s="7">
        <v>43558</v>
      </c>
    </row>
    <row r="1800" spans="1:35" ht="15" customHeight="1">
      <c r="A1800" s="285"/>
      <c r="C1800" s="25">
        <v>122</v>
      </c>
      <c r="D1800" s="2">
        <v>23447</v>
      </c>
      <c r="E1800" s="2" t="s">
        <v>4114</v>
      </c>
      <c r="F1800" s="3">
        <v>28601212100047</v>
      </c>
      <c r="G1800" s="2" t="s">
        <v>129</v>
      </c>
      <c r="H1800" s="8" t="s">
        <v>4115</v>
      </c>
      <c r="I1800" s="75" t="s">
        <v>66</v>
      </c>
      <c r="J1800" s="4">
        <v>43527</v>
      </c>
      <c r="K1800" s="2" t="s">
        <v>8</v>
      </c>
      <c r="L1800" s="2" t="s">
        <v>12</v>
      </c>
      <c r="M1800" s="2" t="s">
        <v>3734</v>
      </c>
      <c r="R1800" s="77">
        <v>3</v>
      </c>
      <c r="S1800" s="77">
        <v>3</v>
      </c>
      <c r="T1800" s="77">
        <v>2.5</v>
      </c>
      <c r="U1800" s="77">
        <v>2</v>
      </c>
      <c r="V1800" s="77">
        <v>3</v>
      </c>
      <c r="W1800" s="16" t="s">
        <v>63</v>
      </c>
      <c r="X1800" s="2" t="s">
        <v>66</v>
      </c>
      <c r="Z1800" s="16" t="s">
        <v>67</v>
      </c>
      <c r="AB1800" s="2" t="s">
        <v>4228</v>
      </c>
      <c r="AE1800" s="302" t="s">
        <v>4514</v>
      </c>
      <c r="AF1800" s="302"/>
      <c r="AG1800" s="302"/>
    </row>
    <row r="1801" spans="1:35" ht="15.75" customHeight="1" thickBot="1">
      <c r="A1801" s="286"/>
      <c r="C1801" s="28">
        <v>122</v>
      </c>
      <c r="D1801" s="28">
        <v>23479</v>
      </c>
      <c r="E1801" s="28" t="s">
        <v>4116</v>
      </c>
      <c r="F1801" s="29">
        <v>29712050103527</v>
      </c>
      <c r="G1801" s="28" t="s">
        <v>4025</v>
      </c>
      <c r="H1801" s="78" t="s">
        <v>4117</v>
      </c>
      <c r="I1801" s="28" t="s">
        <v>66</v>
      </c>
      <c r="J1801" s="30">
        <v>43527</v>
      </c>
      <c r="K1801" s="28" t="s">
        <v>8</v>
      </c>
      <c r="L1801" s="28" t="s">
        <v>12</v>
      </c>
      <c r="M1801" s="28" t="s">
        <v>438</v>
      </c>
      <c r="N1801" s="28"/>
      <c r="O1801" s="226"/>
      <c r="P1801" s="28"/>
      <c r="Q1801" s="226"/>
      <c r="R1801" s="37">
        <v>3</v>
      </c>
      <c r="S1801" s="37">
        <v>2.5</v>
      </c>
      <c r="T1801" s="37">
        <v>2</v>
      </c>
      <c r="U1801" s="37">
        <v>2</v>
      </c>
      <c r="V1801" s="37">
        <v>3</v>
      </c>
      <c r="W1801" s="28" t="s">
        <v>62</v>
      </c>
      <c r="X1801" s="28"/>
      <c r="Y1801" s="30">
        <v>43555</v>
      </c>
      <c r="Z1801" s="28" t="s">
        <v>66</v>
      </c>
      <c r="AA1801" s="30">
        <v>43562</v>
      </c>
      <c r="AB1801" s="28" t="s">
        <v>4331</v>
      </c>
      <c r="AE1801" s="295">
        <v>1</v>
      </c>
      <c r="AF1801" s="295"/>
      <c r="AG1801" s="295"/>
    </row>
    <row r="1802" spans="1:35" ht="15.75" customHeight="1" thickTop="1">
      <c r="A1802" s="284" t="s">
        <v>3124</v>
      </c>
      <c r="C1802" s="25" t="s">
        <v>4149</v>
      </c>
      <c r="D1802" s="25">
        <v>23370</v>
      </c>
      <c r="E1802" s="25" t="s">
        <v>4120</v>
      </c>
      <c r="F1802" s="26">
        <v>29008040103864</v>
      </c>
      <c r="G1802" s="25" t="s">
        <v>34</v>
      </c>
      <c r="H1802" s="25" t="s">
        <v>4121</v>
      </c>
      <c r="I1802" s="25" t="s">
        <v>66</v>
      </c>
      <c r="J1802" s="27">
        <v>43527</v>
      </c>
      <c r="K1802" s="25" t="s">
        <v>798</v>
      </c>
      <c r="L1802" s="25" t="s">
        <v>12</v>
      </c>
      <c r="M1802" s="25" t="s">
        <v>585</v>
      </c>
      <c r="N1802" s="25"/>
      <c r="O1802" s="224"/>
      <c r="P1802" s="25"/>
      <c r="Q1802" s="224"/>
      <c r="R1802" s="25">
        <v>3</v>
      </c>
      <c r="S1802" s="25">
        <v>2</v>
      </c>
      <c r="T1802" s="25">
        <v>2</v>
      </c>
      <c r="U1802" s="25">
        <v>2</v>
      </c>
      <c r="V1802" s="25">
        <v>3</v>
      </c>
      <c r="W1802" s="75" t="s">
        <v>4150</v>
      </c>
      <c r="X1802" s="25"/>
      <c r="Y1802" s="27">
        <v>43551</v>
      </c>
      <c r="Z1802" s="25" t="s">
        <v>67</v>
      </c>
      <c r="AA1802" s="27"/>
      <c r="AB1802" s="25" t="s">
        <v>4222</v>
      </c>
    </row>
    <row r="1803" spans="1:35" ht="15" customHeight="1">
      <c r="A1803" s="285"/>
      <c r="C1803" s="25" t="s">
        <v>4149</v>
      </c>
      <c r="D1803" s="2">
        <v>23371</v>
      </c>
      <c r="E1803" s="2" t="s">
        <v>4122</v>
      </c>
      <c r="F1803" s="3">
        <v>29207030101025</v>
      </c>
      <c r="G1803" s="2" t="s">
        <v>34</v>
      </c>
      <c r="H1803" s="2" t="s">
        <v>4123</v>
      </c>
      <c r="I1803" s="2" t="s">
        <v>66</v>
      </c>
      <c r="J1803" s="4">
        <v>43527</v>
      </c>
      <c r="K1803" s="2" t="s">
        <v>798</v>
      </c>
      <c r="L1803" s="2" t="s">
        <v>12</v>
      </c>
      <c r="M1803" s="2" t="s">
        <v>103</v>
      </c>
      <c r="R1803" s="16">
        <v>3</v>
      </c>
      <c r="S1803" s="16">
        <v>2</v>
      </c>
      <c r="T1803" s="16">
        <v>2</v>
      </c>
      <c r="U1803" s="16">
        <v>2</v>
      </c>
      <c r="V1803" s="16">
        <v>2</v>
      </c>
      <c r="W1803" s="75" t="s">
        <v>3321</v>
      </c>
      <c r="Y1803" s="27">
        <v>43551</v>
      </c>
      <c r="Z1803" s="16" t="s">
        <v>66</v>
      </c>
      <c r="AA1803" s="7">
        <v>43562</v>
      </c>
      <c r="AB1803" s="2" t="s">
        <v>3967</v>
      </c>
    </row>
    <row r="1804" spans="1:35" ht="15" customHeight="1">
      <c r="A1804" s="285"/>
      <c r="C1804" s="25" t="s">
        <v>4149</v>
      </c>
      <c r="D1804" s="2">
        <v>23372</v>
      </c>
      <c r="E1804" s="2" t="s">
        <v>4124</v>
      </c>
      <c r="F1804" s="3">
        <v>29301012120329</v>
      </c>
      <c r="G1804" s="2" t="s">
        <v>34</v>
      </c>
      <c r="H1804" s="2" t="s">
        <v>4125</v>
      </c>
      <c r="I1804" s="2" t="s">
        <v>66</v>
      </c>
      <c r="J1804" s="4">
        <v>43527</v>
      </c>
      <c r="K1804" s="2" t="s">
        <v>798</v>
      </c>
      <c r="L1804" s="2" t="s">
        <v>12</v>
      </c>
      <c r="M1804" s="2" t="s">
        <v>55</v>
      </c>
      <c r="R1804" s="16">
        <v>3</v>
      </c>
      <c r="S1804" s="16">
        <v>2</v>
      </c>
      <c r="T1804" s="16">
        <v>2</v>
      </c>
      <c r="U1804" s="16">
        <v>2</v>
      </c>
      <c r="V1804" s="16">
        <v>3</v>
      </c>
      <c r="W1804" s="75" t="s">
        <v>4150</v>
      </c>
      <c r="Y1804" s="27">
        <v>43551</v>
      </c>
      <c r="Z1804" s="16" t="s">
        <v>66</v>
      </c>
      <c r="AA1804" s="45">
        <v>43555</v>
      </c>
    </row>
    <row r="1805" spans="1:35" ht="15" customHeight="1">
      <c r="A1805" s="285"/>
      <c r="C1805" s="25" t="s">
        <v>4149</v>
      </c>
      <c r="D1805" s="2">
        <v>23373</v>
      </c>
      <c r="E1805" s="2" t="s">
        <v>4126</v>
      </c>
      <c r="F1805" s="3">
        <v>29502021401042</v>
      </c>
      <c r="G1805" s="2" t="s">
        <v>34</v>
      </c>
      <c r="H1805" s="2" t="s">
        <v>4127</v>
      </c>
      <c r="I1805" s="2" t="s">
        <v>66</v>
      </c>
      <c r="J1805" s="4">
        <v>43527</v>
      </c>
      <c r="K1805" s="2" t="s">
        <v>798</v>
      </c>
      <c r="L1805" s="2" t="s">
        <v>12</v>
      </c>
      <c r="M1805" s="2" t="s">
        <v>103</v>
      </c>
      <c r="R1805" s="16">
        <v>3</v>
      </c>
      <c r="S1805" s="16">
        <v>2</v>
      </c>
      <c r="T1805" s="16">
        <v>1.5</v>
      </c>
      <c r="U1805" s="16">
        <v>2</v>
      </c>
      <c r="V1805" s="16">
        <v>3</v>
      </c>
      <c r="W1805" s="16" t="s">
        <v>3818</v>
      </c>
      <c r="Y1805" s="27">
        <v>43551</v>
      </c>
    </row>
    <row r="1806" spans="1:35" ht="15" customHeight="1">
      <c r="A1806" s="285"/>
      <c r="C1806" s="25" t="s">
        <v>4149</v>
      </c>
      <c r="D1806" s="2">
        <v>23374</v>
      </c>
      <c r="E1806" s="2" t="s">
        <v>4128</v>
      </c>
      <c r="F1806" s="3">
        <v>29604272100162</v>
      </c>
      <c r="G1806" s="2" t="s">
        <v>34</v>
      </c>
      <c r="H1806" s="2" t="s">
        <v>4129</v>
      </c>
      <c r="I1806" s="2" t="s">
        <v>66</v>
      </c>
      <c r="J1806" s="4">
        <v>43527</v>
      </c>
      <c r="K1806" s="2" t="s">
        <v>798</v>
      </c>
      <c r="L1806" s="2" t="s">
        <v>12</v>
      </c>
      <c r="M1806" s="2" t="s">
        <v>3752</v>
      </c>
      <c r="R1806" s="16">
        <v>3</v>
      </c>
      <c r="S1806" s="16">
        <v>2</v>
      </c>
      <c r="T1806" s="16">
        <v>2</v>
      </c>
      <c r="U1806" s="16">
        <v>2</v>
      </c>
      <c r="V1806" s="16">
        <v>3</v>
      </c>
      <c r="W1806" s="75" t="s">
        <v>4150</v>
      </c>
      <c r="Y1806" s="27">
        <v>43551</v>
      </c>
      <c r="Z1806" s="16" t="s">
        <v>66</v>
      </c>
      <c r="AA1806" s="7">
        <v>43562</v>
      </c>
      <c r="AB1806" s="75" t="s">
        <v>5883</v>
      </c>
    </row>
    <row r="1807" spans="1:35" ht="15" customHeight="1">
      <c r="A1807" s="285"/>
      <c r="C1807" s="25" t="s">
        <v>4149</v>
      </c>
      <c r="D1807" s="2">
        <v>23375</v>
      </c>
      <c r="E1807" s="2" t="s">
        <v>4130</v>
      </c>
      <c r="F1807" s="3">
        <v>29711082101279</v>
      </c>
      <c r="G1807" s="2" t="s">
        <v>4131</v>
      </c>
      <c r="H1807" s="8" t="s">
        <v>4895</v>
      </c>
      <c r="I1807" s="2" t="s">
        <v>66</v>
      </c>
      <c r="J1807" s="4">
        <v>43527</v>
      </c>
      <c r="K1807" s="2" t="s">
        <v>798</v>
      </c>
      <c r="L1807" s="2" t="s">
        <v>12</v>
      </c>
      <c r="M1807" s="2" t="s">
        <v>3752</v>
      </c>
      <c r="R1807" s="16">
        <v>3</v>
      </c>
      <c r="S1807" s="16">
        <v>2</v>
      </c>
      <c r="T1807" s="16">
        <v>2</v>
      </c>
      <c r="U1807" s="16">
        <v>1.5</v>
      </c>
      <c r="V1807" s="16">
        <v>2</v>
      </c>
      <c r="W1807" s="16" t="s">
        <v>3818</v>
      </c>
      <c r="Y1807" s="27">
        <v>43551</v>
      </c>
      <c r="Z1807" s="16" t="s">
        <v>66</v>
      </c>
      <c r="AA1807" s="7">
        <v>43786</v>
      </c>
      <c r="AB1807" s="2" t="s">
        <v>5461</v>
      </c>
    </row>
    <row r="1808" spans="1:35" ht="15" customHeight="1">
      <c r="A1808" s="285"/>
      <c r="C1808" s="25" t="s">
        <v>4149</v>
      </c>
      <c r="D1808" s="2">
        <v>23376</v>
      </c>
      <c r="E1808" s="2" t="s">
        <v>4132</v>
      </c>
      <c r="F1808" s="3">
        <v>29503028800259</v>
      </c>
      <c r="G1808" s="2" t="s">
        <v>34</v>
      </c>
      <c r="H1808" s="2" t="s">
        <v>4133</v>
      </c>
      <c r="I1808" s="2" t="s">
        <v>66</v>
      </c>
      <c r="J1808" s="4">
        <v>43527</v>
      </c>
      <c r="K1808" s="2" t="s">
        <v>798</v>
      </c>
      <c r="L1808" s="2" t="s">
        <v>12</v>
      </c>
      <c r="M1808" s="75" t="s">
        <v>103</v>
      </c>
      <c r="R1808" s="16">
        <v>3</v>
      </c>
      <c r="S1808" s="16">
        <v>3</v>
      </c>
      <c r="T1808" s="16">
        <v>2.5</v>
      </c>
      <c r="U1808" s="16">
        <v>2</v>
      </c>
      <c r="V1808" s="16">
        <v>3</v>
      </c>
      <c r="W1808" s="16" t="s">
        <v>4150</v>
      </c>
      <c r="Y1808" s="27">
        <v>43551</v>
      </c>
      <c r="Z1808" s="16" t="s">
        <v>66</v>
      </c>
      <c r="AA1808" s="7">
        <v>43562</v>
      </c>
      <c r="AB1808" s="2" t="s">
        <v>3967</v>
      </c>
    </row>
    <row r="1809" spans="1:28" ht="15" customHeight="1">
      <c r="A1809" s="285"/>
      <c r="C1809" s="25" t="s">
        <v>4149</v>
      </c>
      <c r="D1809" s="2">
        <v>23377</v>
      </c>
      <c r="E1809" s="2" t="s">
        <v>4134</v>
      </c>
      <c r="F1809" s="3">
        <v>29306308800564</v>
      </c>
      <c r="G1809" s="2" t="s">
        <v>34</v>
      </c>
      <c r="H1809" s="2" t="s">
        <v>4135</v>
      </c>
      <c r="I1809" s="2" t="s">
        <v>66</v>
      </c>
      <c r="J1809" s="4">
        <v>43527</v>
      </c>
      <c r="K1809" s="2" t="s">
        <v>798</v>
      </c>
      <c r="L1809" s="2" t="s">
        <v>12</v>
      </c>
      <c r="M1809" s="2" t="s">
        <v>3173</v>
      </c>
      <c r="R1809" s="16">
        <v>3</v>
      </c>
      <c r="S1809" s="16">
        <v>2</v>
      </c>
      <c r="T1809" s="16">
        <v>2</v>
      </c>
      <c r="U1809" s="16">
        <v>2</v>
      </c>
      <c r="V1809" s="16">
        <v>3</v>
      </c>
      <c r="W1809" s="75" t="s">
        <v>4150</v>
      </c>
      <c r="Y1809" s="27">
        <v>43551</v>
      </c>
      <c r="Z1809" s="16" t="s">
        <v>66</v>
      </c>
      <c r="AA1809" s="45">
        <v>43555</v>
      </c>
    </row>
    <row r="1810" spans="1:28" ht="15" customHeight="1">
      <c r="A1810" s="285"/>
      <c r="C1810" s="25" t="s">
        <v>4149</v>
      </c>
      <c r="D1810" s="2">
        <v>23378</v>
      </c>
      <c r="E1810" s="2" t="s">
        <v>4136</v>
      </c>
      <c r="F1810" s="3">
        <v>29309200106253</v>
      </c>
      <c r="G1810" s="2" t="s">
        <v>34</v>
      </c>
      <c r="H1810" s="2" t="s">
        <v>4137</v>
      </c>
      <c r="I1810" s="2" t="s">
        <v>66</v>
      </c>
      <c r="J1810" s="4">
        <v>43527</v>
      </c>
      <c r="K1810" s="2" t="s">
        <v>798</v>
      </c>
      <c r="L1810" s="2" t="s">
        <v>12</v>
      </c>
      <c r="M1810" s="2" t="s">
        <v>3317</v>
      </c>
      <c r="R1810" s="16">
        <v>3</v>
      </c>
      <c r="S1810" s="16">
        <v>2</v>
      </c>
      <c r="T1810" s="16">
        <v>2</v>
      </c>
      <c r="U1810" s="16">
        <v>2</v>
      </c>
      <c r="V1810" s="16">
        <v>3</v>
      </c>
      <c r="W1810" s="75" t="s">
        <v>3321</v>
      </c>
      <c r="Y1810" s="27">
        <v>43551</v>
      </c>
      <c r="Z1810" s="16" t="s">
        <v>66</v>
      </c>
      <c r="AA1810" s="7">
        <v>43570</v>
      </c>
      <c r="AB1810" s="2" t="s">
        <v>4411</v>
      </c>
    </row>
    <row r="1811" spans="1:28" ht="15" customHeight="1">
      <c r="A1811" s="285"/>
      <c r="C1811" s="25" t="s">
        <v>4149</v>
      </c>
      <c r="D1811" s="2">
        <v>23379</v>
      </c>
      <c r="E1811" s="2" t="s">
        <v>4138</v>
      </c>
      <c r="F1811" s="3">
        <v>29505190101081</v>
      </c>
      <c r="G1811" s="2" t="s">
        <v>34</v>
      </c>
      <c r="H1811" s="2" t="s">
        <v>4139</v>
      </c>
      <c r="I1811" s="2" t="s">
        <v>66</v>
      </c>
      <c r="J1811" s="4">
        <v>43527</v>
      </c>
      <c r="K1811" s="2" t="s">
        <v>798</v>
      </c>
      <c r="L1811" s="2" t="s">
        <v>12</v>
      </c>
      <c r="M1811" s="2" t="s">
        <v>103</v>
      </c>
      <c r="R1811" s="16">
        <v>3</v>
      </c>
      <c r="S1811" s="16">
        <v>2</v>
      </c>
      <c r="T1811" s="16">
        <v>2</v>
      </c>
      <c r="U1811" s="16">
        <v>2</v>
      </c>
      <c r="V1811" s="16">
        <v>3</v>
      </c>
      <c r="W1811" s="16" t="s">
        <v>62</v>
      </c>
      <c r="Y1811" s="27">
        <v>43551</v>
      </c>
      <c r="Z1811" s="16" t="s">
        <v>66</v>
      </c>
      <c r="AA1811" s="45">
        <v>43555</v>
      </c>
    </row>
    <row r="1812" spans="1:28" ht="15" customHeight="1">
      <c r="A1812" s="285"/>
      <c r="C1812" s="25" t="s">
        <v>4149</v>
      </c>
      <c r="D1812" s="2">
        <v>6540</v>
      </c>
      <c r="E1812" s="2" t="s">
        <v>4140</v>
      </c>
      <c r="F1812" s="3" t="s">
        <v>4141</v>
      </c>
      <c r="G1812" s="2" t="s">
        <v>3970</v>
      </c>
      <c r="H1812" s="2" t="s">
        <v>4142</v>
      </c>
      <c r="I1812" s="75" t="s">
        <v>67</v>
      </c>
      <c r="J1812" s="4">
        <v>43527</v>
      </c>
      <c r="K1812" s="2" t="s">
        <v>798</v>
      </c>
      <c r="L1812" s="2" t="s">
        <v>12</v>
      </c>
      <c r="M1812" s="2" t="s">
        <v>103</v>
      </c>
      <c r="R1812" s="16">
        <v>3</v>
      </c>
      <c r="S1812" s="16">
        <v>2.5</v>
      </c>
      <c r="T1812" s="16">
        <v>1.5</v>
      </c>
      <c r="U1812" s="16">
        <v>1.5</v>
      </c>
      <c r="V1812" s="16">
        <v>3</v>
      </c>
      <c r="W1812" s="16" t="s">
        <v>3321</v>
      </c>
      <c r="Y1812" s="27">
        <v>43551</v>
      </c>
      <c r="Z1812" s="16" t="s">
        <v>66</v>
      </c>
      <c r="AA1812" s="45">
        <v>43555</v>
      </c>
    </row>
    <row r="1813" spans="1:28" ht="15" customHeight="1">
      <c r="A1813" s="285"/>
      <c r="C1813" s="25" t="s">
        <v>4149</v>
      </c>
      <c r="D1813" s="2">
        <v>23448</v>
      </c>
      <c r="E1813" s="2" t="s">
        <v>4143</v>
      </c>
      <c r="F1813" s="3">
        <v>29308111700188</v>
      </c>
      <c r="G1813" s="2" t="s">
        <v>34</v>
      </c>
      <c r="H1813" s="2" t="s">
        <v>4144</v>
      </c>
      <c r="I1813" s="2" t="s">
        <v>66</v>
      </c>
      <c r="J1813" s="4">
        <v>43527</v>
      </c>
      <c r="K1813" s="2" t="s">
        <v>798</v>
      </c>
      <c r="L1813" s="2" t="s">
        <v>12</v>
      </c>
      <c r="M1813" s="2" t="s">
        <v>294</v>
      </c>
      <c r="R1813" s="16">
        <v>3</v>
      </c>
      <c r="S1813" s="16">
        <v>2</v>
      </c>
      <c r="T1813" s="16">
        <v>2</v>
      </c>
      <c r="U1813" s="16">
        <v>2</v>
      </c>
      <c r="V1813" s="16">
        <v>3</v>
      </c>
      <c r="W1813" s="16" t="s">
        <v>111</v>
      </c>
      <c r="Y1813" s="27">
        <v>43551</v>
      </c>
      <c r="Z1813" s="16" t="s">
        <v>66</v>
      </c>
      <c r="AA1813" s="7">
        <v>43555</v>
      </c>
    </row>
    <row r="1814" spans="1:28" ht="15" customHeight="1">
      <c r="A1814" s="285"/>
      <c r="C1814" s="25" t="s">
        <v>4149</v>
      </c>
      <c r="D1814" s="2">
        <v>23449</v>
      </c>
      <c r="E1814" s="2" t="s">
        <v>4145</v>
      </c>
      <c r="F1814" s="3">
        <v>29803030102431</v>
      </c>
      <c r="G1814" s="2" t="s">
        <v>3911</v>
      </c>
      <c r="H1814" s="2" t="s">
        <v>4146</v>
      </c>
      <c r="I1814" s="2" t="s">
        <v>66</v>
      </c>
      <c r="J1814" s="4">
        <v>43527</v>
      </c>
      <c r="K1814" s="2" t="s">
        <v>798</v>
      </c>
      <c r="L1814" s="2" t="s">
        <v>12</v>
      </c>
      <c r="M1814" s="2" t="s">
        <v>486</v>
      </c>
      <c r="R1814" s="16">
        <v>3</v>
      </c>
      <c r="S1814" s="16">
        <v>2</v>
      </c>
      <c r="T1814" s="16">
        <v>2</v>
      </c>
      <c r="U1814" s="16">
        <v>2</v>
      </c>
      <c r="V1814" s="16">
        <v>3</v>
      </c>
      <c r="W1814" s="16" t="s">
        <v>3321</v>
      </c>
      <c r="Y1814" s="27">
        <v>43551</v>
      </c>
      <c r="Z1814" s="16" t="s">
        <v>66</v>
      </c>
      <c r="AA1814" s="7">
        <v>43562</v>
      </c>
      <c r="AB1814" s="2" t="s">
        <v>3967</v>
      </c>
    </row>
    <row r="1815" spans="1:28" ht="15.75" customHeight="1" thickBot="1">
      <c r="A1815" s="286"/>
      <c r="C1815" s="28" t="s">
        <v>4149</v>
      </c>
      <c r="D1815" s="28">
        <v>23450</v>
      </c>
      <c r="E1815" s="28" t="s">
        <v>4147</v>
      </c>
      <c r="F1815" s="29">
        <v>29811182103052</v>
      </c>
      <c r="G1815" s="28" t="s">
        <v>4025</v>
      </c>
      <c r="H1815" s="28" t="s">
        <v>4148</v>
      </c>
      <c r="I1815" s="28" t="s">
        <v>66</v>
      </c>
      <c r="J1815" s="30">
        <v>43527</v>
      </c>
      <c r="K1815" s="28" t="s">
        <v>798</v>
      </c>
      <c r="L1815" s="28" t="s">
        <v>12</v>
      </c>
      <c r="M1815" s="28" t="s">
        <v>737</v>
      </c>
      <c r="N1815" s="28"/>
      <c r="O1815" s="226"/>
      <c r="P1815" s="28"/>
      <c r="Q1815" s="226"/>
      <c r="R1815" s="28">
        <v>3</v>
      </c>
      <c r="S1815" s="28">
        <v>3</v>
      </c>
      <c r="T1815" s="28">
        <v>2</v>
      </c>
      <c r="U1815" s="28">
        <v>2.5</v>
      </c>
      <c r="V1815" s="28">
        <v>3</v>
      </c>
      <c r="W1815" s="28" t="s">
        <v>3244</v>
      </c>
      <c r="X1815" s="28"/>
      <c r="Y1815" s="30"/>
      <c r="Z1815" s="28"/>
      <c r="AA1815" s="30"/>
      <c r="AB1815" s="28"/>
    </row>
    <row r="1816" spans="1:28" ht="15.75" customHeight="1" thickTop="1">
      <c r="A1816" s="284" t="s">
        <v>3125</v>
      </c>
      <c r="C1816" s="25">
        <v>123</v>
      </c>
      <c r="D1816" s="25">
        <v>23451</v>
      </c>
      <c r="E1816" s="25" t="s">
        <v>4152</v>
      </c>
      <c r="F1816" s="26">
        <v>28802190104154</v>
      </c>
      <c r="G1816" s="25" t="s">
        <v>34</v>
      </c>
      <c r="H1816" s="25" t="s">
        <v>4153</v>
      </c>
      <c r="I1816" s="25" t="s">
        <v>66</v>
      </c>
      <c r="J1816" s="27">
        <v>43534</v>
      </c>
      <c r="K1816" s="25" t="s">
        <v>8</v>
      </c>
      <c r="L1816" s="25" t="s">
        <v>12</v>
      </c>
      <c r="M1816" s="25" t="s">
        <v>771</v>
      </c>
      <c r="N1816" s="25"/>
      <c r="O1816" s="224"/>
      <c r="P1816" s="25"/>
      <c r="Q1816" s="224"/>
      <c r="R1816" s="77">
        <v>3</v>
      </c>
      <c r="S1816" s="77">
        <v>3</v>
      </c>
      <c r="T1816" s="77">
        <v>2</v>
      </c>
      <c r="U1816" s="77">
        <v>2.5</v>
      </c>
      <c r="V1816" s="77">
        <v>3</v>
      </c>
      <c r="W1816" s="25" t="s">
        <v>61</v>
      </c>
      <c r="X1816" s="25"/>
      <c r="Y1816" s="27">
        <v>43562</v>
      </c>
      <c r="Z1816" s="25" t="s">
        <v>66</v>
      </c>
      <c r="AA1816" s="27">
        <v>43565</v>
      </c>
      <c r="AB1816" s="25" t="s">
        <v>3956</v>
      </c>
    </row>
    <row r="1817" spans="1:28" ht="15.75" customHeight="1">
      <c r="A1817" s="285"/>
      <c r="C1817" s="25">
        <v>123</v>
      </c>
      <c r="D1817" s="2">
        <v>23452</v>
      </c>
      <c r="E1817" s="2" t="s">
        <v>4154</v>
      </c>
      <c r="F1817" s="3">
        <v>28803070202574</v>
      </c>
      <c r="G1817" s="2" t="s">
        <v>4155</v>
      </c>
      <c r="H1817" s="2" t="s">
        <v>4156</v>
      </c>
      <c r="I1817" s="2" t="s">
        <v>66</v>
      </c>
      <c r="J1817" s="4">
        <v>43534</v>
      </c>
      <c r="K1817" s="2" t="s">
        <v>8</v>
      </c>
      <c r="L1817" s="2" t="s">
        <v>12</v>
      </c>
      <c r="M1817" s="75" t="s">
        <v>4165</v>
      </c>
      <c r="R1817" s="77">
        <v>3</v>
      </c>
      <c r="S1817" s="77">
        <v>3</v>
      </c>
      <c r="T1817" s="77">
        <v>2.5</v>
      </c>
      <c r="U1817" s="77">
        <v>2.5</v>
      </c>
      <c r="V1817" s="77">
        <v>3</v>
      </c>
      <c r="W1817" s="16" t="s">
        <v>60</v>
      </c>
      <c r="Y1817" s="27">
        <v>43562</v>
      </c>
      <c r="Z1817" s="16" t="s">
        <v>66</v>
      </c>
      <c r="AA1817" s="7">
        <v>43577</v>
      </c>
      <c r="AB1817" s="2" t="s">
        <v>4225</v>
      </c>
    </row>
    <row r="1818" spans="1:28" ht="15" customHeight="1">
      <c r="A1818" s="285"/>
      <c r="C1818" s="25">
        <v>123</v>
      </c>
      <c r="D1818" s="2">
        <v>23453</v>
      </c>
      <c r="E1818" s="2" t="s">
        <v>4157</v>
      </c>
      <c r="F1818" s="3">
        <v>29703210104682</v>
      </c>
      <c r="G1818" s="2" t="s">
        <v>4025</v>
      </c>
      <c r="H1818" s="2" t="s">
        <v>4158</v>
      </c>
      <c r="I1818" s="2" t="s">
        <v>66</v>
      </c>
      <c r="J1818" s="4">
        <v>43534</v>
      </c>
      <c r="K1818" s="2" t="s">
        <v>8</v>
      </c>
      <c r="L1818" s="2" t="s">
        <v>12</v>
      </c>
      <c r="M1818" s="2" t="s">
        <v>3173</v>
      </c>
      <c r="W1818" s="16" t="s">
        <v>63</v>
      </c>
      <c r="Z1818" s="16" t="s">
        <v>67</v>
      </c>
    </row>
    <row r="1819" spans="1:28" ht="15" customHeight="1">
      <c r="A1819" s="285"/>
      <c r="C1819" s="25">
        <v>123</v>
      </c>
      <c r="D1819" s="2">
        <v>23454</v>
      </c>
      <c r="E1819" s="2" t="s">
        <v>4159</v>
      </c>
      <c r="F1819" s="3">
        <v>29409071700652</v>
      </c>
      <c r="G1819" s="2" t="s">
        <v>34</v>
      </c>
      <c r="H1819" s="2" t="s">
        <v>4160</v>
      </c>
      <c r="I1819" s="2" t="s">
        <v>66</v>
      </c>
      <c r="J1819" s="4">
        <v>43534</v>
      </c>
      <c r="K1819" s="2" t="s">
        <v>8</v>
      </c>
      <c r="L1819" s="2" t="s">
        <v>12</v>
      </c>
      <c r="M1819" s="2" t="s">
        <v>55</v>
      </c>
      <c r="R1819" s="77">
        <v>3</v>
      </c>
      <c r="S1819" s="77">
        <v>2.5</v>
      </c>
      <c r="T1819" s="77">
        <v>2</v>
      </c>
      <c r="U1819" s="77">
        <v>2</v>
      </c>
      <c r="V1819" s="77">
        <v>3</v>
      </c>
      <c r="W1819" s="16" t="s">
        <v>62</v>
      </c>
      <c r="Y1819" s="27">
        <v>43562</v>
      </c>
      <c r="Z1819" s="16" t="s">
        <v>67</v>
      </c>
      <c r="AB1819" s="2" t="s">
        <v>3924</v>
      </c>
    </row>
    <row r="1820" spans="1:28" ht="15" customHeight="1">
      <c r="A1820" s="285"/>
      <c r="C1820" s="25">
        <v>123</v>
      </c>
      <c r="D1820" s="2">
        <v>23455</v>
      </c>
      <c r="E1820" s="2" t="s">
        <v>4161</v>
      </c>
      <c r="F1820" s="3">
        <v>28111010100871</v>
      </c>
      <c r="G1820" s="2" t="s">
        <v>34</v>
      </c>
      <c r="H1820" s="2" t="s">
        <v>4162</v>
      </c>
      <c r="I1820" s="2" t="s">
        <v>66</v>
      </c>
      <c r="J1820" s="4">
        <v>43534</v>
      </c>
      <c r="K1820" s="2" t="s">
        <v>8</v>
      </c>
      <c r="L1820" s="2" t="s">
        <v>12</v>
      </c>
      <c r="M1820" s="2" t="s">
        <v>696</v>
      </c>
      <c r="R1820" s="77">
        <v>3</v>
      </c>
      <c r="S1820" s="77">
        <v>3</v>
      </c>
      <c r="T1820" s="77">
        <v>2</v>
      </c>
      <c r="U1820" s="77">
        <v>2</v>
      </c>
      <c r="V1820" s="77">
        <v>3</v>
      </c>
      <c r="W1820" s="75" t="s">
        <v>62</v>
      </c>
      <c r="X1820" s="2" t="s">
        <v>66</v>
      </c>
      <c r="Y1820" s="27">
        <v>43576</v>
      </c>
      <c r="Z1820" s="16" t="s">
        <v>67</v>
      </c>
      <c r="AB1820" s="2" t="s">
        <v>4440</v>
      </c>
    </row>
    <row r="1821" spans="1:28" ht="15.75" customHeight="1">
      <c r="A1821" s="285"/>
      <c r="C1821" s="25">
        <v>123</v>
      </c>
      <c r="D1821" s="2">
        <v>23456</v>
      </c>
      <c r="E1821" s="2" t="s">
        <v>4163</v>
      </c>
      <c r="F1821" s="3">
        <v>29606051301832</v>
      </c>
      <c r="G1821" s="2" t="s">
        <v>4131</v>
      </c>
      <c r="H1821" s="2" t="s">
        <v>4164</v>
      </c>
      <c r="I1821" s="2" t="s">
        <v>66</v>
      </c>
      <c r="J1821" s="4">
        <v>43534</v>
      </c>
      <c r="K1821" s="2" t="s">
        <v>8</v>
      </c>
      <c r="L1821" s="2" t="s">
        <v>12</v>
      </c>
      <c r="M1821" s="2" t="s">
        <v>4165</v>
      </c>
      <c r="R1821" s="77">
        <v>3</v>
      </c>
      <c r="S1821" s="77">
        <v>3</v>
      </c>
      <c r="T1821" s="77">
        <v>2.5</v>
      </c>
      <c r="U1821" s="77">
        <v>2.5</v>
      </c>
      <c r="V1821" s="77">
        <v>3</v>
      </c>
      <c r="W1821" s="16" t="s">
        <v>60</v>
      </c>
      <c r="Y1821" s="27">
        <v>43562</v>
      </c>
      <c r="Z1821" s="16" t="s">
        <v>66</v>
      </c>
      <c r="AA1821" s="7">
        <v>43577</v>
      </c>
    </row>
    <row r="1822" spans="1:28" ht="15.75" customHeight="1">
      <c r="A1822" s="285"/>
      <c r="C1822" s="25">
        <v>123</v>
      </c>
      <c r="D1822" s="2">
        <v>23457</v>
      </c>
      <c r="E1822" s="2" t="s">
        <v>4166</v>
      </c>
      <c r="F1822" s="3">
        <v>29805190104165</v>
      </c>
      <c r="G1822" s="2" t="s">
        <v>4131</v>
      </c>
      <c r="H1822" s="2" t="s">
        <v>4167</v>
      </c>
      <c r="I1822" s="2" t="s">
        <v>66</v>
      </c>
      <c r="J1822" s="4">
        <v>43534</v>
      </c>
      <c r="K1822" s="2" t="s">
        <v>8</v>
      </c>
      <c r="L1822" s="2" t="s">
        <v>12</v>
      </c>
      <c r="M1822" s="2" t="s">
        <v>697</v>
      </c>
      <c r="R1822" s="77">
        <v>3</v>
      </c>
      <c r="S1822" s="77">
        <v>2.5</v>
      </c>
      <c r="T1822" s="77">
        <v>2.5</v>
      </c>
      <c r="U1822" s="77">
        <v>2.5</v>
      </c>
      <c r="V1822" s="77">
        <v>3</v>
      </c>
      <c r="W1822" s="16" t="s">
        <v>60</v>
      </c>
      <c r="Y1822" s="27">
        <v>43562</v>
      </c>
      <c r="Z1822" s="16" t="s">
        <v>67</v>
      </c>
      <c r="AB1822" s="75" t="s">
        <v>6490</v>
      </c>
    </row>
    <row r="1823" spans="1:28" ht="15.75" customHeight="1">
      <c r="A1823" s="285"/>
      <c r="C1823" s="25">
        <v>123</v>
      </c>
      <c r="D1823" s="2">
        <v>23458</v>
      </c>
      <c r="E1823" s="2" t="s">
        <v>4168</v>
      </c>
      <c r="F1823" s="3">
        <v>29611282100973</v>
      </c>
      <c r="G1823" s="2" t="s">
        <v>34</v>
      </c>
      <c r="H1823" s="2" t="s">
        <v>4169</v>
      </c>
      <c r="I1823" s="2" t="s">
        <v>66</v>
      </c>
      <c r="J1823" s="4">
        <v>43534</v>
      </c>
      <c r="K1823" s="2" t="s">
        <v>8</v>
      </c>
      <c r="L1823" s="2" t="s">
        <v>12</v>
      </c>
      <c r="M1823" s="2" t="s">
        <v>4170</v>
      </c>
      <c r="R1823" s="77">
        <v>3</v>
      </c>
      <c r="S1823" s="77">
        <v>2.5</v>
      </c>
      <c r="T1823" s="77">
        <v>2.5</v>
      </c>
      <c r="U1823" s="77">
        <v>2.5</v>
      </c>
      <c r="V1823" s="77">
        <v>3</v>
      </c>
      <c r="W1823" s="16" t="s">
        <v>170</v>
      </c>
      <c r="Y1823" s="27">
        <v>43562</v>
      </c>
      <c r="Z1823" s="16" t="s">
        <v>66</v>
      </c>
      <c r="AA1823" s="7">
        <v>43571</v>
      </c>
      <c r="AB1823" s="2" t="s">
        <v>502</v>
      </c>
    </row>
    <row r="1824" spans="1:28" ht="15" customHeight="1">
      <c r="A1824" s="285"/>
      <c r="C1824" s="25">
        <v>123</v>
      </c>
      <c r="D1824" s="2">
        <v>23459</v>
      </c>
      <c r="E1824" s="2" t="s">
        <v>4171</v>
      </c>
      <c r="F1824" s="3">
        <v>29403211601937</v>
      </c>
      <c r="G1824" s="2" t="s">
        <v>34</v>
      </c>
      <c r="H1824" s="2" t="s">
        <v>4172</v>
      </c>
      <c r="I1824" s="2" t="s">
        <v>66</v>
      </c>
      <c r="J1824" s="4">
        <v>43534</v>
      </c>
      <c r="K1824" s="2" t="s">
        <v>8</v>
      </c>
      <c r="L1824" s="2" t="s">
        <v>12</v>
      </c>
      <c r="M1824" s="2" t="s">
        <v>197</v>
      </c>
      <c r="R1824" s="77">
        <v>3</v>
      </c>
      <c r="S1824" s="77">
        <v>2.5</v>
      </c>
      <c r="T1824" s="77">
        <v>2.5</v>
      </c>
      <c r="U1824" s="77">
        <v>2.5</v>
      </c>
      <c r="V1824" s="77">
        <v>3</v>
      </c>
      <c r="W1824" s="16" t="s">
        <v>4212</v>
      </c>
      <c r="X1824" s="2" t="s">
        <v>66</v>
      </c>
      <c r="Y1824" s="7">
        <v>43576</v>
      </c>
      <c r="Z1824" s="16" t="s">
        <v>66</v>
      </c>
      <c r="AA1824" s="7">
        <v>43605</v>
      </c>
    </row>
    <row r="1825" spans="1:28" ht="15" customHeight="1">
      <c r="A1825" s="285"/>
      <c r="C1825" s="25">
        <v>123</v>
      </c>
      <c r="D1825" s="2">
        <v>23460</v>
      </c>
      <c r="E1825" s="2" t="s">
        <v>4173</v>
      </c>
      <c r="F1825" s="3">
        <v>28909162402777</v>
      </c>
      <c r="G1825" s="2" t="s">
        <v>34</v>
      </c>
      <c r="H1825" s="2" t="s">
        <v>4174</v>
      </c>
      <c r="I1825" s="2" t="s">
        <v>66</v>
      </c>
      <c r="J1825" s="4">
        <v>43534</v>
      </c>
      <c r="K1825" s="2" t="s">
        <v>8</v>
      </c>
      <c r="L1825" s="2" t="s">
        <v>12</v>
      </c>
      <c r="M1825" s="2" t="s">
        <v>16</v>
      </c>
      <c r="R1825" s="77">
        <v>3</v>
      </c>
      <c r="S1825" s="77">
        <v>2.5</v>
      </c>
      <c r="T1825" s="77">
        <v>2.5</v>
      </c>
      <c r="U1825" s="77">
        <v>2.5</v>
      </c>
      <c r="V1825" s="77">
        <v>3</v>
      </c>
      <c r="W1825" s="75" t="s">
        <v>60</v>
      </c>
      <c r="X1825" s="2" t="s">
        <v>66</v>
      </c>
      <c r="Y1825" s="45">
        <v>43576</v>
      </c>
      <c r="Z1825" s="16" t="s">
        <v>66</v>
      </c>
      <c r="AA1825" s="7">
        <v>43583</v>
      </c>
    </row>
    <row r="1826" spans="1:28" ht="15" customHeight="1">
      <c r="A1826" s="285"/>
      <c r="C1826" s="25">
        <v>123</v>
      </c>
      <c r="D1826" s="2">
        <v>23461</v>
      </c>
      <c r="E1826" s="2" t="s">
        <v>4175</v>
      </c>
      <c r="F1826" s="3">
        <v>29309260103938</v>
      </c>
      <c r="G1826" s="2" t="s">
        <v>34</v>
      </c>
      <c r="H1826" s="2" t="s">
        <v>4176</v>
      </c>
      <c r="I1826" s="2" t="s">
        <v>66</v>
      </c>
      <c r="J1826" s="4">
        <v>43534</v>
      </c>
      <c r="K1826" s="2" t="s">
        <v>8</v>
      </c>
      <c r="L1826" s="2" t="s">
        <v>12</v>
      </c>
      <c r="M1826" s="25" t="s">
        <v>771</v>
      </c>
      <c r="R1826" s="77">
        <v>3</v>
      </c>
      <c r="S1826" s="77">
        <v>3</v>
      </c>
      <c r="T1826" s="77">
        <v>2.5</v>
      </c>
      <c r="U1826" s="77">
        <v>2</v>
      </c>
      <c r="V1826" s="77">
        <v>3</v>
      </c>
      <c r="W1826" s="75" t="s">
        <v>62</v>
      </c>
      <c r="X1826" s="2" t="s">
        <v>66</v>
      </c>
      <c r="Y1826" s="45">
        <v>43576</v>
      </c>
      <c r="Z1826" s="16" t="s">
        <v>67</v>
      </c>
      <c r="AB1826" s="2" t="s">
        <v>3924</v>
      </c>
    </row>
    <row r="1827" spans="1:28" ht="15.75" customHeight="1">
      <c r="A1827" s="285"/>
      <c r="C1827" s="25">
        <v>123</v>
      </c>
      <c r="D1827" s="2">
        <v>23462</v>
      </c>
      <c r="E1827" s="2" t="s">
        <v>4177</v>
      </c>
      <c r="F1827" s="3">
        <v>29608108800884</v>
      </c>
      <c r="G1827" s="2" t="s">
        <v>34</v>
      </c>
      <c r="H1827" s="2" t="s">
        <v>4178</v>
      </c>
      <c r="I1827" s="2" t="s">
        <v>66</v>
      </c>
      <c r="J1827" s="4">
        <v>43534</v>
      </c>
      <c r="K1827" s="2" t="s">
        <v>8</v>
      </c>
      <c r="L1827" s="2" t="s">
        <v>12</v>
      </c>
      <c r="M1827" s="2" t="s">
        <v>197</v>
      </c>
      <c r="R1827" s="77">
        <v>3</v>
      </c>
      <c r="S1827" s="77">
        <v>3</v>
      </c>
      <c r="T1827" s="77">
        <v>2.5</v>
      </c>
      <c r="U1827" s="77">
        <v>3</v>
      </c>
      <c r="V1827" s="77">
        <v>3</v>
      </c>
      <c r="W1827" s="16" t="s">
        <v>60</v>
      </c>
      <c r="Y1827" s="27">
        <v>43562</v>
      </c>
      <c r="Z1827" s="16" t="s">
        <v>66</v>
      </c>
      <c r="AA1827" s="7">
        <v>43577</v>
      </c>
      <c r="AB1827" s="75" t="s">
        <v>4330</v>
      </c>
    </row>
    <row r="1828" spans="1:28" ht="15.75" customHeight="1">
      <c r="A1828" s="285"/>
      <c r="C1828" s="25">
        <v>123</v>
      </c>
      <c r="D1828" s="2">
        <v>23463</v>
      </c>
      <c r="E1828" s="2" t="s">
        <v>4179</v>
      </c>
      <c r="F1828" s="3">
        <v>29003211602765</v>
      </c>
      <c r="G1828" s="2" t="s">
        <v>34</v>
      </c>
      <c r="H1828" s="2" t="s">
        <v>4180</v>
      </c>
      <c r="I1828" s="2" t="s">
        <v>66</v>
      </c>
      <c r="J1828" s="4">
        <v>43534</v>
      </c>
      <c r="K1828" s="2" t="s">
        <v>8</v>
      </c>
      <c r="L1828" s="2" t="s">
        <v>12</v>
      </c>
      <c r="M1828" s="2" t="s">
        <v>197</v>
      </c>
      <c r="R1828" s="77">
        <v>3</v>
      </c>
      <c r="S1828" s="77">
        <v>3</v>
      </c>
      <c r="T1828" s="77">
        <v>2.5</v>
      </c>
      <c r="U1828" s="77">
        <v>3</v>
      </c>
      <c r="V1828" s="77">
        <v>3</v>
      </c>
      <c r="W1828" s="16" t="s">
        <v>60</v>
      </c>
      <c r="Y1828" s="27">
        <v>43562</v>
      </c>
      <c r="Z1828" s="16" t="s">
        <v>66</v>
      </c>
      <c r="AA1828" s="7">
        <v>43577</v>
      </c>
      <c r="AB1828" s="75" t="s">
        <v>6980</v>
      </c>
    </row>
    <row r="1829" spans="1:28" ht="15.75" customHeight="1" thickBot="1">
      <c r="A1829" s="286"/>
      <c r="C1829" s="28">
        <v>123</v>
      </c>
      <c r="D1829" s="28">
        <v>23464</v>
      </c>
      <c r="E1829" s="28" t="s">
        <v>4181</v>
      </c>
      <c r="F1829" s="29">
        <v>28510238800459</v>
      </c>
      <c r="G1829" s="28" t="s">
        <v>34</v>
      </c>
      <c r="H1829" s="28" t="s">
        <v>4182</v>
      </c>
      <c r="I1829" s="28" t="s">
        <v>66</v>
      </c>
      <c r="J1829" s="30">
        <v>43534</v>
      </c>
      <c r="K1829" s="28" t="s">
        <v>8</v>
      </c>
      <c r="L1829" s="28" t="s">
        <v>12</v>
      </c>
      <c r="M1829" s="28" t="s">
        <v>103</v>
      </c>
      <c r="N1829" s="28"/>
      <c r="O1829" s="226"/>
      <c r="P1829" s="28"/>
      <c r="Q1829" s="226"/>
      <c r="R1829" s="28"/>
      <c r="S1829" s="28"/>
      <c r="T1829" s="28"/>
      <c r="U1829" s="28"/>
      <c r="V1829" s="28"/>
      <c r="W1829" s="28" t="s">
        <v>63</v>
      </c>
      <c r="X1829" s="28"/>
      <c r="Y1829" s="30"/>
      <c r="Z1829" s="28" t="s">
        <v>67</v>
      </c>
      <c r="AA1829" s="30"/>
      <c r="AB1829" s="28"/>
    </row>
    <row r="1830" spans="1:28" ht="15.75" customHeight="1" thickTop="1">
      <c r="A1830" s="284" t="s">
        <v>3960</v>
      </c>
      <c r="C1830" s="25">
        <v>124</v>
      </c>
      <c r="D1830" s="25">
        <v>19370</v>
      </c>
      <c r="E1830" s="25" t="s">
        <v>2473</v>
      </c>
      <c r="F1830" s="26">
        <v>29507302701918</v>
      </c>
      <c r="G1830" s="25" t="s">
        <v>34</v>
      </c>
      <c r="H1830" s="25" t="s">
        <v>2493</v>
      </c>
      <c r="I1830" s="25" t="s">
        <v>67</v>
      </c>
      <c r="J1830" s="27">
        <v>43543</v>
      </c>
      <c r="K1830" s="25" t="s">
        <v>8</v>
      </c>
      <c r="L1830" s="25" t="s">
        <v>12</v>
      </c>
      <c r="M1830" s="25" t="s">
        <v>3317</v>
      </c>
      <c r="N1830" s="25"/>
      <c r="O1830" s="224"/>
      <c r="P1830" s="25"/>
      <c r="Q1830" s="224"/>
      <c r="R1830" s="77">
        <v>3</v>
      </c>
      <c r="S1830" s="77">
        <v>3</v>
      </c>
      <c r="T1830" s="77">
        <v>2.5</v>
      </c>
      <c r="U1830" s="77">
        <v>2.5</v>
      </c>
      <c r="V1830" s="77">
        <v>3</v>
      </c>
      <c r="W1830" s="25" t="s">
        <v>60</v>
      </c>
      <c r="X1830" s="25"/>
      <c r="Y1830" s="27">
        <v>43570</v>
      </c>
      <c r="Z1830" s="25" t="s">
        <v>66</v>
      </c>
      <c r="AA1830" s="27">
        <v>43577</v>
      </c>
      <c r="AB1830" s="25"/>
    </row>
    <row r="1831" spans="1:28" ht="15.75" customHeight="1">
      <c r="A1831" s="285"/>
      <c r="C1831" s="25">
        <v>124</v>
      </c>
      <c r="D1831" s="2">
        <v>23467</v>
      </c>
      <c r="E1831" s="2" t="s">
        <v>4187</v>
      </c>
      <c r="F1831" s="3">
        <v>29507300400074</v>
      </c>
      <c r="G1831" s="2" t="s">
        <v>34</v>
      </c>
      <c r="H1831" s="2" t="s">
        <v>4188</v>
      </c>
      <c r="I1831" s="75" t="s">
        <v>66</v>
      </c>
      <c r="J1831" s="4">
        <v>43543</v>
      </c>
      <c r="K1831" s="2" t="s">
        <v>8</v>
      </c>
      <c r="L1831" s="2" t="s">
        <v>12</v>
      </c>
      <c r="M1831" s="2" t="s">
        <v>55</v>
      </c>
      <c r="R1831" s="77">
        <v>3</v>
      </c>
      <c r="S1831" s="77">
        <v>2.5</v>
      </c>
      <c r="T1831" s="77">
        <v>2.5</v>
      </c>
      <c r="U1831" s="77">
        <v>2.5</v>
      </c>
      <c r="V1831" s="77">
        <v>3</v>
      </c>
      <c r="W1831" s="16" t="s">
        <v>4212</v>
      </c>
      <c r="Y1831" s="7">
        <v>43570</v>
      </c>
      <c r="Z1831" s="16" t="s">
        <v>66</v>
      </c>
      <c r="AA1831" s="7">
        <v>43571</v>
      </c>
    </row>
    <row r="1832" spans="1:28" ht="15.75" customHeight="1">
      <c r="A1832" s="285"/>
      <c r="C1832" s="25">
        <v>124</v>
      </c>
      <c r="D1832" s="2">
        <v>23468</v>
      </c>
      <c r="E1832" s="2" t="s">
        <v>4189</v>
      </c>
      <c r="F1832" s="3">
        <v>29504260103455</v>
      </c>
      <c r="G1832" s="2" t="s">
        <v>34</v>
      </c>
      <c r="H1832" s="2" t="s">
        <v>4190</v>
      </c>
      <c r="I1832" s="2" t="s">
        <v>66</v>
      </c>
      <c r="J1832" s="4">
        <v>43543</v>
      </c>
      <c r="K1832" s="2" t="s">
        <v>8</v>
      </c>
      <c r="L1832" s="2" t="s">
        <v>12</v>
      </c>
      <c r="M1832" s="2" t="s">
        <v>3173</v>
      </c>
      <c r="R1832" s="77">
        <v>3</v>
      </c>
      <c r="S1832" s="77">
        <v>2</v>
      </c>
      <c r="T1832" s="77">
        <v>3</v>
      </c>
      <c r="U1832" s="77">
        <v>2.5</v>
      </c>
      <c r="V1832" s="77">
        <v>3</v>
      </c>
      <c r="W1832" s="16" t="s">
        <v>63</v>
      </c>
      <c r="X1832" s="2" t="s">
        <v>66</v>
      </c>
      <c r="Z1832" s="16" t="s">
        <v>67</v>
      </c>
      <c r="AB1832" s="2" t="s">
        <v>4328</v>
      </c>
    </row>
    <row r="1833" spans="1:28" ht="15.75" customHeight="1">
      <c r="A1833" s="285"/>
      <c r="C1833" s="25">
        <v>124</v>
      </c>
      <c r="D1833" s="2">
        <v>23469</v>
      </c>
      <c r="E1833" s="2" t="s">
        <v>4191</v>
      </c>
      <c r="F1833" s="3">
        <v>29509308800511</v>
      </c>
      <c r="G1833" s="2" t="s">
        <v>34</v>
      </c>
      <c r="H1833" s="2" t="s">
        <v>4192</v>
      </c>
      <c r="I1833" s="2" t="s">
        <v>66</v>
      </c>
      <c r="J1833" s="4">
        <v>43543</v>
      </c>
      <c r="K1833" s="2" t="s">
        <v>8</v>
      </c>
      <c r="L1833" s="2" t="s">
        <v>12</v>
      </c>
      <c r="M1833" s="2" t="s">
        <v>3317</v>
      </c>
      <c r="R1833" s="77">
        <v>3</v>
      </c>
      <c r="S1833" s="77">
        <v>3</v>
      </c>
      <c r="T1833" s="77">
        <v>2</v>
      </c>
      <c r="U1833" s="77">
        <v>2</v>
      </c>
      <c r="V1833" s="77">
        <v>3</v>
      </c>
      <c r="W1833" s="16" t="s">
        <v>62</v>
      </c>
      <c r="Y1833" s="7">
        <v>43570</v>
      </c>
      <c r="Z1833" s="16" t="s">
        <v>66</v>
      </c>
      <c r="AA1833" s="7">
        <v>43599</v>
      </c>
    </row>
    <row r="1834" spans="1:28" ht="15.75" customHeight="1">
      <c r="A1834" s="285"/>
      <c r="C1834" s="25">
        <v>124</v>
      </c>
      <c r="D1834" s="2">
        <v>23470</v>
      </c>
      <c r="E1834" s="2" t="s">
        <v>4193</v>
      </c>
      <c r="F1834" s="3">
        <v>29503310200779</v>
      </c>
      <c r="G1834" s="2" t="s">
        <v>4</v>
      </c>
      <c r="H1834" s="2" t="s">
        <v>4194</v>
      </c>
      <c r="I1834" s="2" t="s">
        <v>66</v>
      </c>
      <c r="J1834" s="4">
        <v>43543</v>
      </c>
      <c r="K1834" s="2" t="s">
        <v>8</v>
      </c>
      <c r="L1834" s="2" t="s">
        <v>12</v>
      </c>
      <c r="M1834" s="2" t="s">
        <v>16</v>
      </c>
      <c r="R1834" s="77">
        <v>3</v>
      </c>
      <c r="S1834" s="77">
        <v>2.5</v>
      </c>
      <c r="T1834" s="77">
        <v>2.5</v>
      </c>
      <c r="U1834" s="77">
        <v>2.5</v>
      </c>
      <c r="V1834" s="77">
        <v>3</v>
      </c>
      <c r="W1834" s="16" t="s">
        <v>60</v>
      </c>
      <c r="Y1834" s="7">
        <v>43570</v>
      </c>
      <c r="Z1834" s="16" t="s">
        <v>67</v>
      </c>
      <c r="AB1834" s="2" t="s">
        <v>4226</v>
      </c>
    </row>
    <row r="1835" spans="1:28" ht="15.75" customHeight="1">
      <c r="A1835" s="285"/>
      <c r="C1835" s="25">
        <v>124</v>
      </c>
      <c r="D1835" s="2">
        <v>23471</v>
      </c>
      <c r="E1835" s="2" t="s">
        <v>4195</v>
      </c>
      <c r="F1835" s="3">
        <v>29511150201849</v>
      </c>
      <c r="G1835" s="2" t="s">
        <v>34</v>
      </c>
      <c r="H1835" s="2" t="s">
        <v>4196</v>
      </c>
      <c r="I1835" s="2" t="s">
        <v>66</v>
      </c>
      <c r="J1835" s="4">
        <v>43543</v>
      </c>
      <c r="K1835" s="2" t="s">
        <v>8</v>
      </c>
      <c r="L1835" s="2" t="s">
        <v>12</v>
      </c>
      <c r="M1835" s="2" t="s">
        <v>52</v>
      </c>
      <c r="R1835" s="77">
        <v>3</v>
      </c>
      <c r="S1835" s="77">
        <v>3</v>
      </c>
      <c r="T1835" s="77">
        <v>2.5</v>
      </c>
      <c r="U1835" s="77">
        <v>2</v>
      </c>
      <c r="V1835" s="77">
        <v>3</v>
      </c>
      <c r="W1835" s="75" t="s">
        <v>62</v>
      </c>
      <c r="X1835" s="2" t="s">
        <v>66</v>
      </c>
      <c r="Y1835" s="45">
        <v>43597</v>
      </c>
      <c r="Z1835" s="16" t="s">
        <v>66</v>
      </c>
      <c r="AA1835" s="7">
        <v>43599</v>
      </c>
    </row>
    <row r="1836" spans="1:28" ht="15.75" customHeight="1">
      <c r="A1836" s="285"/>
      <c r="C1836" s="25">
        <v>124</v>
      </c>
      <c r="D1836" s="2">
        <v>23472</v>
      </c>
      <c r="E1836" s="2" t="s">
        <v>4197</v>
      </c>
      <c r="F1836" s="3">
        <v>29106192102415</v>
      </c>
      <c r="G1836" s="2" t="s">
        <v>34</v>
      </c>
      <c r="H1836" s="2" t="s">
        <v>4198</v>
      </c>
      <c r="I1836" s="2" t="s">
        <v>66</v>
      </c>
      <c r="J1836" s="4">
        <v>43543</v>
      </c>
      <c r="K1836" s="2" t="s">
        <v>8</v>
      </c>
      <c r="L1836" s="2" t="s">
        <v>12</v>
      </c>
      <c r="M1836" s="2" t="s">
        <v>197</v>
      </c>
      <c r="R1836" s="77">
        <v>3</v>
      </c>
      <c r="S1836" s="77">
        <v>1</v>
      </c>
      <c r="T1836" s="77">
        <v>2</v>
      </c>
      <c r="U1836" s="77">
        <v>2</v>
      </c>
      <c r="V1836" s="77">
        <v>3</v>
      </c>
      <c r="W1836" s="16" t="s">
        <v>3818</v>
      </c>
      <c r="Y1836" s="7">
        <v>43570</v>
      </c>
      <c r="Z1836" s="16" t="s">
        <v>66</v>
      </c>
      <c r="AA1836" s="7">
        <v>43573</v>
      </c>
      <c r="AB1836" s="2" t="s">
        <v>4227</v>
      </c>
    </row>
    <row r="1837" spans="1:28" s="44" customFormat="1" ht="15.75" customHeight="1">
      <c r="A1837" s="285"/>
      <c r="C1837" s="25">
        <v>124</v>
      </c>
      <c r="D1837" s="75">
        <v>23473</v>
      </c>
      <c r="E1837" s="75" t="s">
        <v>4210</v>
      </c>
      <c r="F1837" s="3">
        <v>28907082100238</v>
      </c>
      <c r="G1837" s="75" t="s">
        <v>34</v>
      </c>
      <c r="H1837" s="75" t="s">
        <v>4211</v>
      </c>
      <c r="I1837" s="75" t="s">
        <v>66</v>
      </c>
      <c r="J1837" s="45">
        <v>43543</v>
      </c>
      <c r="K1837" s="75" t="s">
        <v>8</v>
      </c>
      <c r="L1837" s="75" t="s">
        <v>12</v>
      </c>
      <c r="M1837" s="75" t="s">
        <v>3890</v>
      </c>
      <c r="N1837" s="75"/>
      <c r="O1837" s="225"/>
      <c r="P1837" s="103"/>
      <c r="Q1837" s="225"/>
      <c r="R1837" s="75"/>
      <c r="S1837" s="75"/>
      <c r="T1837" s="75"/>
      <c r="U1837" s="75"/>
      <c r="V1837" s="75"/>
      <c r="W1837" s="75" t="s">
        <v>63</v>
      </c>
      <c r="X1837" s="75"/>
      <c r="Y1837" s="45"/>
      <c r="Z1837" s="75" t="s">
        <v>67</v>
      </c>
      <c r="AA1837" s="45"/>
      <c r="AB1837" s="75" t="s">
        <v>4213</v>
      </c>
    </row>
    <row r="1838" spans="1:28" ht="15.75" customHeight="1">
      <c r="A1838" s="285"/>
      <c r="C1838" s="25">
        <v>124</v>
      </c>
      <c r="D1838" s="2">
        <v>23474</v>
      </c>
      <c r="E1838" s="2" t="s">
        <v>4199</v>
      </c>
      <c r="F1838" s="3">
        <v>29505148800131</v>
      </c>
      <c r="G1838" s="2" t="s">
        <v>34</v>
      </c>
      <c r="H1838" s="2" t="s">
        <v>4200</v>
      </c>
      <c r="I1838" s="2" t="s">
        <v>66</v>
      </c>
      <c r="J1838" s="4">
        <v>43543</v>
      </c>
      <c r="K1838" s="2" t="s">
        <v>8</v>
      </c>
      <c r="L1838" s="2" t="s">
        <v>12</v>
      </c>
      <c r="M1838" s="2" t="s">
        <v>3317</v>
      </c>
      <c r="R1838" s="77">
        <v>3</v>
      </c>
      <c r="S1838" s="77">
        <v>2.5</v>
      </c>
      <c r="T1838" s="77">
        <v>2.5</v>
      </c>
      <c r="U1838" s="77">
        <v>2.5</v>
      </c>
      <c r="V1838" s="77">
        <v>3</v>
      </c>
      <c r="W1838" s="16" t="s">
        <v>4212</v>
      </c>
      <c r="Y1838" s="7">
        <v>43570</v>
      </c>
      <c r="Z1838" s="16" t="s">
        <v>66</v>
      </c>
      <c r="AA1838" s="7">
        <v>43571</v>
      </c>
    </row>
    <row r="1839" spans="1:28" ht="15.75" customHeight="1">
      <c r="A1839" s="285"/>
      <c r="C1839" s="25">
        <v>124</v>
      </c>
      <c r="D1839" s="2">
        <v>23475</v>
      </c>
      <c r="E1839" s="2" t="s">
        <v>4201</v>
      </c>
      <c r="F1839" s="3">
        <v>29410272102735</v>
      </c>
      <c r="G1839" s="2" t="s">
        <v>34</v>
      </c>
      <c r="H1839" s="2" t="s">
        <v>4202</v>
      </c>
      <c r="I1839" s="2" t="s">
        <v>66</v>
      </c>
      <c r="J1839" s="4">
        <v>43543</v>
      </c>
      <c r="K1839" s="2" t="s">
        <v>8</v>
      </c>
      <c r="L1839" s="2" t="s">
        <v>12</v>
      </c>
      <c r="M1839" s="2" t="s">
        <v>103</v>
      </c>
      <c r="R1839" s="77">
        <v>3</v>
      </c>
      <c r="S1839" s="77">
        <v>2</v>
      </c>
      <c r="T1839" s="77">
        <v>2.5</v>
      </c>
      <c r="U1839" s="77">
        <v>2.5</v>
      </c>
      <c r="V1839" s="77">
        <v>3</v>
      </c>
      <c r="W1839" s="16" t="s">
        <v>63</v>
      </c>
      <c r="X1839" s="2" t="s">
        <v>66</v>
      </c>
      <c r="Z1839" s="16" t="s">
        <v>67</v>
      </c>
      <c r="AB1839" s="2" t="s">
        <v>4328</v>
      </c>
    </row>
    <row r="1840" spans="1:28" ht="15.75" customHeight="1">
      <c r="A1840" s="285"/>
      <c r="C1840" s="25">
        <v>124</v>
      </c>
      <c r="D1840" s="2">
        <v>23476</v>
      </c>
      <c r="E1840" s="2" t="s">
        <v>4203</v>
      </c>
      <c r="F1840" s="3">
        <v>29808060100671</v>
      </c>
      <c r="G1840" s="2" t="s">
        <v>4</v>
      </c>
      <c r="H1840" s="2" t="s">
        <v>4204</v>
      </c>
      <c r="I1840" s="2" t="s">
        <v>66</v>
      </c>
      <c r="J1840" s="4">
        <v>43543</v>
      </c>
      <c r="K1840" s="2" t="s">
        <v>8</v>
      </c>
      <c r="L1840" s="2" t="s">
        <v>12</v>
      </c>
      <c r="M1840" s="2" t="s">
        <v>102</v>
      </c>
      <c r="R1840" s="77">
        <v>3</v>
      </c>
      <c r="S1840" s="77">
        <v>2</v>
      </c>
      <c r="T1840" s="77">
        <v>2.5</v>
      </c>
      <c r="U1840" s="77">
        <v>2.5</v>
      </c>
      <c r="V1840" s="77">
        <v>3</v>
      </c>
      <c r="W1840" s="16" t="s">
        <v>63</v>
      </c>
      <c r="X1840" s="2" t="s">
        <v>66</v>
      </c>
      <c r="Z1840" s="16" t="s">
        <v>67</v>
      </c>
      <c r="AB1840" s="2" t="s">
        <v>4328</v>
      </c>
    </row>
    <row r="1841" spans="1:28" ht="15.75" customHeight="1">
      <c r="A1841" s="285"/>
      <c r="C1841" s="25">
        <v>124</v>
      </c>
      <c r="D1841" s="2">
        <v>23477</v>
      </c>
      <c r="E1841" s="2" t="s">
        <v>4205</v>
      </c>
      <c r="F1841" s="3">
        <v>29809010108201</v>
      </c>
      <c r="G1841" s="2" t="s">
        <v>4</v>
      </c>
      <c r="H1841" s="2" t="s">
        <v>4206</v>
      </c>
      <c r="I1841" s="2" t="s">
        <v>66</v>
      </c>
      <c r="J1841" s="4">
        <v>43543</v>
      </c>
      <c r="K1841" s="2" t="s">
        <v>8</v>
      </c>
      <c r="L1841" s="2" t="s">
        <v>12</v>
      </c>
      <c r="M1841" s="2" t="s">
        <v>108</v>
      </c>
      <c r="R1841" s="77">
        <v>3</v>
      </c>
      <c r="S1841" s="77">
        <v>2.5</v>
      </c>
      <c r="T1841" s="77">
        <v>3</v>
      </c>
      <c r="U1841" s="77">
        <v>2.5</v>
      </c>
      <c r="V1841" s="77">
        <v>3</v>
      </c>
      <c r="W1841" s="75" t="s">
        <v>4212</v>
      </c>
      <c r="Y1841" s="45">
        <v>43572</v>
      </c>
      <c r="Z1841" s="16" t="s">
        <v>66</v>
      </c>
      <c r="AA1841" s="7">
        <v>43571</v>
      </c>
    </row>
    <row r="1842" spans="1:28" ht="15.75" customHeight="1">
      <c r="A1842" s="285"/>
      <c r="C1842" s="25">
        <v>124</v>
      </c>
      <c r="D1842" s="2">
        <v>23478</v>
      </c>
      <c r="E1842" s="2" t="s">
        <v>4207</v>
      </c>
      <c r="F1842" s="3">
        <v>29102120101541</v>
      </c>
      <c r="G1842" s="2" t="s">
        <v>34</v>
      </c>
      <c r="H1842" s="2" t="s">
        <v>4208</v>
      </c>
      <c r="I1842" s="2" t="s">
        <v>66</v>
      </c>
      <c r="J1842" s="4">
        <v>43543</v>
      </c>
      <c r="K1842" s="2" t="s">
        <v>8</v>
      </c>
      <c r="L1842" s="2" t="s">
        <v>12</v>
      </c>
      <c r="M1842" s="2" t="s">
        <v>197</v>
      </c>
      <c r="R1842" s="77">
        <v>3</v>
      </c>
      <c r="S1842" s="77">
        <v>3</v>
      </c>
      <c r="T1842" s="77">
        <v>2.5</v>
      </c>
      <c r="U1842" s="77">
        <v>2</v>
      </c>
      <c r="V1842" s="77">
        <v>3</v>
      </c>
      <c r="W1842" s="16" t="s">
        <v>62</v>
      </c>
      <c r="X1842" s="2" t="s">
        <v>66</v>
      </c>
      <c r="Y1842" s="7">
        <v>43597</v>
      </c>
      <c r="Z1842" s="16" t="s">
        <v>66</v>
      </c>
      <c r="AA1842" s="7">
        <v>43599</v>
      </c>
    </row>
    <row r="1843" spans="1:28" ht="16.5" customHeight="1" thickBot="1">
      <c r="A1843" s="286"/>
      <c r="C1843" s="28">
        <v>124</v>
      </c>
      <c r="D1843" s="28">
        <v>18565</v>
      </c>
      <c r="E1843" s="28" t="s">
        <v>3035</v>
      </c>
      <c r="F1843" s="29">
        <v>27801148800434</v>
      </c>
      <c r="G1843" s="28" t="s">
        <v>34</v>
      </c>
      <c r="H1843" s="28" t="s">
        <v>3052</v>
      </c>
      <c r="I1843" s="28" t="s">
        <v>67</v>
      </c>
      <c r="J1843" s="30">
        <v>43543</v>
      </c>
      <c r="K1843" s="28" t="s">
        <v>8</v>
      </c>
      <c r="L1843" s="28" t="s">
        <v>12</v>
      </c>
      <c r="M1843" s="28" t="s">
        <v>4209</v>
      </c>
      <c r="N1843" s="28"/>
      <c r="O1843" s="226"/>
      <c r="P1843" s="28"/>
      <c r="Q1843" s="226"/>
      <c r="R1843" s="37">
        <v>3</v>
      </c>
      <c r="S1843" s="37">
        <v>2.5</v>
      </c>
      <c r="T1843" s="37">
        <v>2.5</v>
      </c>
      <c r="U1843" s="37">
        <v>2</v>
      </c>
      <c r="V1843" s="37">
        <v>3</v>
      </c>
      <c r="W1843" s="28" t="s">
        <v>62</v>
      </c>
      <c r="X1843" s="28" t="s">
        <v>66</v>
      </c>
      <c r="Y1843" s="30">
        <v>43597</v>
      </c>
      <c r="Z1843" s="28" t="s">
        <v>66</v>
      </c>
      <c r="AA1843" s="30">
        <v>43599</v>
      </c>
      <c r="AB1843" s="28"/>
    </row>
    <row r="1844" spans="1:28" ht="15.75" customHeight="1" thickTop="1">
      <c r="A1844" s="284" t="s">
        <v>3961</v>
      </c>
      <c r="C1844" s="25">
        <v>125</v>
      </c>
      <c r="D1844" s="25">
        <v>23482</v>
      </c>
      <c r="E1844" s="25" t="s">
        <v>4229</v>
      </c>
      <c r="F1844" s="26">
        <v>29110010119391</v>
      </c>
      <c r="G1844" s="25" t="s">
        <v>34</v>
      </c>
      <c r="H1844" s="25" t="s">
        <v>4230</v>
      </c>
      <c r="I1844" s="25" t="s">
        <v>66</v>
      </c>
      <c r="J1844" s="27">
        <v>43555</v>
      </c>
      <c r="K1844" s="25" t="s">
        <v>8</v>
      </c>
      <c r="L1844" s="25" t="s">
        <v>12</v>
      </c>
      <c r="M1844" s="25" t="s">
        <v>197</v>
      </c>
      <c r="N1844" s="25"/>
      <c r="O1844" s="224"/>
      <c r="P1844" s="25"/>
      <c r="Q1844" s="224"/>
      <c r="R1844" s="25"/>
      <c r="S1844" s="25"/>
      <c r="T1844" s="25"/>
      <c r="U1844" s="25"/>
      <c r="V1844" s="25"/>
      <c r="W1844" s="25" t="s">
        <v>63</v>
      </c>
      <c r="X1844" s="25"/>
      <c r="Y1844" s="27"/>
      <c r="Z1844" s="25" t="s">
        <v>67</v>
      </c>
      <c r="AA1844" s="27"/>
      <c r="AB1844" s="25"/>
    </row>
    <row r="1845" spans="1:28" ht="15.75" customHeight="1">
      <c r="A1845" s="285"/>
      <c r="C1845" s="25">
        <v>125</v>
      </c>
      <c r="D1845" s="2">
        <v>23483</v>
      </c>
      <c r="E1845" s="2" t="s">
        <v>4231</v>
      </c>
      <c r="F1845" s="3">
        <v>29004050103107</v>
      </c>
      <c r="G1845" s="2" t="s">
        <v>34</v>
      </c>
      <c r="H1845" s="2" t="s">
        <v>4232</v>
      </c>
      <c r="I1845" s="2" t="s">
        <v>66</v>
      </c>
      <c r="J1845" s="4">
        <v>43555</v>
      </c>
      <c r="K1845" s="2" t="s">
        <v>8</v>
      </c>
      <c r="L1845" s="2" t="s">
        <v>12</v>
      </c>
      <c r="M1845" s="2" t="s">
        <v>4257</v>
      </c>
      <c r="R1845" s="77">
        <v>3</v>
      </c>
      <c r="S1845" s="77">
        <v>3</v>
      </c>
      <c r="T1845" s="77">
        <v>1.5</v>
      </c>
      <c r="U1845" s="77">
        <v>2</v>
      </c>
      <c r="V1845" s="77">
        <v>3</v>
      </c>
      <c r="W1845" s="16" t="s">
        <v>62</v>
      </c>
      <c r="Y1845" s="7">
        <v>43580</v>
      </c>
      <c r="Z1845" s="16" t="s">
        <v>66</v>
      </c>
      <c r="AA1845" s="7">
        <v>43584</v>
      </c>
      <c r="AB1845" s="2" t="s">
        <v>4334</v>
      </c>
    </row>
    <row r="1846" spans="1:28" ht="15.75" customHeight="1">
      <c r="A1846" s="285"/>
      <c r="C1846" s="25">
        <v>125</v>
      </c>
      <c r="D1846" s="2">
        <v>23484</v>
      </c>
      <c r="E1846" s="2" t="s">
        <v>4233</v>
      </c>
      <c r="F1846" s="3">
        <v>28504250104212</v>
      </c>
      <c r="G1846" s="2" t="s">
        <v>34</v>
      </c>
      <c r="H1846" s="2" t="s">
        <v>4234</v>
      </c>
      <c r="I1846" s="2" t="s">
        <v>66</v>
      </c>
      <c r="J1846" s="4">
        <v>43555</v>
      </c>
      <c r="K1846" s="2" t="s">
        <v>8</v>
      </c>
      <c r="L1846" s="2" t="s">
        <v>12</v>
      </c>
      <c r="M1846" s="2" t="s">
        <v>103</v>
      </c>
      <c r="R1846" s="77">
        <v>3</v>
      </c>
      <c r="S1846" s="77">
        <v>3</v>
      </c>
      <c r="T1846" s="77">
        <v>2.5</v>
      </c>
      <c r="U1846" s="77">
        <v>2.5</v>
      </c>
      <c r="V1846" s="77">
        <v>3</v>
      </c>
      <c r="W1846" s="16" t="s">
        <v>502</v>
      </c>
      <c r="Y1846" s="7">
        <v>43580</v>
      </c>
      <c r="Z1846" s="16" t="s">
        <v>67</v>
      </c>
      <c r="AB1846" s="2" t="s">
        <v>4438</v>
      </c>
    </row>
    <row r="1847" spans="1:28" ht="15.75" customHeight="1">
      <c r="A1847" s="285"/>
      <c r="C1847" s="25">
        <v>125</v>
      </c>
      <c r="D1847" s="2">
        <v>23485</v>
      </c>
      <c r="E1847" s="2" t="s">
        <v>4235</v>
      </c>
      <c r="F1847" s="3">
        <v>28511160105852</v>
      </c>
      <c r="G1847" s="2" t="s">
        <v>34</v>
      </c>
      <c r="H1847" s="2" t="s">
        <v>4236</v>
      </c>
      <c r="I1847" s="2" t="s">
        <v>66</v>
      </c>
      <c r="J1847" s="4">
        <v>43555</v>
      </c>
      <c r="K1847" s="2" t="s">
        <v>8</v>
      </c>
      <c r="L1847" s="2" t="s">
        <v>12</v>
      </c>
      <c r="M1847" s="2" t="s">
        <v>696</v>
      </c>
      <c r="R1847" s="77">
        <v>3</v>
      </c>
      <c r="S1847" s="77">
        <v>3</v>
      </c>
      <c r="T1847" s="77">
        <v>2</v>
      </c>
      <c r="U1847" s="77">
        <v>2</v>
      </c>
      <c r="V1847" s="77">
        <v>3</v>
      </c>
      <c r="W1847" s="16" t="s">
        <v>63</v>
      </c>
      <c r="X1847" s="2" t="s">
        <v>66</v>
      </c>
      <c r="Z1847" s="16" t="s">
        <v>67</v>
      </c>
      <c r="AB1847" s="2" t="s">
        <v>4328</v>
      </c>
    </row>
    <row r="1848" spans="1:28" ht="15.75" customHeight="1">
      <c r="A1848" s="285"/>
      <c r="C1848" s="25">
        <v>125</v>
      </c>
      <c r="D1848" s="2">
        <v>23486</v>
      </c>
      <c r="E1848" s="2" t="s">
        <v>4237</v>
      </c>
      <c r="F1848" s="3">
        <v>29404142100293</v>
      </c>
      <c r="G1848" s="2" t="s">
        <v>4</v>
      </c>
      <c r="H1848" s="2" t="s">
        <v>4238</v>
      </c>
      <c r="I1848" s="2" t="s">
        <v>66</v>
      </c>
      <c r="J1848" s="4">
        <v>43555</v>
      </c>
      <c r="K1848" s="2" t="s">
        <v>8</v>
      </c>
      <c r="L1848" s="2" t="s">
        <v>12</v>
      </c>
      <c r="M1848" s="2" t="s">
        <v>100</v>
      </c>
      <c r="R1848" s="77">
        <v>3</v>
      </c>
      <c r="S1848" s="77">
        <v>2.5</v>
      </c>
      <c r="T1848" s="77">
        <v>2</v>
      </c>
      <c r="U1848" s="77">
        <v>2.5</v>
      </c>
      <c r="V1848" s="77">
        <v>3</v>
      </c>
      <c r="W1848" s="16" t="s">
        <v>4312</v>
      </c>
      <c r="X1848" s="2" t="s">
        <v>66</v>
      </c>
      <c r="Y1848" s="7">
        <v>43597</v>
      </c>
      <c r="Z1848" s="16" t="s">
        <v>66</v>
      </c>
      <c r="AA1848" s="7">
        <v>43597</v>
      </c>
    </row>
    <row r="1849" spans="1:28" ht="15.75" customHeight="1">
      <c r="A1849" s="285"/>
      <c r="C1849" s="25">
        <v>125</v>
      </c>
      <c r="D1849" s="2">
        <v>23487</v>
      </c>
      <c r="E1849" s="2" t="s">
        <v>4239</v>
      </c>
      <c r="F1849" s="3">
        <v>29111020100783</v>
      </c>
      <c r="G1849" s="2" t="s">
        <v>34</v>
      </c>
      <c r="H1849" s="2" t="s">
        <v>4240</v>
      </c>
      <c r="I1849" s="2" t="s">
        <v>66</v>
      </c>
      <c r="J1849" s="4">
        <v>43555</v>
      </c>
      <c r="K1849" s="2" t="s">
        <v>8</v>
      </c>
      <c r="L1849" s="2" t="s">
        <v>12</v>
      </c>
      <c r="M1849" s="75" t="s">
        <v>103</v>
      </c>
      <c r="W1849" s="16" t="s">
        <v>63</v>
      </c>
      <c r="Z1849" s="16" t="s">
        <v>67</v>
      </c>
    </row>
    <row r="1850" spans="1:28" ht="15.75" customHeight="1">
      <c r="A1850" s="285"/>
      <c r="C1850" s="25">
        <v>125</v>
      </c>
      <c r="D1850" s="2">
        <v>23488</v>
      </c>
      <c r="E1850" s="2" t="s">
        <v>4241</v>
      </c>
      <c r="F1850" s="3">
        <v>29303090103182</v>
      </c>
      <c r="G1850" s="2" t="s">
        <v>34</v>
      </c>
      <c r="H1850" s="2" t="s">
        <v>4242</v>
      </c>
      <c r="I1850" s="2" t="s">
        <v>66</v>
      </c>
      <c r="J1850" s="4">
        <v>43555</v>
      </c>
      <c r="K1850" s="2" t="s">
        <v>8</v>
      </c>
      <c r="L1850" s="2" t="s">
        <v>12</v>
      </c>
      <c r="M1850" s="2" t="s">
        <v>3890</v>
      </c>
      <c r="R1850" s="77">
        <v>3</v>
      </c>
      <c r="S1850" s="77">
        <v>3</v>
      </c>
      <c r="T1850" s="77">
        <v>2.5</v>
      </c>
      <c r="U1850" s="77">
        <v>2</v>
      </c>
      <c r="V1850" s="77">
        <v>3</v>
      </c>
      <c r="W1850" s="16" t="s">
        <v>502</v>
      </c>
      <c r="X1850" s="2" t="s">
        <v>66</v>
      </c>
      <c r="Y1850" s="7">
        <v>43597</v>
      </c>
      <c r="Z1850" s="16" t="s">
        <v>66</v>
      </c>
      <c r="AA1850" s="7">
        <v>43605</v>
      </c>
    </row>
    <row r="1851" spans="1:28" ht="15.75" customHeight="1">
      <c r="A1851" s="285"/>
      <c r="C1851" s="25">
        <v>125</v>
      </c>
      <c r="D1851" s="2">
        <v>23489</v>
      </c>
      <c r="E1851" s="2" t="s">
        <v>4243</v>
      </c>
      <c r="F1851" s="3">
        <v>29404082101635</v>
      </c>
      <c r="G1851" s="2" t="s">
        <v>4155</v>
      </c>
      <c r="H1851" s="2" t="s">
        <v>4244</v>
      </c>
      <c r="I1851" s="2" t="s">
        <v>66</v>
      </c>
      <c r="J1851" s="4">
        <v>43555</v>
      </c>
      <c r="K1851" s="2" t="s">
        <v>8</v>
      </c>
      <c r="L1851" s="2" t="s">
        <v>12</v>
      </c>
      <c r="M1851" s="2" t="s">
        <v>551</v>
      </c>
      <c r="R1851" s="77">
        <v>3</v>
      </c>
      <c r="S1851" s="77">
        <v>2.5</v>
      </c>
      <c r="T1851" s="77">
        <v>2.5</v>
      </c>
      <c r="U1851" s="77">
        <v>2.5</v>
      </c>
      <c r="V1851" s="77">
        <v>3</v>
      </c>
      <c r="W1851" s="75" t="s">
        <v>502</v>
      </c>
      <c r="X1851" s="2" t="s">
        <v>66</v>
      </c>
      <c r="Y1851" s="45">
        <v>43597</v>
      </c>
      <c r="Z1851" s="16" t="s">
        <v>66</v>
      </c>
      <c r="AA1851" s="7">
        <v>43605</v>
      </c>
    </row>
    <row r="1852" spans="1:28" ht="15.75" customHeight="1">
      <c r="A1852" s="285"/>
      <c r="C1852" s="25">
        <v>125</v>
      </c>
      <c r="D1852" s="2">
        <v>23490</v>
      </c>
      <c r="E1852" s="2" t="s">
        <v>4245</v>
      </c>
      <c r="F1852" s="3">
        <v>29608141200361</v>
      </c>
      <c r="G1852" s="2" t="s">
        <v>34</v>
      </c>
      <c r="H1852" s="2" t="s">
        <v>4246</v>
      </c>
      <c r="I1852" s="2" t="s">
        <v>66</v>
      </c>
      <c r="J1852" s="4">
        <v>43555</v>
      </c>
      <c r="K1852" s="2" t="s">
        <v>8</v>
      </c>
      <c r="L1852" s="2" t="s">
        <v>12</v>
      </c>
      <c r="M1852" s="75" t="s">
        <v>4257</v>
      </c>
      <c r="W1852" s="75" t="s">
        <v>63</v>
      </c>
      <c r="Z1852" s="16" t="s">
        <v>67</v>
      </c>
    </row>
    <row r="1853" spans="1:28" ht="15.75" customHeight="1">
      <c r="A1853" s="285"/>
      <c r="C1853" s="25">
        <v>125</v>
      </c>
      <c r="D1853" s="2">
        <v>23491</v>
      </c>
      <c r="E1853" s="2" t="s">
        <v>4247</v>
      </c>
      <c r="F1853" s="3">
        <v>29609151702671</v>
      </c>
      <c r="G1853" s="2" t="s">
        <v>34</v>
      </c>
      <c r="H1853" s="2" t="s">
        <v>4248</v>
      </c>
      <c r="I1853" s="2" t="s">
        <v>66</v>
      </c>
      <c r="J1853" s="4">
        <v>43555</v>
      </c>
      <c r="K1853" s="2" t="s">
        <v>8</v>
      </c>
      <c r="L1853" s="2" t="s">
        <v>12</v>
      </c>
      <c r="M1853" s="2" t="s">
        <v>197</v>
      </c>
      <c r="W1853" s="75" t="s">
        <v>63</v>
      </c>
      <c r="Z1853" s="16" t="s">
        <v>67</v>
      </c>
    </row>
    <row r="1854" spans="1:28" ht="15.75" customHeight="1">
      <c r="A1854" s="285"/>
      <c r="C1854" s="25">
        <v>125</v>
      </c>
      <c r="D1854" s="2">
        <v>23492</v>
      </c>
      <c r="E1854" s="2" t="s">
        <v>4249</v>
      </c>
      <c r="F1854" s="3">
        <v>29311188800674</v>
      </c>
      <c r="G1854" s="2" t="s">
        <v>34</v>
      </c>
      <c r="H1854" s="2" t="s">
        <v>4250</v>
      </c>
      <c r="I1854" s="2" t="s">
        <v>66</v>
      </c>
      <c r="J1854" s="4">
        <v>43555</v>
      </c>
      <c r="K1854" s="2" t="s">
        <v>8</v>
      </c>
      <c r="L1854" s="2" t="s">
        <v>12</v>
      </c>
      <c r="M1854" s="2" t="s">
        <v>55</v>
      </c>
      <c r="R1854" s="77">
        <v>3</v>
      </c>
      <c r="S1854" s="77">
        <v>3</v>
      </c>
      <c r="T1854" s="77">
        <v>2.5</v>
      </c>
      <c r="U1854" s="77">
        <v>2.5</v>
      </c>
      <c r="V1854" s="77">
        <v>3</v>
      </c>
      <c r="W1854" s="16" t="s">
        <v>60</v>
      </c>
      <c r="Y1854" s="7">
        <v>43580</v>
      </c>
      <c r="Z1854" s="16" t="s">
        <v>66</v>
      </c>
      <c r="AA1854" s="7">
        <v>43592</v>
      </c>
    </row>
    <row r="1855" spans="1:28" ht="15.75" customHeight="1">
      <c r="A1855" s="285"/>
      <c r="C1855" s="25">
        <v>125</v>
      </c>
      <c r="D1855" s="2">
        <v>23493</v>
      </c>
      <c r="E1855" s="2" t="s">
        <v>4251</v>
      </c>
      <c r="F1855" s="3">
        <v>29510228800268</v>
      </c>
      <c r="G1855" s="2" t="s">
        <v>34</v>
      </c>
      <c r="H1855" s="2" t="s">
        <v>4252</v>
      </c>
      <c r="I1855" s="2" t="s">
        <v>66</v>
      </c>
      <c r="J1855" s="4">
        <v>43555</v>
      </c>
      <c r="K1855" s="2" t="s">
        <v>8</v>
      </c>
      <c r="L1855" s="2" t="s">
        <v>12</v>
      </c>
      <c r="M1855" s="2" t="s">
        <v>551</v>
      </c>
      <c r="R1855" s="77">
        <v>3</v>
      </c>
      <c r="S1855" s="77">
        <v>2.5</v>
      </c>
      <c r="T1855" s="77">
        <v>2</v>
      </c>
      <c r="U1855" s="77">
        <v>2</v>
      </c>
      <c r="V1855" s="77">
        <v>3</v>
      </c>
      <c r="W1855" s="16" t="s">
        <v>62</v>
      </c>
      <c r="Y1855" s="7">
        <v>43580</v>
      </c>
      <c r="Z1855" s="16" t="s">
        <v>67</v>
      </c>
      <c r="AB1855" s="2" t="s">
        <v>4441</v>
      </c>
    </row>
    <row r="1856" spans="1:28" ht="15.75" customHeight="1">
      <c r="A1856" s="285"/>
      <c r="C1856" s="25">
        <v>125</v>
      </c>
      <c r="D1856" s="2">
        <v>23494</v>
      </c>
      <c r="E1856" s="2" t="s">
        <v>4253</v>
      </c>
      <c r="F1856" s="3">
        <v>28908040103195</v>
      </c>
      <c r="G1856" s="2" t="s">
        <v>34</v>
      </c>
      <c r="H1856" s="2" t="s">
        <v>4254</v>
      </c>
      <c r="I1856" s="2" t="s">
        <v>66</v>
      </c>
      <c r="J1856" s="4">
        <v>43555</v>
      </c>
      <c r="K1856" s="2" t="s">
        <v>8</v>
      </c>
      <c r="L1856" s="2" t="s">
        <v>12</v>
      </c>
      <c r="M1856" s="75" t="s">
        <v>52</v>
      </c>
      <c r="R1856" s="77">
        <v>3</v>
      </c>
      <c r="S1856" s="77">
        <v>2.5</v>
      </c>
      <c r="T1856" s="77">
        <v>2.5</v>
      </c>
      <c r="U1856" s="77">
        <v>2.5</v>
      </c>
      <c r="V1856" s="77">
        <v>3</v>
      </c>
      <c r="W1856" s="16" t="s">
        <v>4212</v>
      </c>
      <c r="X1856" s="2" t="s">
        <v>66</v>
      </c>
      <c r="Y1856" s="7">
        <v>43597</v>
      </c>
      <c r="Z1856" s="16" t="s">
        <v>66</v>
      </c>
      <c r="AA1856" s="7">
        <v>43605</v>
      </c>
    </row>
    <row r="1857" spans="1:35" ht="15.75" customHeight="1">
      <c r="A1857" s="285"/>
      <c r="C1857" s="25">
        <v>125</v>
      </c>
      <c r="D1857" s="2">
        <v>23303</v>
      </c>
      <c r="E1857" s="2" t="s">
        <v>4255</v>
      </c>
      <c r="F1857" s="3">
        <v>176634685</v>
      </c>
      <c r="G1857" s="2" t="s">
        <v>34</v>
      </c>
      <c r="H1857" s="2" t="s">
        <v>4256</v>
      </c>
      <c r="I1857" s="2" t="s">
        <v>67</v>
      </c>
      <c r="J1857" s="4">
        <v>43555</v>
      </c>
      <c r="K1857" s="2" t="s">
        <v>8</v>
      </c>
      <c r="L1857" s="2" t="s">
        <v>12</v>
      </c>
      <c r="M1857" s="2" t="s">
        <v>16</v>
      </c>
      <c r="R1857" s="77">
        <v>3</v>
      </c>
      <c r="S1857" s="77">
        <v>2.5</v>
      </c>
      <c r="T1857" s="77">
        <v>2</v>
      </c>
      <c r="U1857" s="77">
        <v>2</v>
      </c>
      <c r="V1857" s="77">
        <v>3</v>
      </c>
      <c r="W1857" s="16" t="s">
        <v>62</v>
      </c>
      <c r="Y1857" s="7">
        <v>43580</v>
      </c>
      <c r="Z1857" s="16" t="s">
        <v>67</v>
      </c>
      <c r="AB1857" s="2" t="s">
        <v>4442</v>
      </c>
    </row>
    <row r="1858" spans="1:35" ht="16.5" customHeight="1" thickBot="1">
      <c r="A1858" s="286"/>
      <c r="C1858" s="28">
        <v>125</v>
      </c>
      <c r="D1858" s="28">
        <v>23450</v>
      </c>
      <c r="E1858" s="28" t="s">
        <v>4147</v>
      </c>
      <c r="F1858" s="29">
        <v>29811182103052</v>
      </c>
      <c r="G1858" s="28" t="s">
        <v>4025</v>
      </c>
      <c r="H1858" s="28" t="s">
        <v>4148</v>
      </c>
      <c r="I1858" s="28" t="s">
        <v>66</v>
      </c>
      <c r="J1858" s="30">
        <v>43527</v>
      </c>
      <c r="K1858" s="28" t="s">
        <v>8</v>
      </c>
      <c r="L1858" s="28" t="s">
        <v>12</v>
      </c>
      <c r="M1858" s="28" t="s">
        <v>737</v>
      </c>
      <c r="N1858" s="28"/>
      <c r="O1858" s="226"/>
      <c r="P1858" s="28"/>
      <c r="Q1858" s="226"/>
      <c r="R1858" s="37">
        <v>3</v>
      </c>
      <c r="S1858" s="37">
        <v>3</v>
      </c>
      <c r="T1858" s="37">
        <v>2.5</v>
      </c>
      <c r="U1858" s="37">
        <v>2.5</v>
      </c>
      <c r="V1858" s="37">
        <v>3</v>
      </c>
      <c r="W1858" s="28" t="s">
        <v>60</v>
      </c>
      <c r="X1858" s="28"/>
      <c r="Y1858" s="30">
        <v>43580</v>
      </c>
      <c r="Z1858" s="28" t="s">
        <v>66</v>
      </c>
      <c r="AA1858" s="30">
        <v>43583</v>
      </c>
      <c r="AB1858" s="28"/>
    </row>
    <row r="1859" spans="1:35" ht="15.75" customHeight="1" thickTop="1">
      <c r="A1859" s="284" t="s">
        <v>3696</v>
      </c>
      <c r="C1859" s="25">
        <v>126</v>
      </c>
      <c r="D1859" s="25">
        <v>23701</v>
      </c>
      <c r="E1859" s="25" t="s">
        <v>4258</v>
      </c>
      <c r="F1859" s="26">
        <v>29407180100182</v>
      </c>
      <c r="G1859" s="25" t="s">
        <v>34</v>
      </c>
      <c r="H1859" s="25" t="s">
        <v>4259</v>
      </c>
      <c r="I1859" s="25" t="s">
        <v>66</v>
      </c>
      <c r="J1859" s="27">
        <v>43561</v>
      </c>
      <c r="K1859" s="25" t="s">
        <v>8</v>
      </c>
      <c r="L1859" s="25" t="s">
        <v>12</v>
      </c>
      <c r="M1859" s="25" t="s">
        <v>3890</v>
      </c>
      <c r="N1859" s="25"/>
      <c r="O1859" s="224"/>
      <c r="P1859" s="25"/>
      <c r="Q1859" s="224"/>
      <c r="R1859" s="77">
        <v>3</v>
      </c>
      <c r="S1859" s="77">
        <v>2.5</v>
      </c>
      <c r="T1859" s="77">
        <v>2.5</v>
      </c>
      <c r="U1859" s="77">
        <v>2.5</v>
      </c>
      <c r="V1859" s="77">
        <v>3</v>
      </c>
      <c r="W1859" s="103" t="s">
        <v>61</v>
      </c>
      <c r="X1859" s="25" t="s">
        <v>66</v>
      </c>
      <c r="Y1859" s="45">
        <v>43614</v>
      </c>
      <c r="Z1859" s="25" t="s">
        <v>66</v>
      </c>
      <c r="AA1859" s="27">
        <v>43667</v>
      </c>
      <c r="AB1859" s="25"/>
      <c r="AD1859" s="296" t="s">
        <v>4515</v>
      </c>
      <c r="AE1859" s="296"/>
      <c r="AF1859" s="296"/>
      <c r="AG1859" s="296"/>
      <c r="AH1859" s="296"/>
      <c r="AI1859" s="296"/>
    </row>
    <row r="1860" spans="1:35" ht="15.75" customHeight="1">
      <c r="A1860" s="285"/>
      <c r="C1860" s="25">
        <v>126</v>
      </c>
      <c r="D1860" s="2">
        <v>23702</v>
      </c>
      <c r="E1860" s="2" t="s">
        <v>4260</v>
      </c>
      <c r="F1860" s="3">
        <v>29509011813894</v>
      </c>
      <c r="G1860" s="2" t="s">
        <v>34</v>
      </c>
      <c r="H1860" s="2" t="s">
        <v>4261</v>
      </c>
      <c r="I1860" s="2" t="s">
        <v>66</v>
      </c>
      <c r="J1860" s="4">
        <v>43561</v>
      </c>
      <c r="K1860" s="2" t="s">
        <v>8</v>
      </c>
      <c r="L1860" s="2" t="s">
        <v>12</v>
      </c>
      <c r="M1860" s="2" t="s">
        <v>197</v>
      </c>
      <c r="R1860" s="77">
        <v>3</v>
      </c>
      <c r="S1860" s="77">
        <v>3</v>
      </c>
      <c r="T1860" s="77">
        <v>2</v>
      </c>
      <c r="U1860" s="77">
        <v>2.5</v>
      </c>
      <c r="V1860" s="77">
        <v>3</v>
      </c>
      <c r="W1860" s="16" t="s">
        <v>61</v>
      </c>
      <c r="Y1860" s="7">
        <v>43587</v>
      </c>
      <c r="Z1860" s="16" t="s">
        <v>66</v>
      </c>
      <c r="AA1860" s="7">
        <v>43597</v>
      </c>
      <c r="AD1860" s="100" t="s">
        <v>4505</v>
      </c>
      <c r="AE1860" s="101" t="s">
        <v>4506</v>
      </c>
      <c r="AF1860" s="68"/>
      <c r="AG1860" s="100" t="s">
        <v>34</v>
      </c>
      <c r="AH1860" s="100" t="s">
        <v>3817</v>
      </c>
      <c r="AI1860" s="101" t="s">
        <v>4507</v>
      </c>
    </row>
    <row r="1861" spans="1:35" ht="15.75" customHeight="1">
      <c r="A1861" s="285"/>
      <c r="C1861" s="25">
        <v>126</v>
      </c>
      <c r="D1861" s="2">
        <v>23703</v>
      </c>
      <c r="E1861" s="2" t="s">
        <v>4262</v>
      </c>
      <c r="F1861" s="3">
        <v>29609300110651</v>
      </c>
      <c r="G1861" s="2" t="s">
        <v>34</v>
      </c>
      <c r="H1861" s="2" t="s">
        <v>4263</v>
      </c>
      <c r="I1861" s="2" t="s">
        <v>66</v>
      </c>
      <c r="J1861" s="4">
        <v>43561</v>
      </c>
      <c r="K1861" s="2" t="s">
        <v>8</v>
      </c>
      <c r="L1861" s="2" t="s">
        <v>12</v>
      </c>
      <c r="M1861" s="2" t="s">
        <v>256</v>
      </c>
      <c r="R1861" s="77">
        <v>3</v>
      </c>
      <c r="S1861" s="77">
        <v>2.5</v>
      </c>
      <c r="T1861" s="77">
        <v>2</v>
      </c>
      <c r="U1861" s="77">
        <v>2.5</v>
      </c>
      <c r="V1861" s="77">
        <v>3</v>
      </c>
      <c r="W1861" s="16" t="s">
        <v>4409</v>
      </c>
      <c r="X1861" s="2" t="s">
        <v>66</v>
      </c>
      <c r="Y1861" s="45">
        <v>43614</v>
      </c>
      <c r="Z1861" s="16" t="s">
        <v>67</v>
      </c>
      <c r="AB1861" s="2" t="s">
        <v>5035</v>
      </c>
      <c r="AD1861" s="46">
        <v>45</v>
      </c>
      <c r="AE1861" s="46">
        <v>5</v>
      </c>
      <c r="AF1861" s="68"/>
      <c r="AG1861" s="46">
        <f>AD1861-AE1861</f>
        <v>40</v>
      </c>
      <c r="AH1861" s="46">
        <v>17</v>
      </c>
      <c r="AI1861" s="46">
        <v>28</v>
      </c>
    </row>
    <row r="1862" spans="1:35" ht="15.75" customHeight="1">
      <c r="A1862" s="285"/>
      <c r="C1862" s="25">
        <v>126</v>
      </c>
      <c r="D1862" s="2">
        <v>23704</v>
      </c>
      <c r="E1862" s="2" t="s">
        <v>4264</v>
      </c>
      <c r="F1862" s="3">
        <v>28505100100258</v>
      </c>
      <c r="G1862" s="2" t="s">
        <v>34</v>
      </c>
      <c r="H1862" s="2" t="s">
        <v>4265</v>
      </c>
      <c r="I1862" s="2" t="s">
        <v>66</v>
      </c>
      <c r="J1862" s="4">
        <v>43561</v>
      </c>
      <c r="K1862" s="2" t="s">
        <v>8</v>
      </c>
      <c r="L1862" s="2" t="s">
        <v>12</v>
      </c>
      <c r="M1862" s="2" t="s">
        <v>3317</v>
      </c>
      <c r="R1862" s="77">
        <v>3</v>
      </c>
      <c r="S1862" s="77">
        <v>2</v>
      </c>
      <c r="T1862" s="77">
        <v>2</v>
      </c>
      <c r="U1862" s="77">
        <v>2</v>
      </c>
      <c r="V1862" s="77">
        <v>3</v>
      </c>
      <c r="W1862" s="16" t="s">
        <v>62</v>
      </c>
      <c r="Y1862" s="7">
        <v>43587</v>
      </c>
      <c r="Z1862" s="16" t="s">
        <v>66</v>
      </c>
      <c r="AA1862" s="7">
        <v>43611</v>
      </c>
      <c r="AD1862" s="44"/>
      <c r="AE1862" s="44"/>
      <c r="AF1862" s="44"/>
      <c r="AG1862" s="44"/>
      <c r="AH1862" s="44"/>
      <c r="AI1862" s="44"/>
    </row>
    <row r="1863" spans="1:35" ht="15.75" customHeight="1">
      <c r="A1863" s="285"/>
      <c r="C1863" s="25">
        <v>126</v>
      </c>
      <c r="D1863" s="2">
        <v>23705</v>
      </c>
      <c r="E1863" s="2" t="s">
        <v>4266</v>
      </c>
      <c r="F1863" s="3">
        <v>29109292702001</v>
      </c>
      <c r="G1863" s="2" t="s">
        <v>34</v>
      </c>
      <c r="H1863" s="2" t="s">
        <v>4267</v>
      </c>
      <c r="I1863" s="2" t="s">
        <v>66</v>
      </c>
      <c r="J1863" s="4">
        <v>43561</v>
      </c>
      <c r="K1863" s="2" t="s">
        <v>8</v>
      </c>
      <c r="L1863" s="2" t="s">
        <v>12</v>
      </c>
      <c r="M1863" s="2" t="s">
        <v>103</v>
      </c>
      <c r="R1863" s="77">
        <v>3</v>
      </c>
      <c r="S1863" s="77">
        <v>3</v>
      </c>
      <c r="T1863" s="77">
        <v>2</v>
      </c>
      <c r="U1863" s="77">
        <v>2</v>
      </c>
      <c r="V1863" s="77">
        <v>3</v>
      </c>
      <c r="W1863" s="16" t="s">
        <v>62</v>
      </c>
      <c r="Y1863" s="7">
        <v>43587</v>
      </c>
      <c r="Z1863" s="16" t="s">
        <v>66</v>
      </c>
      <c r="AA1863" s="7">
        <v>43607</v>
      </c>
      <c r="AB1863" s="2" t="s">
        <v>4408</v>
      </c>
      <c r="AD1863" s="297" t="s">
        <v>4504</v>
      </c>
      <c r="AE1863" s="297"/>
      <c r="AF1863" s="44"/>
      <c r="AG1863" s="298" t="s">
        <v>502</v>
      </c>
      <c r="AH1863" s="298"/>
      <c r="AI1863" s="44"/>
    </row>
    <row r="1864" spans="1:35" ht="15.75" customHeight="1">
      <c r="A1864" s="285"/>
      <c r="C1864" s="25">
        <v>126</v>
      </c>
      <c r="D1864" s="2">
        <v>23706</v>
      </c>
      <c r="E1864" s="2" t="s">
        <v>4268</v>
      </c>
      <c r="F1864" s="3">
        <v>29606111400983</v>
      </c>
      <c r="G1864" s="2" t="s">
        <v>34</v>
      </c>
      <c r="H1864" s="2" t="s">
        <v>4269</v>
      </c>
      <c r="I1864" s="2" t="s">
        <v>66</v>
      </c>
      <c r="J1864" s="4">
        <v>43561</v>
      </c>
      <c r="K1864" s="2" t="s">
        <v>8</v>
      </c>
      <c r="L1864" s="2" t="s">
        <v>12</v>
      </c>
      <c r="M1864" s="2" t="s">
        <v>4257</v>
      </c>
      <c r="R1864" s="77">
        <v>3</v>
      </c>
      <c r="S1864" s="77">
        <v>2.5</v>
      </c>
      <c r="T1864" s="77">
        <v>2</v>
      </c>
      <c r="U1864" s="77">
        <v>2</v>
      </c>
      <c r="V1864" s="77">
        <v>3</v>
      </c>
      <c r="W1864" s="16" t="s">
        <v>63</v>
      </c>
      <c r="X1864" s="2" t="s">
        <v>66</v>
      </c>
      <c r="Z1864" s="16" t="s">
        <v>67</v>
      </c>
      <c r="AB1864" s="2" t="s">
        <v>4410</v>
      </c>
      <c r="AD1864" s="295">
        <v>3</v>
      </c>
      <c r="AE1864" s="295"/>
      <c r="AF1864" s="44"/>
      <c r="AG1864" s="295">
        <v>3</v>
      </c>
      <c r="AH1864" s="295"/>
      <c r="AI1864" s="44"/>
    </row>
    <row r="1865" spans="1:35" ht="15.75" customHeight="1">
      <c r="A1865" s="285"/>
      <c r="C1865" s="25">
        <v>126</v>
      </c>
      <c r="D1865" s="2">
        <v>23707</v>
      </c>
      <c r="E1865" s="2" t="s">
        <v>4270</v>
      </c>
      <c r="F1865" s="3">
        <v>28306182102536</v>
      </c>
      <c r="G1865" s="2" t="s">
        <v>34</v>
      </c>
      <c r="H1865" s="2" t="s">
        <v>4271</v>
      </c>
      <c r="I1865" s="2" t="s">
        <v>66</v>
      </c>
      <c r="J1865" s="4">
        <v>43561</v>
      </c>
      <c r="K1865" s="2" t="s">
        <v>8</v>
      </c>
      <c r="L1865" s="2" t="s">
        <v>12</v>
      </c>
      <c r="M1865" s="2" t="s">
        <v>103</v>
      </c>
      <c r="R1865" s="77">
        <v>3</v>
      </c>
      <c r="S1865" s="77">
        <v>3</v>
      </c>
      <c r="T1865" s="77">
        <v>2</v>
      </c>
      <c r="U1865" s="77">
        <v>2</v>
      </c>
      <c r="V1865" s="77">
        <v>3</v>
      </c>
      <c r="W1865" s="16" t="s">
        <v>63</v>
      </c>
      <c r="X1865" s="2" t="s">
        <v>66</v>
      </c>
      <c r="Z1865" s="16" t="s">
        <v>67</v>
      </c>
      <c r="AB1865" s="75" t="s">
        <v>4410</v>
      </c>
      <c r="AD1865" s="44"/>
      <c r="AE1865" s="44"/>
      <c r="AF1865" s="44"/>
      <c r="AG1865" s="44"/>
      <c r="AH1865" s="44"/>
      <c r="AI1865" s="44"/>
    </row>
    <row r="1866" spans="1:35" ht="15.75" customHeight="1">
      <c r="A1866" s="285"/>
      <c r="C1866" s="25">
        <v>126</v>
      </c>
      <c r="D1866" s="2">
        <v>23708</v>
      </c>
      <c r="E1866" s="2" t="s">
        <v>4272</v>
      </c>
      <c r="F1866" s="3">
        <v>29510010102631</v>
      </c>
      <c r="G1866" s="2" t="s">
        <v>34</v>
      </c>
      <c r="H1866" s="2" t="s">
        <v>4273</v>
      </c>
      <c r="I1866" s="2" t="s">
        <v>66</v>
      </c>
      <c r="J1866" s="4">
        <v>43561</v>
      </c>
      <c r="K1866" s="2" t="s">
        <v>8</v>
      </c>
      <c r="L1866" s="2" t="s">
        <v>12</v>
      </c>
      <c r="M1866" s="2" t="s">
        <v>197</v>
      </c>
      <c r="R1866" s="77">
        <v>3</v>
      </c>
      <c r="S1866" s="77">
        <v>2</v>
      </c>
      <c r="T1866" s="77">
        <v>2</v>
      </c>
      <c r="U1866" s="77">
        <v>2.5</v>
      </c>
      <c r="V1866" s="77">
        <v>3</v>
      </c>
      <c r="W1866" s="16" t="s">
        <v>62</v>
      </c>
      <c r="X1866" s="2" t="s">
        <v>66</v>
      </c>
      <c r="Y1866" s="45">
        <v>43614</v>
      </c>
      <c r="Z1866" s="16" t="s">
        <v>66</v>
      </c>
      <c r="AA1866" s="7">
        <v>43628</v>
      </c>
      <c r="AB1866" s="2" t="s">
        <v>5718</v>
      </c>
      <c r="AD1866" s="299" t="s">
        <v>4503</v>
      </c>
      <c r="AE1866" s="299"/>
      <c r="AF1866" s="44"/>
      <c r="AG1866" s="300" t="s">
        <v>4502</v>
      </c>
      <c r="AH1866" s="300"/>
      <c r="AI1866" s="44"/>
    </row>
    <row r="1867" spans="1:35" ht="15.75" customHeight="1">
      <c r="A1867" s="285"/>
      <c r="C1867" s="25">
        <v>126</v>
      </c>
      <c r="D1867" s="2">
        <v>17733</v>
      </c>
      <c r="E1867" s="2" t="s">
        <v>4274</v>
      </c>
      <c r="F1867" s="3">
        <v>29403282600214</v>
      </c>
      <c r="G1867" s="2" t="s">
        <v>34</v>
      </c>
      <c r="H1867" s="2" t="s">
        <v>4275</v>
      </c>
      <c r="I1867" s="2" t="s">
        <v>67</v>
      </c>
      <c r="J1867" s="4">
        <v>43561</v>
      </c>
      <c r="K1867" s="2" t="s">
        <v>8</v>
      </c>
      <c r="L1867" s="2" t="s">
        <v>12</v>
      </c>
      <c r="M1867" s="2" t="s">
        <v>3696</v>
      </c>
      <c r="R1867" s="77">
        <v>3</v>
      </c>
      <c r="S1867" s="77">
        <v>2.5</v>
      </c>
      <c r="T1867" s="77">
        <v>2</v>
      </c>
      <c r="U1867" s="77">
        <v>1.5</v>
      </c>
      <c r="V1867" s="77">
        <v>3</v>
      </c>
      <c r="W1867" s="16" t="s">
        <v>62</v>
      </c>
      <c r="Y1867" s="7">
        <v>43587</v>
      </c>
      <c r="Z1867" s="16" t="s">
        <v>67</v>
      </c>
      <c r="AB1867" s="2" t="s">
        <v>4438</v>
      </c>
      <c r="AD1867" s="295">
        <v>4</v>
      </c>
      <c r="AE1867" s="295"/>
      <c r="AF1867" s="44"/>
      <c r="AG1867" s="295">
        <v>21</v>
      </c>
      <c r="AH1867" s="295"/>
      <c r="AI1867" s="44"/>
    </row>
    <row r="1868" spans="1:35" ht="15.75" customHeight="1">
      <c r="A1868" s="285"/>
      <c r="C1868" s="25">
        <v>126</v>
      </c>
      <c r="D1868" s="2">
        <v>23727</v>
      </c>
      <c r="E1868" s="2" t="s">
        <v>4276</v>
      </c>
      <c r="F1868" s="3" t="s">
        <v>4277</v>
      </c>
      <c r="G1868" s="2" t="s">
        <v>34</v>
      </c>
      <c r="H1868" s="8" t="s">
        <v>4280</v>
      </c>
      <c r="I1868" s="2" t="s">
        <v>66</v>
      </c>
      <c r="J1868" s="4">
        <v>43561</v>
      </c>
      <c r="K1868" s="2" t="s">
        <v>8</v>
      </c>
      <c r="L1868" s="2" t="s">
        <v>12</v>
      </c>
      <c r="M1868" s="2" t="s">
        <v>623</v>
      </c>
      <c r="R1868" s="77">
        <v>3</v>
      </c>
      <c r="S1868" s="77">
        <v>2.5</v>
      </c>
      <c r="T1868" s="77">
        <v>2</v>
      </c>
      <c r="U1868" s="77">
        <v>2</v>
      </c>
      <c r="V1868" s="77">
        <v>3</v>
      </c>
      <c r="W1868" s="16" t="s">
        <v>62</v>
      </c>
      <c r="Y1868" s="7">
        <v>43587</v>
      </c>
      <c r="Z1868" s="16" t="s">
        <v>66</v>
      </c>
      <c r="AA1868" s="7">
        <v>43607</v>
      </c>
      <c r="AD1868" s="44"/>
      <c r="AE1868" s="44"/>
      <c r="AF1868" s="44"/>
      <c r="AG1868" s="44"/>
      <c r="AH1868" s="44"/>
      <c r="AI1868" s="44"/>
    </row>
    <row r="1869" spans="1:35" ht="15.75" customHeight="1">
      <c r="A1869" s="285"/>
      <c r="C1869" s="25">
        <v>126</v>
      </c>
      <c r="D1869" s="2">
        <v>23728</v>
      </c>
      <c r="E1869" s="2" t="s">
        <v>4278</v>
      </c>
      <c r="F1869" s="3">
        <v>28407171404493</v>
      </c>
      <c r="G1869" s="75" t="s">
        <v>34</v>
      </c>
      <c r="H1869" s="8" t="s">
        <v>4281</v>
      </c>
      <c r="I1869" s="2" t="s">
        <v>66</v>
      </c>
      <c r="J1869" s="4">
        <v>43561</v>
      </c>
      <c r="K1869" s="2" t="s">
        <v>8</v>
      </c>
      <c r="L1869" s="2" t="s">
        <v>12</v>
      </c>
      <c r="M1869" s="2" t="s">
        <v>105</v>
      </c>
      <c r="R1869" s="77">
        <v>3</v>
      </c>
      <c r="S1869" s="77">
        <v>3</v>
      </c>
      <c r="T1869" s="77">
        <v>2</v>
      </c>
      <c r="U1869" s="77">
        <v>2</v>
      </c>
      <c r="V1869" s="77">
        <v>3</v>
      </c>
      <c r="W1869" s="16" t="s">
        <v>62</v>
      </c>
      <c r="X1869" s="2" t="s">
        <v>66</v>
      </c>
      <c r="Y1869" s="45">
        <v>43614</v>
      </c>
      <c r="Z1869" s="16" t="s">
        <v>66</v>
      </c>
      <c r="AA1869" s="7">
        <v>43619</v>
      </c>
      <c r="AB1869" s="75" t="s">
        <v>4408</v>
      </c>
      <c r="AD1869" s="44"/>
      <c r="AE1869" s="301" t="s">
        <v>4509</v>
      </c>
      <c r="AF1869" s="301"/>
      <c r="AG1869" s="301"/>
      <c r="AH1869" s="44"/>
      <c r="AI1869" s="44"/>
    </row>
    <row r="1870" spans="1:35" ht="16.5" customHeight="1" thickBot="1">
      <c r="A1870" s="286"/>
      <c r="C1870" s="28">
        <v>126</v>
      </c>
      <c r="D1870" s="28">
        <v>23761</v>
      </c>
      <c r="E1870" s="28" t="s">
        <v>4279</v>
      </c>
      <c r="F1870" s="29">
        <v>27212030100068</v>
      </c>
      <c r="G1870" s="28" t="s">
        <v>34</v>
      </c>
      <c r="H1870" s="78" t="s">
        <v>4282</v>
      </c>
      <c r="I1870" s="28" t="s">
        <v>66</v>
      </c>
      <c r="J1870" s="30">
        <v>43561</v>
      </c>
      <c r="K1870" s="28" t="s">
        <v>8</v>
      </c>
      <c r="L1870" s="28" t="s">
        <v>12</v>
      </c>
      <c r="M1870" s="28" t="s">
        <v>438</v>
      </c>
      <c r="N1870" s="28"/>
      <c r="O1870" s="226"/>
      <c r="P1870" s="28"/>
      <c r="Q1870" s="226"/>
      <c r="R1870" s="37">
        <v>3</v>
      </c>
      <c r="S1870" s="37">
        <v>2.5</v>
      </c>
      <c r="T1870" s="37">
        <v>2</v>
      </c>
      <c r="U1870" s="37">
        <v>2</v>
      </c>
      <c r="V1870" s="37">
        <v>3</v>
      </c>
      <c r="W1870" s="28" t="s">
        <v>62</v>
      </c>
      <c r="X1870" s="28"/>
      <c r="Y1870" s="30">
        <v>43587</v>
      </c>
      <c r="Z1870" s="28" t="s">
        <v>66</v>
      </c>
      <c r="AA1870" s="30"/>
      <c r="AB1870" s="28" t="s">
        <v>5096</v>
      </c>
      <c r="AD1870" s="44"/>
      <c r="AE1870" s="295">
        <v>1</v>
      </c>
      <c r="AF1870" s="295"/>
      <c r="AG1870" s="295"/>
      <c r="AH1870" s="44"/>
      <c r="AI1870" s="44"/>
    </row>
    <row r="1871" spans="1:35" ht="15.75" customHeight="1" thickTop="1">
      <c r="A1871" s="284" t="s">
        <v>4077</v>
      </c>
      <c r="C1871" s="25" t="s">
        <v>4302</v>
      </c>
      <c r="D1871" s="25">
        <v>23709</v>
      </c>
      <c r="E1871" s="25" t="s">
        <v>4283</v>
      </c>
      <c r="F1871" s="26">
        <v>29504071400571</v>
      </c>
      <c r="G1871" s="25" t="s">
        <v>129</v>
      </c>
      <c r="H1871" s="25" t="s">
        <v>4284</v>
      </c>
      <c r="I1871" s="25" t="s">
        <v>66</v>
      </c>
      <c r="J1871" s="27">
        <v>43561</v>
      </c>
      <c r="K1871" s="25" t="s">
        <v>798</v>
      </c>
      <c r="L1871" s="25" t="s">
        <v>12</v>
      </c>
      <c r="M1871" s="25" t="s">
        <v>103</v>
      </c>
      <c r="N1871" s="25"/>
      <c r="O1871" s="224"/>
      <c r="P1871" s="25"/>
      <c r="Q1871" s="224"/>
      <c r="R1871" s="25"/>
      <c r="S1871" s="25"/>
      <c r="T1871" s="25"/>
      <c r="U1871" s="25"/>
      <c r="V1871" s="25"/>
      <c r="W1871" s="25" t="s">
        <v>63</v>
      </c>
      <c r="X1871" s="25"/>
      <c r="Y1871" s="27"/>
      <c r="Z1871" s="25" t="s">
        <v>67</v>
      </c>
      <c r="AA1871" s="27"/>
      <c r="AB1871" s="25"/>
      <c r="AD1871" s="44"/>
      <c r="AE1871" s="44"/>
      <c r="AF1871" s="44"/>
      <c r="AG1871" s="44"/>
      <c r="AH1871" s="44"/>
      <c r="AI1871" s="44"/>
    </row>
    <row r="1872" spans="1:35" ht="15.75" customHeight="1">
      <c r="A1872" s="285"/>
      <c r="C1872" s="25" t="s">
        <v>4302</v>
      </c>
      <c r="D1872" s="2">
        <v>23710</v>
      </c>
      <c r="E1872" s="2" t="s">
        <v>4285</v>
      </c>
      <c r="F1872" s="3">
        <v>28506242600432</v>
      </c>
      <c r="G1872" s="2" t="s">
        <v>34</v>
      </c>
      <c r="H1872" s="2" t="s">
        <v>4286</v>
      </c>
      <c r="I1872" s="2" t="s">
        <v>66</v>
      </c>
      <c r="J1872" s="4">
        <v>43561</v>
      </c>
      <c r="K1872" s="2" t="s">
        <v>798</v>
      </c>
      <c r="L1872" s="2" t="s">
        <v>12</v>
      </c>
      <c r="M1872" s="2" t="s">
        <v>4287</v>
      </c>
      <c r="R1872" s="16">
        <v>2.5</v>
      </c>
      <c r="S1872" s="16">
        <v>1.5</v>
      </c>
      <c r="T1872" s="16">
        <v>1</v>
      </c>
      <c r="U1872" s="16">
        <v>1.5</v>
      </c>
      <c r="V1872" s="16">
        <v>2</v>
      </c>
      <c r="W1872" s="16" t="s">
        <v>3818</v>
      </c>
      <c r="Y1872" s="7">
        <v>43585</v>
      </c>
      <c r="AD1872" s="44"/>
      <c r="AE1872" s="302" t="s">
        <v>4514</v>
      </c>
      <c r="AF1872" s="302"/>
      <c r="AG1872" s="302"/>
      <c r="AH1872" s="44"/>
      <c r="AI1872" s="44"/>
    </row>
    <row r="1873" spans="1:35" ht="15.75" customHeight="1">
      <c r="A1873" s="285"/>
      <c r="C1873" s="25" t="s">
        <v>4302</v>
      </c>
      <c r="D1873" s="2">
        <v>23711</v>
      </c>
      <c r="E1873" s="2" t="s">
        <v>4288</v>
      </c>
      <c r="F1873" s="3">
        <v>29411092100561</v>
      </c>
      <c r="G1873" s="2" t="s">
        <v>34</v>
      </c>
      <c r="H1873" s="2" t="s">
        <v>4289</v>
      </c>
      <c r="I1873" s="2" t="s">
        <v>66</v>
      </c>
      <c r="J1873" s="4">
        <v>43561</v>
      </c>
      <c r="K1873" s="2" t="s">
        <v>798</v>
      </c>
      <c r="L1873" s="2" t="s">
        <v>12</v>
      </c>
      <c r="M1873" s="2" t="s">
        <v>105</v>
      </c>
      <c r="R1873" s="16">
        <v>3</v>
      </c>
      <c r="S1873" s="16">
        <v>3</v>
      </c>
      <c r="T1873" s="16">
        <v>2</v>
      </c>
      <c r="U1873" s="16">
        <v>2</v>
      </c>
      <c r="V1873" s="16">
        <v>3</v>
      </c>
      <c r="W1873" s="16" t="s">
        <v>3244</v>
      </c>
      <c r="AD1873" s="44"/>
      <c r="AE1873" s="295">
        <v>5</v>
      </c>
      <c r="AF1873" s="295"/>
      <c r="AG1873" s="295"/>
      <c r="AH1873" s="44"/>
      <c r="AI1873" s="44"/>
    </row>
    <row r="1874" spans="1:35" ht="15.75" customHeight="1">
      <c r="A1874" s="285"/>
      <c r="C1874" s="25" t="s">
        <v>4302</v>
      </c>
      <c r="D1874" s="2">
        <v>23712</v>
      </c>
      <c r="E1874" s="2" t="s">
        <v>4290</v>
      </c>
      <c r="F1874" s="3">
        <v>29703230101523</v>
      </c>
      <c r="G1874" s="2" t="s">
        <v>34</v>
      </c>
      <c r="H1874" s="2" t="s">
        <v>4291</v>
      </c>
      <c r="I1874" s="2" t="s">
        <v>66</v>
      </c>
      <c r="J1874" s="4">
        <v>43561</v>
      </c>
      <c r="K1874" s="2" t="s">
        <v>798</v>
      </c>
      <c r="L1874" s="2" t="s">
        <v>12</v>
      </c>
      <c r="M1874" s="2" t="s">
        <v>197</v>
      </c>
      <c r="R1874" s="16">
        <v>3</v>
      </c>
      <c r="S1874" s="16">
        <v>3</v>
      </c>
      <c r="T1874" s="16">
        <v>2</v>
      </c>
      <c r="U1874" s="16">
        <v>2</v>
      </c>
      <c r="V1874" s="16">
        <v>3</v>
      </c>
      <c r="W1874" s="75" t="s">
        <v>3244</v>
      </c>
    </row>
    <row r="1875" spans="1:35" ht="15.75" customHeight="1">
      <c r="A1875" s="285"/>
      <c r="C1875" s="25" t="s">
        <v>4302</v>
      </c>
      <c r="D1875" s="2">
        <v>23713</v>
      </c>
      <c r="E1875" s="2" t="s">
        <v>4292</v>
      </c>
      <c r="F1875" s="3">
        <v>29510242102221</v>
      </c>
      <c r="G1875" s="2" t="s">
        <v>34</v>
      </c>
      <c r="H1875" s="2" t="s">
        <v>4293</v>
      </c>
      <c r="I1875" s="2" t="s">
        <v>66</v>
      </c>
      <c r="J1875" s="4">
        <v>43561</v>
      </c>
      <c r="K1875" s="2" t="s">
        <v>798</v>
      </c>
      <c r="L1875" s="2" t="s">
        <v>12</v>
      </c>
      <c r="M1875" s="2" t="s">
        <v>438</v>
      </c>
      <c r="R1875" s="16">
        <v>3</v>
      </c>
      <c r="S1875" s="16">
        <v>2.5</v>
      </c>
      <c r="T1875" s="16">
        <v>2</v>
      </c>
      <c r="U1875" s="16">
        <v>1.5</v>
      </c>
      <c r="V1875" s="16">
        <v>3</v>
      </c>
      <c r="W1875" s="75" t="s">
        <v>3244</v>
      </c>
      <c r="Y1875" s="45"/>
    </row>
    <row r="1876" spans="1:35" ht="15.75" customHeight="1">
      <c r="A1876" s="285"/>
      <c r="C1876" s="25" t="s">
        <v>4302</v>
      </c>
      <c r="D1876" s="2">
        <v>23714</v>
      </c>
      <c r="E1876" s="2" t="s">
        <v>4294</v>
      </c>
      <c r="F1876" s="3">
        <v>28911308800375</v>
      </c>
      <c r="G1876" s="2" t="s">
        <v>34</v>
      </c>
      <c r="H1876" s="2" t="s">
        <v>4295</v>
      </c>
      <c r="I1876" s="2" t="s">
        <v>66</v>
      </c>
      <c r="J1876" s="4">
        <v>43561</v>
      </c>
      <c r="K1876" s="2" t="s">
        <v>798</v>
      </c>
      <c r="L1876" s="2" t="s">
        <v>12</v>
      </c>
      <c r="M1876" s="2" t="s">
        <v>105</v>
      </c>
      <c r="R1876" s="16">
        <v>3</v>
      </c>
      <c r="S1876" s="16">
        <v>3</v>
      </c>
      <c r="T1876" s="16">
        <v>2</v>
      </c>
      <c r="U1876" s="16">
        <v>2</v>
      </c>
      <c r="V1876" s="16">
        <v>3</v>
      </c>
      <c r="W1876" s="16" t="s">
        <v>62</v>
      </c>
      <c r="Y1876" s="7">
        <v>43585</v>
      </c>
      <c r="Z1876" s="16" t="s">
        <v>66</v>
      </c>
      <c r="AA1876" s="7">
        <v>43599</v>
      </c>
    </row>
    <row r="1877" spans="1:35" ht="15.75" customHeight="1">
      <c r="A1877" s="285"/>
      <c r="C1877" s="25" t="s">
        <v>4302</v>
      </c>
      <c r="D1877" s="2">
        <v>23715</v>
      </c>
      <c r="E1877" s="2" t="s">
        <v>4296</v>
      </c>
      <c r="F1877" s="3">
        <v>28608052200109</v>
      </c>
      <c r="G1877" s="2" t="s">
        <v>34</v>
      </c>
      <c r="H1877" s="2" t="s">
        <v>4297</v>
      </c>
      <c r="I1877" s="2" t="s">
        <v>66</v>
      </c>
      <c r="J1877" s="4">
        <v>43561</v>
      </c>
      <c r="K1877" s="2" t="s">
        <v>798</v>
      </c>
      <c r="L1877" s="2" t="s">
        <v>12</v>
      </c>
      <c r="M1877" s="2" t="s">
        <v>3173</v>
      </c>
      <c r="R1877" s="16">
        <v>3</v>
      </c>
      <c r="S1877" s="16">
        <v>3</v>
      </c>
      <c r="T1877" s="16">
        <v>2</v>
      </c>
      <c r="U1877" s="16">
        <v>2</v>
      </c>
      <c r="V1877" s="16">
        <v>3</v>
      </c>
      <c r="W1877" s="16" t="s">
        <v>62</v>
      </c>
      <c r="Y1877" s="7">
        <v>43585</v>
      </c>
      <c r="Z1877" s="16" t="s">
        <v>67</v>
      </c>
      <c r="AB1877" s="2" t="s">
        <v>4441</v>
      </c>
    </row>
    <row r="1878" spans="1:35" ht="15.75" customHeight="1">
      <c r="A1878" s="285"/>
      <c r="C1878" s="25" t="s">
        <v>4302</v>
      </c>
      <c r="D1878" s="2">
        <v>23716</v>
      </c>
      <c r="E1878" s="2" t="s">
        <v>4298</v>
      </c>
      <c r="F1878" s="3">
        <v>28806250101457</v>
      </c>
      <c r="G1878" s="2" t="s">
        <v>34</v>
      </c>
      <c r="H1878" s="2" t="s">
        <v>4299</v>
      </c>
      <c r="I1878" s="2" t="s">
        <v>66</v>
      </c>
      <c r="J1878" s="4">
        <v>43561</v>
      </c>
      <c r="K1878" s="2" t="s">
        <v>798</v>
      </c>
      <c r="L1878" s="2" t="s">
        <v>12</v>
      </c>
      <c r="M1878" s="2" t="s">
        <v>293</v>
      </c>
      <c r="R1878" s="16">
        <v>3</v>
      </c>
      <c r="S1878" s="16">
        <v>3</v>
      </c>
      <c r="T1878" s="16">
        <v>2</v>
      </c>
      <c r="U1878" s="16">
        <v>2</v>
      </c>
      <c r="V1878" s="16">
        <v>3</v>
      </c>
      <c r="W1878" s="16" t="s">
        <v>62</v>
      </c>
      <c r="Y1878" s="7">
        <v>43585</v>
      </c>
      <c r="Z1878" s="16" t="s">
        <v>66</v>
      </c>
      <c r="AA1878" s="7">
        <v>43584</v>
      </c>
    </row>
    <row r="1879" spans="1:35" ht="15.75" customHeight="1">
      <c r="A1879" s="285"/>
      <c r="C1879" s="25" t="s">
        <v>4302</v>
      </c>
      <c r="D1879" s="2">
        <v>23717</v>
      </c>
      <c r="E1879" s="2" t="s">
        <v>4300</v>
      </c>
      <c r="F1879" s="3">
        <v>29207040100213</v>
      </c>
      <c r="G1879" s="2" t="s">
        <v>34</v>
      </c>
      <c r="H1879" s="2" t="s">
        <v>4301</v>
      </c>
      <c r="I1879" s="2" t="s">
        <v>66</v>
      </c>
      <c r="J1879" s="4">
        <v>43561</v>
      </c>
      <c r="K1879" s="2" t="s">
        <v>798</v>
      </c>
      <c r="L1879" s="2" t="s">
        <v>12</v>
      </c>
      <c r="M1879" s="2" t="s">
        <v>768</v>
      </c>
      <c r="R1879" s="16">
        <v>3</v>
      </c>
      <c r="S1879" s="16">
        <v>3</v>
      </c>
      <c r="T1879" s="16">
        <v>2</v>
      </c>
      <c r="U1879" s="16">
        <v>2.5</v>
      </c>
      <c r="V1879" s="16">
        <v>3</v>
      </c>
      <c r="W1879" s="75" t="s">
        <v>3244</v>
      </c>
    </row>
    <row r="1880" spans="1:35" ht="15.75" customHeight="1">
      <c r="A1880" s="285"/>
      <c r="C1880" s="25" t="s">
        <v>4302</v>
      </c>
      <c r="D1880" s="2">
        <v>15493</v>
      </c>
      <c r="E1880" s="2" t="s">
        <v>4303</v>
      </c>
      <c r="F1880" s="3">
        <v>29102042100796</v>
      </c>
      <c r="G1880" s="2" t="s">
        <v>34</v>
      </c>
      <c r="H1880" s="2" t="s">
        <v>4304</v>
      </c>
      <c r="I1880" s="2" t="s">
        <v>67</v>
      </c>
      <c r="J1880" s="4">
        <v>43561</v>
      </c>
      <c r="K1880" s="2" t="s">
        <v>798</v>
      </c>
      <c r="L1880" s="2" t="s">
        <v>12</v>
      </c>
      <c r="M1880" s="2" t="s">
        <v>438</v>
      </c>
      <c r="R1880" s="16">
        <v>3</v>
      </c>
      <c r="S1880" s="16">
        <v>3</v>
      </c>
      <c r="T1880" s="16">
        <v>2</v>
      </c>
      <c r="U1880" s="16">
        <v>2</v>
      </c>
      <c r="V1880" s="16">
        <v>3</v>
      </c>
      <c r="W1880" s="75" t="s">
        <v>3244</v>
      </c>
    </row>
    <row r="1881" spans="1:35" ht="15.75" customHeight="1">
      <c r="A1881" s="285"/>
      <c r="C1881" s="25" t="s">
        <v>4302</v>
      </c>
      <c r="D1881" s="2">
        <v>23723</v>
      </c>
      <c r="E1881" s="2" t="s">
        <v>4306</v>
      </c>
      <c r="F1881" s="3">
        <v>28109011409773</v>
      </c>
      <c r="G1881" s="2" t="s">
        <v>129</v>
      </c>
      <c r="H1881" s="2" t="s">
        <v>4307</v>
      </c>
      <c r="I1881" s="2" t="s">
        <v>66</v>
      </c>
      <c r="J1881" s="4">
        <v>43561</v>
      </c>
      <c r="K1881" s="2" t="s">
        <v>798</v>
      </c>
      <c r="L1881" s="2" t="s">
        <v>12</v>
      </c>
      <c r="M1881" s="2" t="s">
        <v>105</v>
      </c>
      <c r="R1881" s="16">
        <v>3</v>
      </c>
      <c r="S1881" s="16">
        <v>3</v>
      </c>
      <c r="T1881" s="16">
        <v>1.5</v>
      </c>
      <c r="U1881" s="16">
        <v>2</v>
      </c>
      <c r="V1881" s="16">
        <v>3</v>
      </c>
      <c r="W1881" s="16" t="s">
        <v>3321</v>
      </c>
      <c r="Y1881" s="7">
        <v>43585</v>
      </c>
      <c r="Z1881" s="16" t="s">
        <v>66</v>
      </c>
      <c r="AA1881" s="45">
        <v>43599</v>
      </c>
    </row>
    <row r="1882" spans="1:35" ht="15.75" customHeight="1">
      <c r="A1882" s="285"/>
      <c r="C1882" s="25" t="s">
        <v>4302</v>
      </c>
      <c r="D1882" s="2">
        <v>23724</v>
      </c>
      <c r="E1882" s="2" t="s">
        <v>4308</v>
      </c>
      <c r="F1882" s="3">
        <v>29302060106211</v>
      </c>
      <c r="G1882" s="2" t="s">
        <v>34</v>
      </c>
      <c r="H1882" s="2" t="s">
        <v>4309</v>
      </c>
      <c r="I1882" s="2" t="s">
        <v>66</v>
      </c>
      <c r="J1882" s="4">
        <v>43561</v>
      </c>
      <c r="K1882" s="2" t="s">
        <v>798</v>
      </c>
      <c r="L1882" s="2" t="s">
        <v>12</v>
      </c>
      <c r="M1882" s="2" t="s">
        <v>4257</v>
      </c>
      <c r="R1882" s="16">
        <v>3</v>
      </c>
      <c r="S1882" s="16">
        <v>3</v>
      </c>
      <c r="T1882" s="16">
        <v>2</v>
      </c>
      <c r="U1882" s="16">
        <v>2</v>
      </c>
      <c r="V1882" s="16">
        <v>3</v>
      </c>
      <c r="W1882" s="16" t="s">
        <v>62</v>
      </c>
      <c r="Y1882" s="7">
        <v>43585</v>
      </c>
      <c r="Z1882" s="16" t="s">
        <v>66</v>
      </c>
      <c r="AA1882" s="45">
        <v>43599</v>
      </c>
    </row>
    <row r="1883" spans="1:35" ht="16.5" customHeight="1" thickBot="1">
      <c r="A1883" s="286"/>
      <c r="C1883" s="28" t="s">
        <v>4302</v>
      </c>
      <c r="D1883" s="28">
        <v>23729</v>
      </c>
      <c r="E1883" s="28" t="s">
        <v>4310</v>
      </c>
      <c r="F1883" s="29">
        <v>28812061801138</v>
      </c>
      <c r="G1883" s="28" t="s">
        <v>34</v>
      </c>
      <c r="H1883" s="78" t="s">
        <v>4311</v>
      </c>
      <c r="I1883" s="28" t="s">
        <v>66</v>
      </c>
      <c r="J1883" s="30">
        <v>43561</v>
      </c>
      <c r="K1883" s="28" t="s">
        <v>798</v>
      </c>
      <c r="L1883" s="28" t="s">
        <v>12</v>
      </c>
      <c r="M1883" s="28" t="s">
        <v>4287</v>
      </c>
      <c r="N1883" s="28"/>
      <c r="O1883" s="226"/>
      <c r="P1883" s="28"/>
      <c r="Q1883" s="226"/>
      <c r="R1883" s="28">
        <v>3</v>
      </c>
      <c r="S1883" s="28">
        <v>3</v>
      </c>
      <c r="T1883" s="28">
        <v>2</v>
      </c>
      <c r="U1883" s="28">
        <v>2</v>
      </c>
      <c r="V1883" s="28">
        <v>3</v>
      </c>
      <c r="W1883" s="28" t="s">
        <v>62</v>
      </c>
      <c r="X1883" s="28"/>
      <c r="Y1883" s="30">
        <v>43585</v>
      </c>
      <c r="Z1883" s="28" t="s">
        <v>66</v>
      </c>
      <c r="AA1883" s="30">
        <v>43584</v>
      </c>
      <c r="AB1883" s="28"/>
    </row>
    <row r="1884" spans="1:35" ht="15.75" customHeight="1" thickTop="1">
      <c r="A1884" s="284" t="s">
        <v>3125</v>
      </c>
      <c r="C1884" s="25">
        <v>127</v>
      </c>
      <c r="D1884" s="25">
        <v>23733</v>
      </c>
      <c r="E1884" s="25" t="s">
        <v>4313</v>
      </c>
      <c r="F1884" s="26">
        <v>27711232102018</v>
      </c>
      <c r="G1884" s="25" t="s">
        <v>34</v>
      </c>
      <c r="H1884" s="25" t="s">
        <v>4314</v>
      </c>
      <c r="I1884" s="25" t="s">
        <v>66</v>
      </c>
      <c r="J1884" s="27">
        <v>43568</v>
      </c>
      <c r="K1884" s="25" t="s">
        <v>8</v>
      </c>
      <c r="L1884" s="25" t="s">
        <v>12</v>
      </c>
      <c r="M1884" s="25" t="s">
        <v>4257</v>
      </c>
      <c r="N1884" s="25"/>
      <c r="O1884" s="224"/>
      <c r="P1884" s="25"/>
      <c r="Q1884" s="224"/>
      <c r="R1884" s="92">
        <v>3</v>
      </c>
      <c r="S1884" s="92">
        <v>3</v>
      </c>
      <c r="T1884" s="92">
        <v>2</v>
      </c>
      <c r="U1884" s="92">
        <v>2</v>
      </c>
      <c r="V1884" s="92">
        <v>3</v>
      </c>
      <c r="W1884" s="25" t="s">
        <v>62</v>
      </c>
      <c r="X1884" s="25" t="s">
        <v>66</v>
      </c>
      <c r="Y1884" s="27">
        <v>43614</v>
      </c>
      <c r="Z1884" s="25" t="s">
        <v>66</v>
      </c>
      <c r="AA1884" s="27">
        <v>43619</v>
      </c>
      <c r="AB1884" s="25" t="s">
        <v>4408</v>
      </c>
    </row>
    <row r="1885" spans="1:35" ht="15.75" customHeight="1">
      <c r="A1885" s="285"/>
      <c r="C1885" s="25">
        <v>127</v>
      </c>
      <c r="D1885" s="2">
        <v>23734</v>
      </c>
      <c r="E1885" s="2" t="s">
        <v>4316</v>
      </c>
      <c r="F1885" s="3">
        <v>29503010108943</v>
      </c>
      <c r="G1885" s="2" t="s">
        <v>3970</v>
      </c>
      <c r="H1885" s="2" t="s">
        <v>4317</v>
      </c>
      <c r="I1885" s="2" t="s">
        <v>66</v>
      </c>
      <c r="J1885" s="4">
        <v>43568</v>
      </c>
      <c r="K1885" s="2" t="s">
        <v>8</v>
      </c>
      <c r="L1885" s="2" t="s">
        <v>12</v>
      </c>
      <c r="M1885" s="2" t="s">
        <v>105</v>
      </c>
      <c r="R1885" s="77">
        <v>3</v>
      </c>
      <c r="S1885" s="77">
        <v>2</v>
      </c>
      <c r="T1885" s="77">
        <v>2</v>
      </c>
      <c r="U1885" s="77">
        <v>2</v>
      </c>
      <c r="V1885" s="77">
        <v>3</v>
      </c>
      <c r="W1885" s="16" t="s">
        <v>62</v>
      </c>
      <c r="X1885" s="2" t="s">
        <v>66</v>
      </c>
      <c r="Y1885" s="7">
        <v>43614</v>
      </c>
      <c r="Z1885" s="16" t="s">
        <v>66</v>
      </c>
      <c r="AA1885" s="7">
        <v>43635</v>
      </c>
      <c r="AB1885" s="2" t="s">
        <v>6981</v>
      </c>
    </row>
    <row r="1886" spans="1:35" ht="15.75" customHeight="1">
      <c r="A1886" s="285"/>
      <c r="C1886" s="25">
        <v>127</v>
      </c>
      <c r="D1886" s="2">
        <v>23735</v>
      </c>
      <c r="E1886" s="2" t="s">
        <v>4318</v>
      </c>
      <c r="F1886" s="3">
        <v>29712012106776</v>
      </c>
      <c r="G1886" s="2" t="s">
        <v>3970</v>
      </c>
      <c r="H1886" s="2" t="s">
        <v>4319</v>
      </c>
      <c r="I1886" s="2" t="s">
        <v>66</v>
      </c>
      <c r="J1886" s="4">
        <v>43568</v>
      </c>
      <c r="K1886" s="2" t="s">
        <v>8</v>
      </c>
      <c r="L1886" s="2" t="s">
        <v>12</v>
      </c>
      <c r="M1886" s="2" t="s">
        <v>55</v>
      </c>
      <c r="R1886" s="77">
        <v>3</v>
      </c>
      <c r="S1886" s="77">
        <v>2</v>
      </c>
      <c r="T1886" s="77">
        <v>2.5</v>
      </c>
      <c r="U1886" s="77">
        <v>2</v>
      </c>
      <c r="V1886" s="77">
        <v>3</v>
      </c>
      <c r="W1886" s="16" t="s">
        <v>62</v>
      </c>
      <c r="X1886" s="2" t="s">
        <v>66</v>
      </c>
      <c r="Y1886" s="45">
        <v>43614</v>
      </c>
      <c r="Z1886" s="16" t="s">
        <v>67</v>
      </c>
      <c r="AB1886" s="75" t="s">
        <v>5102</v>
      </c>
    </row>
    <row r="1887" spans="1:35" ht="15.75" customHeight="1">
      <c r="A1887" s="285"/>
      <c r="C1887" s="25">
        <v>127</v>
      </c>
      <c r="D1887" s="2">
        <v>23736</v>
      </c>
      <c r="E1887" s="2" t="s">
        <v>4320</v>
      </c>
      <c r="F1887" s="3">
        <v>29303070101957</v>
      </c>
      <c r="G1887" s="2" t="s">
        <v>34</v>
      </c>
      <c r="H1887" s="2" t="s">
        <v>4321</v>
      </c>
      <c r="I1887" s="2" t="s">
        <v>66</v>
      </c>
      <c r="J1887" s="4">
        <v>43568</v>
      </c>
      <c r="K1887" s="2" t="s">
        <v>8</v>
      </c>
      <c r="L1887" s="2" t="s">
        <v>12</v>
      </c>
      <c r="M1887" s="2" t="s">
        <v>3890</v>
      </c>
      <c r="R1887" s="77">
        <v>3</v>
      </c>
      <c r="S1887" s="77">
        <v>2.5</v>
      </c>
      <c r="T1887" s="77">
        <v>2.5</v>
      </c>
      <c r="U1887" s="77">
        <v>2.5</v>
      </c>
      <c r="V1887" s="77">
        <v>3</v>
      </c>
      <c r="W1887" s="16" t="s">
        <v>4212</v>
      </c>
      <c r="Y1887" s="7">
        <v>43599</v>
      </c>
      <c r="Z1887" s="16" t="s">
        <v>66</v>
      </c>
      <c r="AA1887" s="7">
        <v>43605</v>
      </c>
    </row>
    <row r="1888" spans="1:35" ht="15.75" customHeight="1">
      <c r="A1888" s="285"/>
      <c r="C1888" s="25">
        <v>127</v>
      </c>
      <c r="D1888" s="2">
        <v>23738</v>
      </c>
      <c r="E1888" s="2" t="s">
        <v>4322</v>
      </c>
      <c r="F1888" s="3">
        <v>29410010110028</v>
      </c>
      <c r="G1888" s="2" t="s">
        <v>34</v>
      </c>
      <c r="H1888" s="2" t="s">
        <v>4323</v>
      </c>
      <c r="I1888" s="2" t="s">
        <v>66</v>
      </c>
      <c r="J1888" s="4">
        <v>43568</v>
      </c>
      <c r="K1888" s="2" t="s">
        <v>8</v>
      </c>
      <c r="L1888" s="2" t="s">
        <v>12</v>
      </c>
      <c r="M1888" s="2" t="s">
        <v>4257</v>
      </c>
      <c r="R1888" s="77">
        <v>3</v>
      </c>
      <c r="S1888" s="77">
        <v>2.5</v>
      </c>
      <c r="T1888" s="77">
        <v>2</v>
      </c>
      <c r="U1888" s="77">
        <v>2</v>
      </c>
      <c r="V1888" s="77">
        <v>3</v>
      </c>
      <c r="W1888" s="16" t="s">
        <v>4212</v>
      </c>
      <c r="Y1888" s="7">
        <v>43599</v>
      </c>
      <c r="Z1888" s="16" t="s">
        <v>66</v>
      </c>
      <c r="AA1888" s="45">
        <v>43605</v>
      </c>
    </row>
    <row r="1889" spans="1:35" ht="15.75" customHeight="1">
      <c r="A1889" s="285"/>
      <c r="C1889" s="25">
        <v>127</v>
      </c>
      <c r="D1889" s="2">
        <v>23740</v>
      </c>
      <c r="E1889" s="2" t="s">
        <v>4324</v>
      </c>
      <c r="F1889" s="3">
        <v>29407280103961</v>
      </c>
      <c r="G1889" s="2" t="s">
        <v>34</v>
      </c>
      <c r="H1889" s="2" t="s">
        <v>4325</v>
      </c>
      <c r="I1889" s="2" t="s">
        <v>66</v>
      </c>
      <c r="J1889" s="4">
        <v>43568</v>
      </c>
      <c r="K1889" s="2" t="s">
        <v>8</v>
      </c>
      <c r="L1889" s="2" t="s">
        <v>12</v>
      </c>
      <c r="M1889" s="2" t="s">
        <v>4257</v>
      </c>
      <c r="R1889" s="77">
        <v>3</v>
      </c>
      <c r="S1889" s="77">
        <v>3</v>
      </c>
      <c r="T1889" s="77">
        <v>2.5</v>
      </c>
      <c r="U1889" s="77">
        <v>2</v>
      </c>
      <c r="V1889" s="77">
        <v>3</v>
      </c>
      <c r="W1889" s="16" t="s">
        <v>171</v>
      </c>
      <c r="X1889" s="2" t="s">
        <v>66</v>
      </c>
      <c r="Y1889" s="45">
        <v>43629</v>
      </c>
      <c r="Z1889" s="16" t="s">
        <v>66</v>
      </c>
      <c r="AA1889" s="7">
        <v>43667</v>
      </c>
    </row>
    <row r="1890" spans="1:35" ht="16.5" customHeight="1" thickBot="1">
      <c r="A1890" s="286"/>
      <c r="C1890" s="28">
        <v>127</v>
      </c>
      <c r="D1890" s="28"/>
      <c r="E1890" s="28" t="s">
        <v>4326</v>
      </c>
      <c r="F1890" s="29"/>
      <c r="G1890" s="28"/>
      <c r="H1890" s="78" t="s">
        <v>4327</v>
      </c>
      <c r="I1890" s="28"/>
      <c r="J1890" s="30"/>
      <c r="K1890" s="28"/>
      <c r="L1890" s="28"/>
      <c r="M1890" s="28"/>
      <c r="N1890" s="28"/>
      <c r="O1890" s="226"/>
      <c r="P1890" s="28"/>
      <c r="Q1890" s="226"/>
      <c r="R1890" s="37">
        <v>3</v>
      </c>
      <c r="S1890" s="37">
        <v>2.5</v>
      </c>
      <c r="T1890" s="37">
        <v>2</v>
      </c>
      <c r="U1890" s="37">
        <v>1.5</v>
      </c>
      <c r="V1890" s="37">
        <v>3</v>
      </c>
      <c r="W1890" s="28" t="s">
        <v>3321</v>
      </c>
      <c r="X1890" s="28"/>
      <c r="Y1890" s="30">
        <v>43599</v>
      </c>
      <c r="Z1890" s="28" t="s">
        <v>67</v>
      </c>
      <c r="AA1890" s="30"/>
      <c r="AB1890" s="28"/>
    </row>
    <row r="1891" spans="1:35" ht="15.75" customHeight="1" thickTop="1">
      <c r="A1891" s="284" t="s">
        <v>4517</v>
      </c>
      <c r="C1891" s="25">
        <v>128</v>
      </c>
      <c r="D1891" s="25">
        <v>23744</v>
      </c>
      <c r="E1891" s="75" t="s">
        <v>4335</v>
      </c>
      <c r="F1891" s="26">
        <v>29204242100852</v>
      </c>
      <c r="G1891" s="25" t="s">
        <v>34</v>
      </c>
      <c r="H1891" s="25" t="s">
        <v>4336</v>
      </c>
      <c r="I1891" s="25" t="s">
        <v>66</v>
      </c>
      <c r="J1891" s="27">
        <v>43578</v>
      </c>
      <c r="K1891" s="25" t="s">
        <v>8</v>
      </c>
      <c r="L1891" s="25" t="s">
        <v>12</v>
      </c>
      <c r="M1891" s="25" t="s">
        <v>4337</v>
      </c>
      <c r="N1891" s="25"/>
      <c r="O1891" s="224"/>
      <c r="P1891" s="25"/>
      <c r="Q1891" s="224"/>
      <c r="R1891" s="77">
        <v>3</v>
      </c>
      <c r="S1891" s="77">
        <v>2</v>
      </c>
      <c r="T1891" s="77">
        <v>2</v>
      </c>
      <c r="U1891" s="77">
        <v>2</v>
      </c>
      <c r="V1891" s="77">
        <v>3</v>
      </c>
      <c r="W1891" s="25" t="s">
        <v>62</v>
      </c>
      <c r="X1891" s="25" t="s">
        <v>66</v>
      </c>
      <c r="Y1891" s="27">
        <v>43640</v>
      </c>
      <c r="Z1891" s="25" t="s">
        <v>66</v>
      </c>
      <c r="AA1891" s="27">
        <v>43646</v>
      </c>
      <c r="AB1891" s="25"/>
    </row>
    <row r="1892" spans="1:35" ht="15.75" customHeight="1">
      <c r="A1892" s="285"/>
      <c r="C1892" s="25">
        <v>128</v>
      </c>
      <c r="D1892" s="2">
        <v>23745</v>
      </c>
      <c r="E1892" s="75" t="s">
        <v>4338</v>
      </c>
      <c r="F1892" s="3">
        <v>29505150107184</v>
      </c>
      <c r="G1892" s="103" t="s">
        <v>1753</v>
      </c>
      <c r="H1892" s="8" t="s">
        <v>4339</v>
      </c>
      <c r="I1892" s="2" t="s">
        <v>66</v>
      </c>
      <c r="J1892" s="4">
        <v>43578</v>
      </c>
      <c r="K1892" s="2" t="s">
        <v>8</v>
      </c>
      <c r="L1892" s="2" t="s">
        <v>12</v>
      </c>
      <c r="M1892" s="2" t="s">
        <v>3173</v>
      </c>
      <c r="R1892" s="77">
        <v>3</v>
      </c>
      <c r="S1892" s="77">
        <v>2</v>
      </c>
      <c r="T1892" s="77">
        <v>2</v>
      </c>
      <c r="U1892" s="77">
        <v>2</v>
      </c>
      <c r="V1892" s="77">
        <v>3</v>
      </c>
      <c r="W1892" s="16" t="s">
        <v>62</v>
      </c>
      <c r="Y1892" s="7">
        <v>43607</v>
      </c>
      <c r="Z1892" s="16" t="s">
        <v>66</v>
      </c>
      <c r="AA1892" s="7">
        <v>43635</v>
      </c>
      <c r="AB1892" s="2" t="s">
        <v>4443</v>
      </c>
    </row>
    <row r="1893" spans="1:35" ht="15.75" customHeight="1">
      <c r="A1893" s="285"/>
      <c r="C1893" s="25">
        <v>128</v>
      </c>
      <c r="D1893" s="2">
        <v>23746</v>
      </c>
      <c r="E1893" s="75" t="s">
        <v>4340</v>
      </c>
      <c r="F1893" s="3">
        <v>29903110105419</v>
      </c>
      <c r="G1893" s="2" t="s">
        <v>4341</v>
      </c>
      <c r="H1893" s="8" t="s">
        <v>4342</v>
      </c>
      <c r="I1893" s="2" t="s">
        <v>66</v>
      </c>
      <c r="J1893" s="4">
        <v>43578</v>
      </c>
      <c r="K1893" s="2" t="s">
        <v>8</v>
      </c>
      <c r="L1893" s="2" t="s">
        <v>12</v>
      </c>
      <c r="M1893" s="2" t="s">
        <v>3696</v>
      </c>
      <c r="R1893" s="77">
        <v>3</v>
      </c>
      <c r="S1893" s="77">
        <v>3</v>
      </c>
      <c r="T1893" s="77">
        <v>2</v>
      </c>
      <c r="U1893" s="77">
        <v>2</v>
      </c>
      <c r="V1893" s="77">
        <v>3</v>
      </c>
      <c r="W1893" s="16" t="s">
        <v>62</v>
      </c>
      <c r="Y1893" s="45">
        <v>43607</v>
      </c>
      <c r="Z1893" s="16" t="s">
        <v>67</v>
      </c>
      <c r="AB1893" s="2" t="s">
        <v>4438</v>
      </c>
    </row>
    <row r="1894" spans="1:35" ht="15.75" customHeight="1">
      <c r="A1894" s="285"/>
      <c r="C1894" s="25">
        <v>128</v>
      </c>
      <c r="D1894" s="2">
        <v>23747</v>
      </c>
      <c r="E1894" s="75" t="s">
        <v>4343</v>
      </c>
      <c r="F1894" s="3">
        <v>28809011416194</v>
      </c>
      <c r="G1894" s="103" t="s">
        <v>1753</v>
      </c>
      <c r="H1894" s="8" t="s">
        <v>4344</v>
      </c>
      <c r="I1894" s="2" t="s">
        <v>66</v>
      </c>
      <c r="J1894" s="4">
        <v>43578</v>
      </c>
      <c r="K1894" s="2" t="s">
        <v>8</v>
      </c>
      <c r="L1894" s="2" t="s">
        <v>12</v>
      </c>
      <c r="M1894" s="2" t="s">
        <v>4337</v>
      </c>
      <c r="R1894" s="77">
        <v>3</v>
      </c>
      <c r="S1894" s="77">
        <v>2.5</v>
      </c>
      <c r="T1894" s="77">
        <v>2</v>
      </c>
      <c r="U1894" s="77">
        <v>2</v>
      </c>
      <c r="V1894" s="77">
        <v>3</v>
      </c>
      <c r="W1894" s="16" t="s">
        <v>62</v>
      </c>
      <c r="Y1894" s="45">
        <v>43607</v>
      </c>
      <c r="Z1894" s="16" t="s">
        <v>67</v>
      </c>
      <c r="AB1894" s="75" t="s">
        <v>4438</v>
      </c>
    </row>
    <row r="1895" spans="1:35" ht="15.75" customHeight="1">
      <c r="A1895" s="285"/>
      <c r="C1895" s="25">
        <v>128</v>
      </c>
      <c r="D1895" s="2">
        <v>23748</v>
      </c>
      <c r="E1895" s="75" t="s">
        <v>4345</v>
      </c>
      <c r="F1895" s="3">
        <v>29412032100495</v>
      </c>
      <c r="G1895" s="2" t="s">
        <v>1753</v>
      </c>
      <c r="H1895" s="2" t="s">
        <v>4346</v>
      </c>
      <c r="I1895" s="2" t="s">
        <v>66</v>
      </c>
      <c r="J1895" s="4">
        <v>43578</v>
      </c>
      <c r="K1895" s="2" t="s">
        <v>8</v>
      </c>
      <c r="L1895" s="2" t="s">
        <v>12</v>
      </c>
      <c r="M1895" s="2" t="s">
        <v>4347</v>
      </c>
      <c r="W1895" s="16" t="s">
        <v>63</v>
      </c>
      <c r="Z1895" s="16" t="s">
        <v>67</v>
      </c>
    </row>
    <row r="1896" spans="1:35" ht="15.75" customHeight="1">
      <c r="A1896" s="285"/>
      <c r="C1896" s="25">
        <v>128</v>
      </c>
      <c r="D1896" s="2">
        <v>23749</v>
      </c>
      <c r="E1896" s="75" t="s">
        <v>4348</v>
      </c>
      <c r="F1896" s="3">
        <v>29603011806061</v>
      </c>
      <c r="G1896" s="2" t="s">
        <v>34</v>
      </c>
      <c r="H1896" s="8" t="s">
        <v>4349</v>
      </c>
      <c r="I1896" s="2" t="s">
        <v>66</v>
      </c>
      <c r="J1896" s="4">
        <v>43578</v>
      </c>
      <c r="K1896" s="2" t="s">
        <v>8</v>
      </c>
      <c r="L1896" s="2" t="s">
        <v>12</v>
      </c>
      <c r="M1896" s="2" t="s">
        <v>4350</v>
      </c>
      <c r="R1896" s="77">
        <v>3</v>
      </c>
      <c r="S1896" s="77">
        <v>2</v>
      </c>
      <c r="T1896" s="77">
        <v>2</v>
      </c>
      <c r="U1896" s="77">
        <v>1.5</v>
      </c>
      <c r="V1896" s="77">
        <v>3</v>
      </c>
      <c r="W1896" s="16" t="s">
        <v>62</v>
      </c>
      <c r="Y1896" s="45">
        <v>43607</v>
      </c>
      <c r="Z1896" s="16" t="s">
        <v>67</v>
      </c>
      <c r="AB1896" s="75" t="s">
        <v>4438</v>
      </c>
    </row>
    <row r="1897" spans="1:35" ht="15.75" customHeight="1">
      <c r="A1897" s="285"/>
      <c r="C1897" s="25">
        <v>128</v>
      </c>
      <c r="D1897" s="2">
        <v>23750</v>
      </c>
      <c r="E1897" s="75" t="s">
        <v>4351</v>
      </c>
      <c r="F1897" s="3">
        <v>29108208800471</v>
      </c>
      <c r="G1897" s="2" t="s">
        <v>1753</v>
      </c>
      <c r="H1897" s="8" t="s">
        <v>4369</v>
      </c>
      <c r="I1897" s="2" t="s">
        <v>66</v>
      </c>
      <c r="J1897" s="4">
        <v>43578</v>
      </c>
      <c r="K1897" s="2" t="s">
        <v>8</v>
      </c>
      <c r="L1897" s="2" t="s">
        <v>12</v>
      </c>
      <c r="M1897" s="2" t="s">
        <v>197</v>
      </c>
      <c r="R1897" s="77">
        <v>3</v>
      </c>
      <c r="S1897" s="77">
        <v>3</v>
      </c>
      <c r="T1897" s="77">
        <v>2.5</v>
      </c>
      <c r="U1897" s="77">
        <v>2.5</v>
      </c>
      <c r="V1897" s="77">
        <v>3</v>
      </c>
      <c r="W1897" s="16" t="s">
        <v>60</v>
      </c>
      <c r="Y1897" s="45">
        <v>43607</v>
      </c>
      <c r="Z1897" s="16" t="s">
        <v>66</v>
      </c>
      <c r="AA1897" s="7">
        <v>43611</v>
      </c>
    </row>
    <row r="1898" spans="1:35" ht="15.75" customHeight="1">
      <c r="A1898" s="285"/>
      <c r="C1898" s="25">
        <v>128</v>
      </c>
      <c r="D1898" s="2">
        <v>23751</v>
      </c>
      <c r="E1898" s="75" t="s">
        <v>4352</v>
      </c>
      <c r="F1898" s="3">
        <v>28903061300037</v>
      </c>
      <c r="G1898" s="2" t="s">
        <v>34</v>
      </c>
      <c r="H1898" s="2" t="s">
        <v>4353</v>
      </c>
      <c r="I1898" s="2" t="s">
        <v>66</v>
      </c>
      <c r="J1898" s="4">
        <v>43578</v>
      </c>
      <c r="K1898" s="2" t="s">
        <v>8</v>
      </c>
      <c r="L1898" s="2" t="s">
        <v>12</v>
      </c>
      <c r="M1898" s="2" t="s">
        <v>4347</v>
      </c>
      <c r="R1898" s="77">
        <v>3</v>
      </c>
      <c r="S1898" s="77">
        <v>3</v>
      </c>
      <c r="T1898" s="77">
        <v>2.5</v>
      </c>
      <c r="U1898" s="77">
        <v>2.5</v>
      </c>
      <c r="V1898" s="77">
        <v>3</v>
      </c>
      <c r="W1898" s="16" t="s">
        <v>60</v>
      </c>
      <c r="Y1898" s="45">
        <v>43607</v>
      </c>
      <c r="Z1898" s="16" t="s">
        <v>66</v>
      </c>
      <c r="AA1898" s="7">
        <v>43632</v>
      </c>
    </row>
    <row r="1899" spans="1:35" ht="15.75" customHeight="1">
      <c r="A1899" s="285"/>
      <c r="C1899" s="25">
        <v>128</v>
      </c>
      <c r="D1899" s="2">
        <v>23752</v>
      </c>
      <c r="E1899" s="75" t="s">
        <v>4354</v>
      </c>
      <c r="F1899" s="3">
        <v>29006120101738</v>
      </c>
      <c r="G1899" s="103" t="s">
        <v>34</v>
      </c>
      <c r="H1899" s="2" t="s">
        <v>4355</v>
      </c>
      <c r="I1899" s="2" t="s">
        <v>66</v>
      </c>
      <c r="J1899" s="4">
        <v>43578</v>
      </c>
      <c r="K1899" s="2" t="s">
        <v>8</v>
      </c>
      <c r="L1899" s="2" t="s">
        <v>12</v>
      </c>
      <c r="M1899" s="2" t="s">
        <v>4337</v>
      </c>
      <c r="R1899" s="77">
        <v>3</v>
      </c>
      <c r="S1899" s="77">
        <v>3</v>
      </c>
      <c r="T1899" s="77">
        <v>2</v>
      </c>
      <c r="U1899" s="77">
        <v>2</v>
      </c>
      <c r="V1899" s="77">
        <v>3</v>
      </c>
      <c r="W1899" s="16" t="s">
        <v>62</v>
      </c>
      <c r="Y1899" s="45">
        <v>43607</v>
      </c>
      <c r="Z1899" s="16" t="s">
        <v>66</v>
      </c>
      <c r="AA1899" s="7">
        <v>43611</v>
      </c>
    </row>
    <row r="1900" spans="1:35" ht="15.75" customHeight="1">
      <c r="A1900" s="285"/>
      <c r="C1900" s="25">
        <v>128</v>
      </c>
      <c r="D1900" s="2">
        <v>23753</v>
      </c>
      <c r="E1900" s="75" t="s">
        <v>4356</v>
      </c>
      <c r="F1900" s="3">
        <v>29409292105279</v>
      </c>
      <c r="G1900" s="103" t="s">
        <v>34</v>
      </c>
      <c r="H1900" s="2" t="s">
        <v>4357</v>
      </c>
      <c r="I1900" s="2" t="s">
        <v>66</v>
      </c>
      <c r="J1900" s="4">
        <v>43578</v>
      </c>
      <c r="K1900" s="2" t="s">
        <v>8</v>
      </c>
      <c r="L1900" s="2" t="s">
        <v>12</v>
      </c>
      <c r="M1900" s="2" t="s">
        <v>4337</v>
      </c>
      <c r="R1900" s="77">
        <v>3</v>
      </c>
      <c r="S1900" s="77">
        <v>3</v>
      </c>
      <c r="T1900" s="77">
        <v>2</v>
      </c>
      <c r="U1900" s="77">
        <v>2.5</v>
      </c>
      <c r="V1900" s="77">
        <v>3</v>
      </c>
      <c r="W1900" s="16" t="s">
        <v>171</v>
      </c>
      <c r="X1900" s="2" t="s">
        <v>66</v>
      </c>
      <c r="Y1900" s="7">
        <v>43640</v>
      </c>
      <c r="Z1900" s="16" t="s">
        <v>66</v>
      </c>
      <c r="AA1900" s="7">
        <v>43667</v>
      </c>
    </row>
    <row r="1901" spans="1:35" ht="15.75" customHeight="1">
      <c r="A1901" s="285"/>
      <c r="C1901" s="25">
        <v>128</v>
      </c>
      <c r="D1901" s="2">
        <v>23754</v>
      </c>
      <c r="E1901" s="75" t="s">
        <v>4358</v>
      </c>
      <c r="F1901" s="3">
        <v>28207080102959</v>
      </c>
      <c r="G1901" s="103" t="s">
        <v>34</v>
      </c>
      <c r="H1901" s="2" t="s">
        <v>4359</v>
      </c>
      <c r="I1901" s="2" t="s">
        <v>66</v>
      </c>
      <c r="J1901" s="4">
        <v>43578</v>
      </c>
      <c r="K1901" s="2" t="s">
        <v>8</v>
      </c>
      <c r="L1901" s="2" t="s">
        <v>12</v>
      </c>
      <c r="M1901" s="2" t="s">
        <v>105</v>
      </c>
      <c r="W1901" s="16" t="s">
        <v>63</v>
      </c>
      <c r="Z1901" s="16" t="s">
        <v>67</v>
      </c>
      <c r="AB1901" s="2" t="s">
        <v>6459</v>
      </c>
    </row>
    <row r="1902" spans="1:35" ht="15.75" customHeight="1">
      <c r="A1902" s="285"/>
      <c r="C1902" s="25">
        <v>128</v>
      </c>
      <c r="D1902" s="2">
        <v>12515</v>
      </c>
      <c r="E1902" s="2" t="s">
        <v>4360</v>
      </c>
      <c r="F1902" s="3">
        <v>29607240101735</v>
      </c>
      <c r="G1902" s="2" t="s">
        <v>4341</v>
      </c>
      <c r="H1902" s="2" t="s">
        <v>4361</v>
      </c>
      <c r="I1902" s="2" t="s">
        <v>4305</v>
      </c>
      <c r="J1902" s="4">
        <v>43578</v>
      </c>
      <c r="K1902" s="2" t="s">
        <v>8</v>
      </c>
      <c r="L1902" s="2" t="s">
        <v>12</v>
      </c>
      <c r="M1902" s="2" t="s">
        <v>551</v>
      </c>
      <c r="R1902" s="77">
        <v>3</v>
      </c>
      <c r="S1902" s="77">
        <v>2.5</v>
      </c>
      <c r="T1902" s="77">
        <v>2.5</v>
      </c>
      <c r="U1902" s="77">
        <v>2.5</v>
      </c>
      <c r="V1902" s="77">
        <v>3</v>
      </c>
      <c r="W1902" s="16" t="s">
        <v>60</v>
      </c>
      <c r="Y1902" s="45">
        <v>43607</v>
      </c>
      <c r="Z1902" s="16" t="s">
        <v>66</v>
      </c>
      <c r="AA1902" s="7">
        <v>43632</v>
      </c>
    </row>
    <row r="1903" spans="1:35" ht="16.5" customHeight="1" thickBot="1">
      <c r="A1903" s="286"/>
      <c r="C1903" s="28">
        <v>128</v>
      </c>
      <c r="D1903" s="28">
        <v>23755</v>
      </c>
      <c r="E1903" s="28" t="s">
        <v>4362</v>
      </c>
      <c r="F1903" s="29" t="s">
        <v>4363</v>
      </c>
      <c r="G1903" s="28" t="s">
        <v>4364</v>
      </c>
      <c r="H1903" s="28" t="s">
        <v>4365</v>
      </c>
      <c r="I1903" s="28" t="s">
        <v>66</v>
      </c>
      <c r="J1903" s="30">
        <v>43578</v>
      </c>
      <c r="K1903" s="28" t="s">
        <v>8</v>
      </c>
      <c r="L1903" s="28" t="s">
        <v>12</v>
      </c>
      <c r="M1903" s="28" t="s">
        <v>697</v>
      </c>
      <c r="N1903" s="28"/>
      <c r="O1903" s="226"/>
      <c r="P1903" s="28"/>
      <c r="Q1903" s="226"/>
      <c r="R1903" s="37">
        <v>3</v>
      </c>
      <c r="S1903" s="37">
        <v>2.5</v>
      </c>
      <c r="T1903" s="37">
        <v>2.5</v>
      </c>
      <c r="U1903" s="37">
        <v>2.5</v>
      </c>
      <c r="V1903" s="37">
        <v>3</v>
      </c>
      <c r="W1903" s="28" t="s">
        <v>4212</v>
      </c>
      <c r="X1903" s="28"/>
      <c r="Y1903" s="30">
        <v>43607</v>
      </c>
      <c r="Z1903" s="28" t="s">
        <v>66</v>
      </c>
      <c r="AA1903" s="30">
        <v>43611</v>
      </c>
      <c r="AB1903" s="28"/>
    </row>
    <row r="1904" spans="1:35" ht="15.75" customHeight="1" thickTop="1">
      <c r="A1904" s="284" t="s">
        <v>4077</v>
      </c>
      <c r="C1904" s="25">
        <v>129</v>
      </c>
      <c r="D1904" s="25">
        <v>23944</v>
      </c>
      <c r="E1904" s="25" t="s">
        <v>4370</v>
      </c>
      <c r="F1904" s="26">
        <v>28311048800638</v>
      </c>
      <c r="G1904" s="25" t="s">
        <v>34</v>
      </c>
      <c r="H1904" s="25" t="s">
        <v>4371</v>
      </c>
      <c r="I1904" s="25" t="s">
        <v>66</v>
      </c>
      <c r="J1904" s="27">
        <v>43589</v>
      </c>
      <c r="K1904" s="25" t="s">
        <v>8</v>
      </c>
      <c r="L1904" s="25" t="s">
        <v>12</v>
      </c>
      <c r="M1904" s="25" t="s">
        <v>623</v>
      </c>
      <c r="N1904" s="25"/>
      <c r="O1904" s="224"/>
      <c r="P1904" s="25"/>
      <c r="Q1904" s="224"/>
      <c r="R1904" s="25"/>
      <c r="S1904" s="25"/>
      <c r="T1904" s="25"/>
      <c r="U1904" s="25"/>
      <c r="V1904" s="25"/>
      <c r="W1904" s="25" t="s">
        <v>63</v>
      </c>
      <c r="X1904" s="25"/>
      <c r="Y1904" s="27"/>
      <c r="Z1904" s="25" t="s">
        <v>67</v>
      </c>
      <c r="AA1904" s="27"/>
      <c r="AB1904" s="25"/>
      <c r="AD1904" s="296" t="s">
        <v>4516</v>
      </c>
      <c r="AE1904" s="296"/>
      <c r="AF1904" s="296"/>
      <c r="AG1904" s="296"/>
      <c r="AH1904" s="296"/>
      <c r="AI1904" s="296"/>
    </row>
    <row r="1905" spans="1:35" ht="15.75" customHeight="1">
      <c r="A1905" s="285"/>
      <c r="C1905" s="25">
        <v>129</v>
      </c>
      <c r="D1905" s="2">
        <v>23945</v>
      </c>
      <c r="E1905" s="75" t="s">
        <v>4372</v>
      </c>
      <c r="F1905" s="3">
        <v>29606301300438</v>
      </c>
      <c r="G1905" s="2" t="s">
        <v>4373</v>
      </c>
      <c r="H1905" s="2" t="s">
        <v>4374</v>
      </c>
      <c r="I1905" s="2" t="s">
        <v>66</v>
      </c>
      <c r="J1905" s="4">
        <v>43589</v>
      </c>
      <c r="K1905" s="2" t="s">
        <v>8</v>
      </c>
      <c r="L1905" s="2" t="s">
        <v>12</v>
      </c>
      <c r="M1905" s="2" t="s">
        <v>226</v>
      </c>
      <c r="R1905" s="77">
        <v>3</v>
      </c>
      <c r="S1905" s="77">
        <v>3</v>
      </c>
      <c r="T1905" s="77">
        <v>2.5</v>
      </c>
      <c r="U1905" s="77">
        <v>2</v>
      </c>
      <c r="V1905" s="77">
        <v>3</v>
      </c>
      <c r="W1905" s="16" t="s">
        <v>60</v>
      </c>
      <c r="Y1905" s="7">
        <v>43618</v>
      </c>
      <c r="Z1905" s="16" t="s">
        <v>66</v>
      </c>
      <c r="AA1905" s="7">
        <v>43632</v>
      </c>
      <c r="AD1905" s="100" t="s">
        <v>4505</v>
      </c>
      <c r="AE1905" s="101" t="s">
        <v>4506</v>
      </c>
      <c r="AF1905" s="68"/>
      <c r="AG1905" s="100" t="s">
        <v>34</v>
      </c>
      <c r="AH1905" s="100" t="s">
        <v>3817</v>
      </c>
      <c r="AI1905" s="101" t="s">
        <v>4507</v>
      </c>
    </row>
    <row r="1906" spans="1:35" ht="15.75" customHeight="1">
      <c r="A1906" s="285"/>
      <c r="C1906" s="25">
        <v>129</v>
      </c>
      <c r="D1906" s="2">
        <v>23946</v>
      </c>
      <c r="E1906" s="75" t="s">
        <v>4375</v>
      </c>
      <c r="F1906" s="3">
        <v>29410292300452</v>
      </c>
      <c r="G1906" s="2" t="s">
        <v>34</v>
      </c>
      <c r="H1906" s="2" t="s">
        <v>4376</v>
      </c>
      <c r="I1906" s="2" t="s">
        <v>66</v>
      </c>
      <c r="J1906" s="4">
        <v>43589</v>
      </c>
      <c r="K1906" s="2" t="s">
        <v>8</v>
      </c>
      <c r="L1906" s="2" t="s">
        <v>12</v>
      </c>
      <c r="M1906" s="2" t="s">
        <v>4337</v>
      </c>
      <c r="R1906" s="77">
        <v>3</v>
      </c>
      <c r="S1906" s="77">
        <v>3</v>
      </c>
      <c r="T1906" s="77">
        <v>2</v>
      </c>
      <c r="U1906" s="77">
        <v>2</v>
      </c>
      <c r="V1906" s="77">
        <v>3</v>
      </c>
      <c r="W1906" s="16" t="s">
        <v>62</v>
      </c>
      <c r="Y1906" s="45">
        <v>43618</v>
      </c>
      <c r="Z1906" s="16" t="s">
        <v>66</v>
      </c>
      <c r="AA1906" s="7">
        <v>43635</v>
      </c>
      <c r="AB1906" s="2" t="s">
        <v>4443</v>
      </c>
      <c r="AD1906" s="46">
        <v>54</v>
      </c>
      <c r="AE1906" s="46">
        <v>16</v>
      </c>
      <c r="AF1906" s="68"/>
      <c r="AG1906" s="46">
        <f>AD1906-AE1906</f>
        <v>38</v>
      </c>
      <c r="AH1906" s="46">
        <v>1</v>
      </c>
      <c r="AI1906" s="46">
        <v>53</v>
      </c>
    </row>
    <row r="1907" spans="1:35" ht="15.75" customHeight="1">
      <c r="A1907" s="285"/>
      <c r="C1907" s="25">
        <v>129</v>
      </c>
      <c r="D1907" s="2">
        <v>23947</v>
      </c>
      <c r="E1907" s="75" t="s">
        <v>4377</v>
      </c>
      <c r="F1907" s="3">
        <v>29506082103384</v>
      </c>
      <c r="G1907" s="2" t="s">
        <v>34</v>
      </c>
      <c r="H1907" s="2" t="s">
        <v>4378</v>
      </c>
      <c r="I1907" s="2" t="s">
        <v>66</v>
      </c>
      <c r="J1907" s="4">
        <v>43589</v>
      </c>
      <c r="K1907" s="2" t="s">
        <v>8</v>
      </c>
      <c r="L1907" s="2" t="s">
        <v>12</v>
      </c>
      <c r="M1907" s="2" t="s">
        <v>4337</v>
      </c>
      <c r="W1907" s="16" t="s">
        <v>63</v>
      </c>
      <c r="Z1907" s="16" t="s">
        <v>67</v>
      </c>
      <c r="AD1907" s="44"/>
      <c r="AE1907" s="44"/>
      <c r="AF1907" s="44"/>
      <c r="AG1907" s="44"/>
      <c r="AH1907" s="44"/>
      <c r="AI1907" s="44"/>
    </row>
    <row r="1908" spans="1:35" ht="15.75" customHeight="1">
      <c r="A1908" s="285"/>
      <c r="C1908" s="25">
        <v>129</v>
      </c>
      <c r="D1908" s="2">
        <v>23948</v>
      </c>
      <c r="E1908" s="75" t="s">
        <v>4379</v>
      </c>
      <c r="F1908" s="3">
        <v>29509031302179</v>
      </c>
      <c r="G1908" s="2" t="s">
        <v>34</v>
      </c>
      <c r="H1908" s="2" t="s">
        <v>4380</v>
      </c>
      <c r="I1908" s="2" t="s">
        <v>66</v>
      </c>
      <c r="J1908" s="4">
        <v>43589</v>
      </c>
      <c r="K1908" s="2" t="s">
        <v>8</v>
      </c>
      <c r="L1908" s="2" t="s">
        <v>12</v>
      </c>
      <c r="M1908" s="2" t="s">
        <v>771</v>
      </c>
      <c r="R1908" s="77">
        <v>3</v>
      </c>
      <c r="S1908" s="77">
        <v>2.5</v>
      </c>
      <c r="T1908" s="77">
        <v>2.5</v>
      </c>
      <c r="U1908" s="77">
        <v>2.5</v>
      </c>
      <c r="V1908" s="77">
        <v>3</v>
      </c>
      <c r="W1908" s="16" t="s">
        <v>170</v>
      </c>
      <c r="X1908" s="2" t="s">
        <v>66</v>
      </c>
      <c r="Y1908" s="7">
        <v>43640</v>
      </c>
      <c r="Z1908" s="16" t="s">
        <v>66</v>
      </c>
      <c r="AA1908" s="7">
        <v>43667</v>
      </c>
      <c r="AD1908" s="297" t="s">
        <v>4504</v>
      </c>
      <c r="AE1908" s="297"/>
      <c r="AF1908" s="44"/>
      <c r="AG1908" s="298" t="s">
        <v>502</v>
      </c>
      <c r="AH1908" s="298"/>
      <c r="AI1908" s="44"/>
    </row>
    <row r="1909" spans="1:35" ht="15.75" customHeight="1">
      <c r="A1909" s="285"/>
      <c r="C1909" s="25">
        <v>129</v>
      </c>
      <c r="D1909" s="2">
        <v>23949</v>
      </c>
      <c r="E1909" s="2" t="s">
        <v>4381</v>
      </c>
      <c r="F1909" s="3">
        <v>29308080101248</v>
      </c>
      <c r="G1909" s="2" t="s">
        <v>34</v>
      </c>
      <c r="H1909" s="2" t="s">
        <v>4382</v>
      </c>
      <c r="I1909" s="2" t="s">
        <v>66</v>
      </c>
      <c r="J1909" s="4">
        <v>43589</v>
      </c>
      <c r="K1909" s="2" t="s">
        <v>8</v>
      </c>
      <c r="L1909" s="2" t="s">
        <v>12</v>
      </c>
      <c r="M1909" s="2" t="s">
        <v>4337</v>
      </c>
      <c r="R1909" s="77">
        <v>3</v>
      </c>
      <c r="S1909" s="77">
        <v>2.5</v>
      </c>
      <c r="T1909" s="77">
        <v>2.5</v>
      </c>
      <c r="U1909" s="77">
        <v>2.5</v>
      </c>
      <c r="V1909" s="77">
        <v>3</v>
      </c>
      <c r="W1909" s="16" t="s">
        <v>171</v>
      </c>
      <c r="X1909" s="2" t="s">
        <v>66</v>
      </c>
      <c r="Y1909" s="7">
        <v>43640</v>
      </c>
      <c r="Z1909" s="16" t="s">
        <v>66</v>
      </c>
      <c r="AA1909" s="45">
        <v>43667</v>
      </c>
      <c r="AD1909" s="295">
        <v>6</v>
      </c>
      <c r="AE1909" s="295"/>
      <c r="AF1909" s="44"/>
      <c r="AG1909" s="295">
        <v>1</v>
      </c>
      <c r="AH1909" s="295"/>
      <c r="AI1909" s="44"/>
    </row>
    <row r="1910" spans="1:35" ht="15.75" customHeight="1">
      <c r="A1910" s="285"/>
      <c r="C1910" s="25">
        <v>129</v>
      </c>
      <c r="D1910" s="2">
        <v>23950</v>
      </c>
      <c r="E1910" s="75" t="s">
        <v>4383</v>
      </c>
      <c r="F1910" s="3">
        <v>29405310100152</v>
      </c>
      <c r="G1910" s="2" t="s">
        <v>34</v>
      </c>
      <c r="H1910" s="2" t="s">
        <v>4384</v>
      </c>
      <c r="I1910" s="2" t="s">
        <v>66</v>
      </c>
      <c r="J1910" s="4">
        <v>43589</v>
      </c>
      <c r="K1910" s="2" t="s">
        <v>8</v>
      </c>
      <c r="L1910" s="2" t="s">
        <v>12</v>
      </c>
      <c r="M1910" s="2" t="s">
        <v>4337</v>
      </c>
      <c r="R1910" s="77">
        <v>3</v>
      </c>
      <c r="S1910" s="77">
        <v>2.5</v>
      </c>
      <c r="T1910" s="77">
        <v>2.5</v>
      </c>
      <c r="U1910" s="77">
        <v>2.5</v>
      </c>
      <c r="V1910" s="77">
        <v>3</v>
      </c>
      <c r="W1910" s="16" t="s">
        <v>170</v>
      </c>
      <c r="X1910" s="2" t="s">
        <v>66</v>
      </c>
      <c r="Y1910" s="45">
        <v>43640</v>
      </c>
      <c r="Z1910" s="16" t="s">
        <v>66</v>
      </c>
      <c r="AA1910" s="7">
        <v>43667</v>
      </c>
      <c r="AB1910" s="103"/>
      <c r="AD1910" s="44"/>
      <c r="AE1910" s="44"/>
      <c r="AF1910" s="44"/>
      <c r="AG1910" s="44"/>
      <c r="AH1910" s="44"/>
      <c r="AI1910" s="44"/>
    </row>
    <row r="1911" spans="1:35" ht="15.75" customHeight="1">
      <c r="A1911" s="285"/>
      <c r="C1911" s="25">
        <v>129</v>
      </c>
      <c r="D1911" s="2">
        <v>23951</v>
      </c>
      <c r="E1911" s="75" t="s">
        <v>4385</v>
      </c>
      <c r="F1911" s="3">
        <v>29011022101855</v>
      </c>
      <c r="G1911" s="2" t="s">
        <v>34</v>
      </c>
      <c r="H1911" s="2" t="s">
        <v>4386</v>
      </c>
      <c r="I1911" s="2" t="s">
        <v>66</v>
      </c>
      <c r="J1911" s="4">
        <v>43589</v>
      </c>
      <c r="K1911" s="2" t="s">
        <v>8</v>
      </c>
      <c r="L1911" s="2" t="s">
        <v>12</v>
      </c>
      <c r="M1911" s="2" t="s">
        <v>3696</v>
      </c>
      <c r="W1911" s="16" t="s">
        <v>63</v>
      </c>
      <c r="Z1911" s="16" t="s">
        <v>67</v>
      </c>
      <c r="AD1911" s="299" t="s">
        <v>4503</v>
      </c>
      <c r="AE1911" s="299"/>
      <c r="AF1911" s="44"/>
      <c r="AG1911" s="300" t="s">
        <v>4502</v>
      </c>
      <c r="AH1911" s="300"/>
      <c r="AI1911" s="44"/>
    </row>
    <row r="1912" spans="1:35" ht="15.75" customHeight="1">
      <c r="A1912" s="285"/>
      <c r="C1912" s="25">
        <v>129</v>
      </c>
      <c r="D1912" s="2">
        <v>23952</v>
      </c>
      <c r="E1912" s="75" t="s">
        <v>4387</v>
      </c>
      <c r="F1912" s="3">
        <v>29802222102951</v>
      </c>
      <c r="G1912" s="2" t="s">
        <v>4373</v>
      </c>
      <c r="H1912" s="2" t="s">
        <v>4388</v>
      </c>
      <c r="I1912" s="2" t="s">
        <v>66</v>
      </c>
      <c r="J1912" s="4">
        <v>43589</v>
      </c>
      <c r="K1912" s="2" t="s">
        <v>8</v>
      </c>
      <c r="L1912" s="2" t="s">
        <v>12</v>
      </c>
      <c r="M1912" s="2" t="s">
        <v>103</v>
      </c>
      <c r="R1912" s="77">
        <v>3</v>
      </c>
      <c r="S1912" s="77">
        <v>2.5</v>
      </c>
      <c r="T1912" s="77">
        <v>3</v>
      </c>
      <c r="U1912" s="77">
        <v>2.5</v>
      </c>
      <c r="V1912" s="77">
        <v>3</v>
      </c>
      <c r="W1912" s="16" t="s">
        <v>170</v>
      </c>
      <c r="X1912" s="2" t="s">
        <v>66</v>
      </c>
      <c r="Y1912" s="7">
        <v>43640</v>
      </c>
      <c r="Z1912" s="16" t="s">
        <v>66</v>
      </c>
      <c r="AA1912" s="7">
        <v>43667</v>
      </c>
      <c r="AB1912" s="2" t="s">
        <v>5136</v>
      </c>
      <c r="AD1912" s="295">
        <v>1</v>
      </c>
      <c r="AE1912" s="295"/>
      <c r="AF1912" s="44"/>
      <c r="AG1912" s="295">
        <v>16</v>
      </c>
      <c r="AH1912" s="295"/>
      <c r="AI1912" s="44"/>
    </row>
    <row r="1913" spans="1:35" ht="15.75" customHeight="1">
      <c r="A1913" s="285"/>
      <c r="C1913" s="25">
        <v>129</v>
      </c>
      <c r="D1913" s="2">
        <v>23953</v>
      </c>
      <c r="E1913" s="75" t="s">
        <v>4389</v>
      </c>
      <c r="F1913" s="3">
        <v>29210210101091</v>
      </c>
      <c r="G1913" s="2" t="s">
        <v>34</v>
      </c>
      <c r="H1913" s="2" t="s">
        <v>4390</v>
      </c>
      <c r="I1913" s="2" t="s">
        <v>66</v>
      </c>
      <c r="J1913" s="4">
        <v>43589</v>
      </c>
      <c r="K1913" s="2" t="s">
        <v>8</v>
      </c>
      <c r="L1913" s="2" t="s">
        <v>12</v>
      </c>
      <c r="M1913" s="2" t="s">
        <v>3696</v>
      </c>
      <c r="R1913" s="77">
        <v>3</v>
      </c>
      <c r="S1913" s="77">
        <v>3</v>
      </c>
      <c r="T1913" s="77">
        <v>2</v>
      </c>
      <c r="U1913" s="77">
        <v>2</v>
      </c>
      <c r="V1913" s="77">
        <v>3</v>
      </c>
      <c r="W1913" s="16" t="s">
        <v>63</v>
      </c>
      <c r="X1913" s="2" t="s">
        <v>66</v>
      </c>
      <c r="Z1913" s="16" t="s">
        <v>67</v>
      </c>
      <c r="AD1913" s="44"/>
      <c r="AE1913" s="44"/>
      <c r="AF1913" s="44"/>
      <c r="AG1913" s="44"/>
      <c r="AH1913" s="44"/>
      <c r="AI1913" s="44"/>
    </row>
    <row r="1914" spans="1:35" ht="15.75" customHeight="1">
      <c r="A1914" s="285"/>
      <c r="C1914" s="25">
        <v>129</v>
      </c>
      <c r="D1914" s="2">
        <v>23954</v>
      </c>
      <c r="E1914" s="75" t="s">
        <v>4391</v>
      </c>
      <c r="F1914" s="3">
        <v>29711052104591</v>
      </c>
      <c r="G1914" s="2" t="s">
        <v>4373</v>
      </c>
      <c r="H1914" s="2" t="s">
        <v>4392</v>
      </c>
      <c r="I1914" s="2" t="s">
        <v>66</v>
      </c>
      <c r="J1914" s="4">
        <v>43589</v>
      </c>
      <c r="K1914" s="2" t="s">
        <v>8</v>
      </c>
      <c r="L1914" s="2" t="s">
        <v>12</v>
      </c>
      <c r="M1914" s="2" t="s">
        <v>4257</v>
      </c>
      <c r="R1914" s="77">
        <v>3</v>
      </c>
      <c r="S1914" s="77">
        <v>2.5</v>
      </c>
      <c r="T1914" s="77">
        <v>2.5</v>
      </c>
      <c r="U1914" s="77">
        <v>2.5</v>
      </c>
      <c r="V1914" s="77">
        <v>3</v>
      </c>
      <c r="W1914" s="16" t="s">
        <v>4312</v>
      </c>
      <c r="Y1914" s="45">
        <v>43618</v>
      </c>
      <c r="Z1914" s="16" t="s">
        <v>67</v>
      </c>
      <c r="AB1914" s="2" t="s">
        <v>5521</v>
      </c>
      <c r="AD1914" s="44"/>
      <c r="AE1914" s="301" t="s">
        <v>4509</v>
      </c>
      <c r="AF1914" s="301"/>
      <c r="AG1914" s="301"/>
      <c r="AH1914" s="44"/>
      <c r="AI1914" s="44"/>
    </row>
    <row r="1915" spans="1:35" ht="15.75" customHeight="1">
      <c r="A1915" s="285"/>
      <c r="C1915" s="25">
        <v>129</v>
      </c>
      <c r="D1915" s="2">
        <v>23955</v>
      </c>
      <c r="E1915" s="75" t="s">
        <v>4393</v>
      </c>
      <c r="F1915" s="3">
        <v>28910011423894</v>
      </c>
      <c r="G1915" s="2" t="s">
        <v>34</v>
      </c>
      <c r="H1915" s="2" t="s">
        <v>4394</v>
      </c>
      <c r="I1915" s="2" t="s">
        <v>66</v>
      </c>
      <c r="J1915" s="4">
        <v>43589</v>
      </c>
      <c r="K1915" s="2" t="s">
        <v>8</v>
      </c>
      <c r="L1915" s="2" t="s">
        <v>12</v>
      </c>
      <c r="M1915" s="2" t="s">
        <v>696</v>
      </c>
      <c r="R1915" s="77">
        <v>3</v>
      </c>
      <c r="S1915" s="77">
        <v>2.5</v>
      </c>
      <c r="T1915" s="77">
        <v>2</v>
      </c>
      <c r="U1915" s="77">
        <v>2</v>
      </c>
      <c r="V1915" s="77">
        <v>3</v>
      </c>
      <c r="W1915" s="16" t="s">
        <v>62</v>
      </c>
      <c r="X1915" s="2" t="s">
        <v>66</v>
      </c>
      <c r="Y1915" s="7">
        <v>43640</v>
      </c>
      <c r="Z1915" s="16" t="s">
        <v>66</v>
      </c>
      <c r="AA1915" s="7">
        <v>43646</v>
      </c>
      <c r="AD1915" s="44"/>
      <c r="AE1915" s="295">
        <v>0</v>
      </c>
      <c r="AF1915" s="295"/>
      <c r="AG1915" s="295"/>
      <c r="AH1915" s="44"/>
      <c r="AI1915" s="44"/>
    </row>
    <row r="1916" spans="1:35" ht="15.75" customHeight="1">
      <c r="A1916" s="285"/>
      <c r="C1916" s="25">
        <v>129</v>
      </c>
      <c r="D1916" s="2">
        <v>23956</v>
      </c>
      <c r="E1916" s="2" t="s">
        <v>4395</v>
      </c>
      <c r="F1916" s="3">
        <v>29501210101631</v>
      </c>
      <c r="G1916" s="2" t="s">
        <v>34</v>
      </c>
      <c r="H1916" s="2" t="s">
        <v>4396</v>
      </c>
      <c r="I1916" s="2" t="s">
        <v>66</v>
      </c>
      <c r="J1916" s="4">
        <v>43589</v>
      </c>
      <c r="K1916" s="2" t="s">
        <v>8</v>
      </c>
      <c r="L1916" s="2" t="s">
        <v>12</v>
      </c>
      <c r="M1916" s="2" t="s">
        <v>623</v>
      </c>
      <c r="R1916" s="77">
        <v>3</v>
      </c>
      <c r="S1916" s="77">
        <v>2.5</v>
      </c>
      <c r="T1916" s="77">
        <v>2.5</v>
      </c>
      <c r="U1916" s="77">
        <v>2.5</v>
      </c>
      <c r="V1916" s="77">
        <v>3</v>
      </c>
      <c r="W1916" s="16" t="s">
        <v>60</v>
      </c>
      <c r="X1916" s="2" t="s">
        <v>66</v>
      </c>
      <c r="Y1916" s="7">
        <v>43640</v>
      </c>
      <c r="Z1916" s="16" t="s">
        <v>66</v>
      </c>
      <c r="AA1916" s="7">
        <v>43667</v>
      </c>
      <c r="AB1916" s="103"/>
      <c r="AD1916" s="44"/>
      <c r="AE1916" s="44"/>
      <c r="AF1916" s="44"/>
      <c r="AG1916" s="44"/>
      <c r="AH1916" s="44"/>
      <c r="AI1916" s="44"/>
    </row>
    <row r="1917" spans="1:35" ht="15.75" customHeight="1">
      <c r="A1917" s="285"/>
      <c r="C1917" s="25">
        <v>129</v>
      </c>
      <c r="D1917" s="2">
        <v>23957</v>
      </c>
      <c r="E1917" s="2" t="s">
        <v>4397</v>
      </c>
      <c r="F1917" s="3">
        <v>28001012115654</v>
      </c>
      <c r="G1917" s="2" t="s">
        <v>34</v>
      </c>
      <c r="H1917" s="2" t="s">
        <v>4398</v>
      </c>
      <c r="I1917" s="2" t="s">
        <v>66</v>
      </c>
      <c r="J1917" s="4">
        <v>43589</v>
      </c>
      <c r="K1917" s="2" t="s">
        <v>8</v>
      </c>
      <c r="L1917" s="2" t="s">
        <v>12</v>
      </c>
      <c r="M1917" s="2" t="s">
        <v>4350</v>
      </c>
      <c r="R1917" s="77">
        <v>3</v>
      </c>
      <c r="S1917" s="77">
        <v>3</v>
      </c>
      <c r="T1917" s="77">
        <v>2</v>
      </c>
      <c r="U1917" s="77">
        <v>2</v>
      </c>
      <c r="V1917" s="77">
        <v>3</v>
      </c>
      <c r="W1917" s="16" t="s">
        <v>62</v>
      </c>
      <c r="X1917" s="2" t="s">
        <v>66</v>
      </c>
      <c r="Y1917" s="45">
        <v>43640</v>
      </c>
      <c r="Z1917" s="16" t="s">
        <v>66</v>
      </c>
      <c r="AA1917" s="7">
        <v>43655</v>
      </c>
      <c r="AB1917" s="2" t="s">
        <v>4621</v>
      </c>
      <c r="AD1917" s="44"/>
      <c r="AE1917" s="302" t="s">
        <v>4514</v>
      </c>
      <c r="AF1917" s="302"/>
      <c r="AG1917" s="302"/>
      <c r="AH1917" s="44"/>
      <c r="AI1917" s="44"/>
    </row>
    <row r="1918" spans="1:35" ht="15.75" customHeight="1">
      <c r="A1918" s="285"/>
      <c r="C1918" s="25">
        <v>129</v>
      </c>
      <c r="D1918" s="2">
        <v>23958</v>
      </c>
      <c r="E1918" s="2" t="s">
        <v>4399</v>
      </c>
      <c r="F1918" s="3">
        <v>29507220100215</v>
      </c>
      <c r="G1918" s="2" t="s">
        <v>34</v>
      </c>
      <c r="H1918" s="2" t="s">
        <v>4400</v>
      </c>
      <c r="I1918" s="2" t="s">
        <v>66</v>
      </c>
      <c r="J1918" s="4">
        <v>43589</v>
      </c>
      <c r="K1918" s="2" t="s">
        <v>8</v>
      </c>
      <c r="L1918" s="2" t="s">
        <v>12</v>
      </c>
      <c r="M1918" s="2" t="s">
        <v>55</v>
      </c>
      <c r="R1918" s="77">
        <v>3</v>
      </c>
      <c r="S1918" s="77">
        <v>2</v>
      </c>
      <c r="T1918" s="77">
        <v>2</v>
      </c>
      <c r="U1918" s="77">
        <v>2</v>
      </c>
      <c r="V1918" s="77">
        <v>3</v>
      </c>
      <c r="W1918" s="16" t="s">
        <v>62</v>
      </c>
      <c r="Y1918" s="45">
        <v>43618</v>
      </c>
      <c r="Z1918" s="16" t="s">
        <v>67</v>
      </c>
      <c r="AB1918" s="2" t="s">
        <v>3924</v>
      </c>
      <c r="AD1918" s="44"/>
      <c r="AE1918" s="295">
        <v>0</v>
      </c>
      <c r="AF1918" s="295"/>
      <c r="AG1918" s="295"/>
      <c r="AH1918" s="44"/>
      <c r="AI1918" s="44"/>
    </row>
    <row r="1919" spans="1:35" ht="15.75" customHeight="1">
      <c r="A1919" s="285"/>
      <c r="C1919" s="75">
        <v>129</v>
      </c>
      <c r="D1919" s="75">
        <v>23959</v>
      </c>
      <c r="E1919" s="75" t="s">
        <v>4401</v>
      </c>
      <c r="F1919" s="3">
        <v>28309210104131</v>
      </c>
      <c r="G1919" s="75" t="s">
        <v>34</v>
      </c>
      <c r="H1919" s="75" t="s">
        <v>4402</v>
      </c>
      <c r="I1919" s="75" t="s">
        <v>66</v>
      </c>
      <c r="J1919" s="45">
        <v>43589</v>
      </c>
      <c r="K1919" s="75" t="s">
        <v>8</v>
      </c>
      <c r="L1919" s="75" t="s">
        <v>12</v>
      </c>
      <c r="M1919" s="75" t="s">
        <v>4257</v>
      </c>
      <c r="N1919" s="75"/>
      <c r="R1919" s="77">
        <v>3</v>
      </c>
      <c r="S1919" s="77">
        <v>3</v>
      </c>
      <c r="T1919" s="77">
        <v>2</v>
      </c>
      <c r="U1919" s="77">
        <v>2.5</v>
      </c>
      <c r="V1919" s="77">
        <v>3</v>
      </c>
      <c r="W1919" s="75" t="s">
        <v>61</v>
      </c>
      <c r="X1919" s="75" t="s">
        <v>66</v>
      </c>
      <c r="Y1919" s="45">
        <v>43640</v>
      </c>
      <c r="Z1919" s="75" t="s">
        <v>66</v>
      </c>
      <c r="AA1919" s="45">
        <v>43667</v>
      </c>
      <c r="AB1919" s="75"/>
    </row>
    <row r="1920" spans="1:35" ht="15.75" customHeight="1">
      <c r="A1920" s="285"/>
      <c r="C1920" s="75">
        <v>129</v>
      </c>
      <c r="D1920" s="75">
        <v>23963</v>
      </c>
      <c r="E1920" s="75" t="s">
        <v>4403</v>
      </c>
      <c r="F1920" s="3">
        <v>29104132103452</v>
      </c>
      <c r="G1920" s="75" t="s">
        <v>34</v>
      </c>
      <c r="H1920" s="75" t="s">
        <v>4404</v>
      </c>
      <c r="I1920" s="75" t="s">
        <v>66</v>
      </c>
      <c r="J1920" s="45">
        <v>43589</v>
      </c>
      <c r="K1920" s="75" t="s">
        <v>8</v>
      </c>
      <c r="L1920" s="75" t="s">
        <v>12</v>
      </c>
      <c r="M1920" s="75" t="s">
        <v>103</v>
      </c>
      <c r="N1920" s="75"/>
      <c r="R1920" s="75"/>
      <c r="S1920" s="75"/>
      <c r="T1920" s="75"/>
      <c r="U1920" s="75"/>
      <c r="V1920" s="75"/>
      <c r="W1920" s="75" t="s">
        <v>63</v>
      </c>
      <c r="X1920" s="75"/>
      <c r="Y1920" s="45"/>
      <c r="Z1920" s="75" t="s">
        <v>67</v>
      </c>
      <c r="AA1920" s="45"/>
      <c r="AB1920" s="75"/>
    </row>
    <row r="1921" spans="1:28" ht="16.5" customHeight="1" thickBot="1">
      <c r="A1921" s="286"/>
      <c r="C1921" s="28">
        <v>129</v>
      </c>
      <c r="D1921" s="28">
        <v>23964</v>
      </c>
      <c r="E1921" s="28" t="s">
        <v>4405</v>
      </c>
      <c r="F1921" s="29">
        <v>28502070103151</v>
      </c>
      <c r="G1921" s="28" t="s">
        <v>34</v>
      </c>
      <c r="H1921" s="28" t="s">
        <v>4406</v>
      </c>
      <c r="I1921" s="28" t="s">
        <v>66</v>
      </c>
      <c r="J1921" s="30">
        <v>43589</v>
      </c>
      <c r="K1921" s="28" t="s">
        <v>8</v>
      </c>
      <c r="L1921" s="28" t="s">
        <v>12</v>
      </c>
      <c r="M1921" s="28" t="s">
        <v>4170</v>
      </c>
      <c r="N1921" s="28"/>
      <c r="O1921" s="226"/>
      <c r="P1921" s="28"/>
      <c r="Q1921" s="226"/>
      <c r="R1921" s="37">
        <v>3</v>
      </c>
      <c r="S1921" s="37">
        <v>2.5</v>
      </c>
      <c r="T1921" s="37">
        <v>2</v>
      </c>
      <c r="U1921" s="37">
        <v>1.5</v>
      </c>
      <c r="V1921" s="37">
        <v>3</v>
      </c>
      <c r="W1921" s="28" t="s">
        <v>62</v>
      </c>
      <c r="X1921" s="28"/>
      <c r="Y1921" s="30">
        <v>43618</v>
      </c>
      <c r="Z1921" s="28" t="s">
        <v>66</v>
      </c>
      <c r="AA1921" s="30">
        <v>43619</v>
      </c>
      <c r="AB1921" s="28" t="s">
        <v>4408</v>
      </c>
    </row>
    <row r="1922" spans="1:28" ht="15.75" customHeight="1" thickTop="1">
      <c r="A1922" s="284" t="s">
        <v>3696</v>
      </c>
      <c r="C1922" s="25">
        <v>130</v>
      </c>
      <c r="D1922" s="25">
        <v>23965</v>
      </c>
      <c r="E1922" s="25" t="s">
        <v>4412</v>
      </c>
      <c r="F1922" s="26">
        <v>29605108800524</v>
      </c>
      <c r="G1922" s="25" t="s">
        <v>34</v>
      </c>
      <c r="H1922" s="25" t="s">
        <v>4413</v>
      </c>
      <c r="I1922" s="25" t="s">
        <v>4315</v>
      </c>
      <c r="J1922" s="27">
        <v>43596</v>
      </c>
      <c r="K1922" s="25" t="s">
        <v>8</v>
      </c>
      <c r="L1922" s="25" t="s">
        <v>12</v>
      </c>
      <c r="M1922" s="25" t="s">
        <v>659</v>
      </c>
      <c r="N1922" s="25"/>
      <c r="O1922" s="224"/>
      <c r="P1922" s="25"/>
      <c r="Q1922" s="224"/>
      <c r="R1922" s="25"/>
      <c r="S1922" s="25"/>
      <c r="T1922" s="25"/>
      <c r="U1922" s="25"/>
      <c r="V1922" s="25"/>
      <c r="W1922" s="25" t="s">
        <v>64</v>
      </c>
      <c r="X1922" s="25"/>
      <c r="Y1922" s="27"/>
      <c r="Z1922" s="25" t="s">
        <v>67</v>
      </c>
      <c r="AA1922" s="27"/>
      <c r="AB1922" s="25"/>
    </row>
    <row r="1923" spans="1:28" ht="15.75" customHeight="1">
      <c r="A1923" s="285"/>
      <c r="C1923" s="25">
        <v>130</v>
      </c>
      <c r="D1923" s="2">
        <v>23966</v>
      </c>
      <c r="E1923" s="2" t="s">
        <v>4414</v>
      </c>
      <c r="F1923" s="3">
        <v>28807240103598</v>
      </c>
      <c r="G1923" s="2" t="s">
        <v>129</v>
      </c>
      <c r="H1923" s="2" t="s">
        <v>4415</v>
      </c>
      <c r="I1923" s="2" t="s">
        <v>4315</v>
      </c>
      <c r="J1923" s="4">
        <v>43596</v>
      </c>
      <c r="K1923" s="2" t="s">
        <v>8</v>
      </c>
      <c r="L1923" s="2" t="s">
        <v>12</v>
      </c>
      <c r="M1923" s="2" t="s">
        <v>4416</v>
      </c>
      <c r="R1923" s="77">
        <v>3</v>
      </c>
      <c r="S1923" s="77">
        <v>2</v>
      </c>
      <c r="T1923" s="77">
        <v>2</v>
      </c>
      <c r="U1923" s="77">
        <v>2</v>
      </c>
      <c r="V1923" s="77">
        <v>3</v>
      </c>
      <c r="W1923" s="16" t="s">
        <v>62</v>
      </c>
      <c r="Y1923" s="45">
        <v>43626</v>
      </c>
      <c r="Z1923" s="16" t="s">
        <v>66</v>
      </c>
      <c r="AA1923" s="7">
        <v>43633</v>
      </c>
    </row>
    <row r="1924" spans="1:28" ht="15.75" customHeight="1">
      <c r="A1924" s="285"/>
      <c r="C1924" s="25">
        <v>130</v>
      </c>
      <c r="D1924" s="2">
        <v>23967</v>
      </c>
      <c r="E1924" s="2" t="s">
        <v>4417</v>
      </c>
      <c r="F1924" s="3">
        <v>29307122800561</v>
      </c>
      <c r="G1924" s="2" t="s">
        <v>129</v>
      </c>
      <c r="H1924" s="2" t="s">
        <v>4418</v>
      </c>
      <c r="I1924" s="2" t="s">
        <v>4315</v>
      </c>
      <c r="J1924" s="4">
        <v>43596</v>
      </c>
      <c r="K1924" s="2" t="s">
        <v>8</v>
      </c>
      <c r="L1924" s="2" t="s">
        <v>12</v>
      </c>
      <c r="M1924" s="2" t="s">
        <v>4416</v>
      </c>
      <c r="R1924" s="77">
        <v>3</v>
      </c>
      <c r="S1924" s="77">
        <v>3</v>
      </c>
      <c r="T1924" s="77">
        <v>2</v>
      </c>
      <c r="U1924" s="77">
        <v>2</v>
      </c>
      <c r="V1924" s="77">
        <v>3</v>
      </c>
      <c r="W1924" s="16" t="s">
        <v>63</v>
      </c>
      <c r="X1924" s="2" t="s">
        <v>66</v>
      </c>
      <c r="Y1924" s="27"/>
      <c r="Z1924" s="16" t="s">
        <v>67</v>
      </c>
    </row>
    <row r="1925" spans="1:28" ht="15.75" customHeight="1">
      <c r="A1925" s="285"/>
      <c r="C1925" s="25">
        <v>130</v>
      </c>
      <c r="D1925" s="2">
        <v>23968</v>
      </c>
      <c r="E1925" s="2" t="s">
        <v>4419</v>
      </c>
      <c r="F1925" s="3">
        <v>29407092702377</v>
      </c>
      <c r="G1925" s="2" t="s">
        <v>34</v>
      </c>
      <c r="H1925" s="2" t="s">
        <v>4420</v>
      </c>
      <c r="I1925" s="2" t="s">
        <v>4315</v>
      </c>
      <c r="J1925" s="4">
        <v>43596</v>
      </c>
      <c r="K1925" s="2" t="s">
        <v>8</v>
      </c>
      <c r="L1925" s="2" t="s">
        <v>12</v>
      </c>
      <c r="M1925" s="2" t="s">
        <v>197</v>
      </c>
      <c r="R1925" s="77">
        <v>3</v>
      </c>
      <c r="S1925" s="77">
        <v>2.5</v>
      </c>
      <c r="T1925" s="77">
        <v>2.5</v>
      </c>
      <c r="U1925" s="77">
        <v>3</v>
      </c>
      <c r="V1925" s="77">
        <v>3</v>
      </c>
      <c r="W1925" s="16" t="s">
        <v>60</v>
      </c>
      <c r="Y1925" s="45">
        <v>43626</v>
      </c>
      <c r="Z1925" s="16" t="s">
        <v>66</v>
      </c>
      <c r="AA1925" s="7">
        <v>43632</v>
      </c>
    </row>
    <row r="1926" spans="1:28" ht="15.75" customHeight="1">
      <c r="A1926" s="285"/>
      <c r="C1926" s="25">
        <v>130</v>
      </c>
      <c r="D1926" s="2">
        <v>23969</v>
      </c>
      <c r="E1926" s="2" t="s">
        <v>4421</v>
      </c>
      <c r="F1926" s="3">
        <v>28909300105177</v>
      </c>
      <c r="G1926" s="2" t="s">
        <v>129</v>
      </c>
      <c r="H1926" s="2" t="s">
        <v>4422</v>
      </c>
      <c r="I1926" s="2" t="s">
        <v>4315</v>
      </c>
      <c r="J1926" s="4">
        <v>43596</v>
      </c>
      <c r="K1926" s="2" t="s">
        <v>8</v>
      </c>
      <c r="L1926" s="2" t="s">
        <v>12</v>
      </c>
      <c r="M1926" s="2" t="s">
        <v>4416</v>
      </c>
      <c r="R1926" s="77">
        <v>3</v>
      </c>
      <c r="S1926" s="77">
        <v>3</v>
      </c>
      <c r="T1926" s="77">
        <v>2</v>
      </c>
      <c r="U1926" s="77">
        <v>2</v>
      </c>
      <c r="V1926" s="77">
        <v>3</v>
      </c>
      <c r="W1926" s="16" t="s">
        <v>62</v>
      </c>
      <c r="Y1926" s="45">
        <v>43626</v>
      </c>
      <c r="Z1926" s="16" t="s">
        <v>67</v>
      </c>
      <c r="AB1926" s="2" t="s">
        <v>4820</v>
      </c>
    </row>
    <row r="1927" spans="1:28" ht="15.75" customHeight="1">
      <c r="A1927" s="285"/>
      <c r="C1927" s="25">
        <v>130</v>
      </c>
      <c r="D1927" s="2">
        <v>23970</v>
      </c>
      <c r="E1927" s="75" t="s">
        <v>4423</v>
      </c>
      <c r="F1927" s="3">
        <v>29403012107095</v>
      </c>
      <c r="G1927" s="2" t="s">
        <v>34</v>
      </c>
      <c r="H1927" s="2" t="s">
        <v>4424</v>
      </c>
      <c r="I1927" s="2" t="s">
        <v>4315</v>
      </c>
      <c r="J1927" s="4">
        <v>43596</v>
      </c>
      <c r="K1927" s="2" t="s">
        <v>8</v>
      </c>
      <c r="L1927" s="2" t="s">
        <v>12</v>
      </c>
      <c r="M1927" s="2" t="s">
        <v>4425</v>
      </c>
      <c r="W1927" s="16" t="s">
        <v>64</v>
      </c>
      <c r="Z1927" s="16" t="s">
        <v>67</v>
      </c>
    </row>
    <row r="1928" spans="1:28" ht="15.75" customHeight="1">
      <c r="A1928" s="285"/>
      <c r="C1928" s="25">
        <v>130</v>
      </c>
      <c r="D1928" s="2">
        <v>23971</v>
      </c>
      <c r="E1928" s="75" t="s">
        <v>4426</v>
      </c>
      <c r="F1928" s="3">
        <v>29109011403493</v>
      </c>
      <c r="G1928" s="2" t="s">
        <v>129</v>
      </c>
      <c r="H1928" s="2" t="s">
        <v>4427</v>
      </c>
      <c r="I1928" s="2" t="s">
        <v>4315</v>
      </c>
      <c r="J1928" s="4">
        <v>43596</v>
      </c>
      <c r="K1928" s="2" t="s">
        <v>8</v>
      </c>
      <c r="L1928" s="2" t="s">
        <v>12</v>
      </c>
      <c r="M1928" s="2" t="s">
        <v>4416</v>
      </c>
      <c r="W1928" s="75" t="s">
        <v>64</v>
      </c>
      <c r="Z1928" s="16" t="s">
        <v>67</v>
      </c>
    </row>
    <row r="1929" spans="1:28" ht="15.75" customHeight="1">
      <c r="A1929" s="285"/>
      <c r="C1929" s="25">
        <v>130</v>
      </c>
      <c r="D1929" s="2">
        <v>23972</v>
      </c>
      <c r="E1929" s="75" t="s">
        <v>4428</v>
      </c>
      <c r="F1929" s="3">
        <v>29108011612169</v>
      </c>
      <c r="G1929" s="2" t="s">
        <v>34</v>
      </c>
      <c r="H1929" s="2" t="s">
        <v>4429</v>
      </c>
      <c r="I1929" s="2" t="s">
        <v>4315</v>
      </c>
      <c r="J1929" s="4">
        <v>43596</v>
      </c>
      <c r="K1929" s="2" t="s">
        <v>8</v>
      </c>
      <c r="L1929" s="2" t="s">
        <v>12</v>
      </c>
      <c r="M1929" s="2" t="s">
        <v>3173</v>
      </c>
      <c r="W1929" s="75" t="s">
        <v>64</v>
      </c>
      <c r="Z1929" s="16" t="s">
        <v>67</v>
      </c>
    </row>
    <row r="1930" spans="1:28" ht="15.75" customHeight="1">
      <c r="A1930" s="285"/>
      <c r="C1930" s="25">
        <v>130</v>
      </c>
      <c r="D1930" s="2">
        <v>23973</v>
      </c>
      <c r="E1930" s="75" t="s">
        <v>4430</v>
      </c>
      <c r="F1930" s="3">
        <v>29104011611698</v>
      </c>
      <c r="G1930" s="2" t="s">
        <v>34</v>
      </c>
      <c r="H1930" s="2" t="s">
        <v>4431</v>
      </c>
      <c r="I1930" s="2" t="s">
        <v>4315</v>
      </c>
      <c r="J1930" s="4">
        <v>43596</v>
      </c>
      <c r="K1930" s="2" t="s">
        <v>8</v>
      </c>
      <c r="L1930" s="2" t="s">
        <v>12</v>
      </c>
      <c r="M1930" s="2" t="s">
        <v>4432</v>
      </c>
      <c r="W1930" s="75" t="s">
        <v>63</v>
      </c>
      <c r="Z1930" s="16" t="s">
        <v>67</v>
      </c>
    </row>
    <row r="1931" spans="1:28" ht="15.75" customHeight="1">
      <c r="A1931" s="285"/>
      <c r="C1931" s="25">
        <v>130</v>
      </c>
      <c r="D1931" s="2">
        <v>23974</v>
      </c>
      <c r="E1931" s="2" t="s">
        <v>4433</v>
      </c>
      <c r="F1931" s="3">
        <v>29311232102599</v>
      </c>
      <c r="G1931" s="2" t="s">
        <v>129</v>
      </c>
      <c r="H1931" s="2" t="s">
        <v>4434</v>
      </c>
      <c r="I1931" s="2" t="s">
        <v>4315</v>
      </c>
      <c r="J1931" s="4">
        <v>43596</v>
      </c>
      <c r="K1931" s="2" t="s">
        <v>8</v>
      </c>
      <c r="L1931" s="2" t="s">
        <v>12</v>
      </c>
      <c r="M1931" s="2" t="s">
        <v>4416</v>
      </c>
      <c r="R1931" s="77">
        <v>3</v>
      </c>
      <c r="S1931" s="77">
        <v>3</v>
      </c>
      <c r="T1931" s="77">
        <v>2.5</v>
      </c>
      <c r="U1931" s="77">
        <v>2</v>
      </c>
      <c r="V1931" s="77">
        <v>3</v>
      </c>
      <c r="W1931" s="16" t="s">
        <v>170</v>
      </c>
      <c r="X1931" s="2" t="s">
        <v>66</v>
      </c>
      <c r="Y1931" s="45">
        <v>43664</v>
      </c>
      <c r="Z1931" s="16" t="s">
        <v>66</v>
      </c>
      <c r="AA1931" s="7">
        <v>43674</v>
      </c>
      <c r="AB1931" s="2" t="s">
        <v>4818</v>
      </c>
    </row>
    <row r="1932" spans="1:28" ht="15.75" customHeight="1">
      <c r="A1932" s="285"/>
      <c r="C1932" s="25">
        <v>130</v>
      </c>
      <c r="D1932" s="2">
        <v>23975</v>
      </c>
      <c r="E1932" s="2" t="s">
        <v>4435</v>
      </c>
      <c r="F1932" s="3">
        <v>28812071804224</v>
      </c>
      <c r="G1932" s="2" t="s">
        <v>34</v>
      </c>
      <c r="H1932" s="2" t="s">
        <v>4436</v>
      </c>
      <c r="I1932" s="2" t="s">
        <v>4315</v>
      </c>
      <c r="J1932" s="4">
        <v>43596</v>
      </c>
      <c r="K1932" s="2" t="s">
        <v>8</v>
      </c>
      <c r="L1932" s="2" t="s">
        <v>12</v>
      </c>
      <c r="M1932" s="2" t="s">
        <v>4257</v>
      </c>
      <c r="R1932" s="77">
        <v>3</v>
      </c>
      <c r="S1932" s="77">
        <v>2.5</v>
      </c>
      <c r="T1932" s="77">
        <v>2</v>
      </c>
      <c r="U1932" s="77">
        <v>1.5</v>
      </c>
      <c r="V1932" s="77">
        <v>3</v>
      </c>
      <c r="W1932" s="16" t="s">
        <v>3321</v>
      </c>
      <c r="Y1932" s="7">
        <v>43626</v>
      </c>
      <c r="Z1932" s="16" t="s">
        <v>67</v>
      </c>
      <c r="AB1932" s="2" t="s">
        <v>5100</v>
      </c>
    </row>
    <row r="1933" spans="1:28" ht="15.75" customHeight="1">
      <c r="A1933" s="285"/>
      <c r="C1933" s="2">
        <v>130</v>
      </c>
      <c r="D1933" s="2">
        <v>15493</v>
      </c>
      <c r="E1933" s="2" t="s">
        <v>4303</v>
      </c>
      <c r="F1933" s="3">
        <v>29102042100796</v>
      </c>
      <c r="G1933" s="2" t="s">
        <v>34</v>
      </c>
      <c r="H1933" s="2" t="s">
        <v>4304</v>
      </c>
      <c r="R1933" s="77">
        <v>3</v>
      </c>
      <c r="S1933" s="77">
        <v>3</v>
      </c>
      <c r="T1933" s="77">
        <v>2.5</v>
      </c>
      <c r="U1933" s="77">
        <v>2</v>
      </c>
      <c r="V1933" s="77">
        <v>3</v>
      </c>
      <c r="W1933" s="16" t="s">
        <v>4409</v>
      </c>
      <c r="Y1933" s="7">
        <v>43626</v>
      </c>
      <c r="Z1933" s="16" t="s">
        <v>66</v>
      </c>
      <c r="AA1933" s="7">
        <v>43634</v>
      </c>
    </row>
    <row r="1934" spans="1:28" ht="15.75" customHeight="1">
      <c r="A1934" s="285"/>
      <c r="C1934" s="75">
        <v>130</v>
      </c>
      <c r="D1934" s="2">
        <v>23711</v>
      </c>
      <c r="E1934" s="2" t="s">
        <v>4288</v>
      </c>
      <c r="F1934" s="3">
        <v>29411092100561</v>
      </c>
      <c r="G1934" s="2" t="s">
        <v>34</v>
      </c>
      <c r="H1934" s="2" t="s">
        <v>4289</v>
      </c>
      <c r="R1934" s="77">
        <v>3</v>
      </c>
      <c r="S1934" s="77">
        <v>3</v>
      </c>
      <c r="T1934" s="77">
        <v>2.5</v>
      </c>
      <c r="U1934" s="77">
        <v>2.5</v>
      </c>
      <c r="V1934" s="77">
        <v>3</v>
      </c>
      <c r="W1934" s="16" t="s">
        <v>170</v>
      </c>
      <c r="Y1934" s="7">
        <v>43626</v>
      </c>
      <c r="Z1934" s="16" t="s">
        <v>66</v>
      </c>
      <c r="AA1934" s="7">
        <v>43632</v>
      </c>
    </row>
    <row r="1935" spans="1:28" ht="15.75" customHeight="1">
      <c r="A1935" s="285"/>
      <c r="C1935" s="75">
        <v>130</v>
      </c>
      <c r="D1935" s="2">
        <v>23712</v>
      </c>
      <c r="E1935" s="2" t="s">
        <v>4290</v>
      </c>
      <c r="F1935" s="3">
        <v>29703230101523</v>
      </c>
      <c r="G1935" s="2" t="s">
        <v>34</v>
      </c>
      <c r="H1935" s="2" t="s">
        <v>4291</v>
      </c>
      <c r="R1935" s="77">
        <v>3</v>
      </c>
      <c r="S1935" s="77">
        <v>3</v>
      </c>
      <c r="T1935" s="77">
        <v>2.5</v>
      </c>
      <c r="U1935" s="77">
        <v>2.5</v>
      </c>
      <c r="V1935" s="77">
        <v>3</v>
      </c>
      <c r="W1935" s="16" t="s">
        <v>60</v>
      </c>
      <c r="Y1935" s="7">
        <v>43626</v>
      </c>
      <c r="Z1935" s="16" t="s">
        <v>66</v>
      </c>
      <c r="AA1935" s="7">
        <v>43632</v>
      </c>
    </row>
    <row r="1936" spans="1:28" ht="15.75" customHeight="1">
      <c r="A1936" s="285"/>
      <c r="C1936" s="75">
        <v>130</v>
      </c>
      <c r="D1936" s="2">
        <v>23713</v>
      </c>
      <c r="E1936" s="2" t="s">
        <v>4292</v>
      </c>
      <c r="F1936" s="3">
        <v>29510242102221</v>
      </c>
      <c r="G1936" s="2" t="s">
        <v>34</v>
      </c>
      <c r="H1936" s="2" t="s">
        <v>4293</v>
      </c>
      <c r="R1936" s="77">
        <v>3</v>
      </c>
      <c r="S1936" s="77">
        <v>3</v>
      </c>
      <c r="T1936" s="77">
        <v>2</v>
      </c>
      <c r="U1936" s="77">
        <v>2.5</v>
      </c>
      <c r="V1936" s="77">
        <v>3</v>
      </c>
      <c r="W1936" s="16" t="s">
        <v>62</v>
      </c>
      <c r="Y1936" s="7">
        <v>43626</v>
      </c>
      <c r="Z1936" s="16" t="s">
        <v>67</v>
      </c>
      <c r="AB1936" s="2" t="s">
        <v>4932</v>
      </c>
    </row>
    <row r="1937" spans="1:28" ht="16.5" customHeight="1" thickBot="1">
      <c r="A1937" s="286"/>
      <c r="C1937" s="28">
        <v>130</v>
      </c>
      <c r="D1937" s="28">
        <v>23717</v>
      </c>
      <c r="E1937" s="28" t="s">
        <v>4300</v>
      </c>
      <c r="F1937" s="29">
        <v>29207040100213</v>
      </c>
      <c r="G1937" s="28" t="s">
        <v>34</v>
      </c>
      <c r="H1937" s="28" t="s">
        <v>4301</v>
      </c>
      <c r="I1937" s="28"/>
      <c r="J1937" s="30"/>
      <c r="K1937" s="28"/>
      <c r="L1937" s="28"/>
      <c r="M1937" s="28"/>
      <c r="N1937" s="28"/>
      <c r="O1937" s="226"/>
      <c r="P1937" s="28"/>
      <c r="Q1937" s="226"/>
      <c r="R1937" s="37">
        <v>3</v>
      </c>
      <c r="S1937" s="37">
        <v>3</v>
      </c>
      <c r="T1937" s="37">
        <v>2</v>
      </c>
      <c r="U1937" s="37">
        <v>2.5</v>
      </c>
      <c r="V1937" s="37">
        <v>3</v>
      </c>
      <c r="W1937" s="28" t="s">
        <v>4409</v>
      </c>
      <c r="X1937" s="28"/>
      <c r="Y1937" s="30">
        <v>43626</v>
      </c>
      <c r="Z1937" s="28" t="s">
        <v>66</v>
      </c>
      <c r="AA1937" s="30">
        <v>43634</v>
      </c>
      <c r="AB1937" s="28"/>
    </row>
    <row r="1938" spans="1:28" ht="15.75" customHeight="1" thickTop="1">
      <c r="A1938" s="284" t="s">
        <v>3125</v>
      </c>
      <c r="C1938" s="25">
        <v>131</v>
      </c>
      <c r="D1938" s="25">
        <v>23976</v>
      </c>
      <c r="E1938" s="25" t="s">
        <v>4445</v>
      </c>
      <c r="F1938" s="26">
        <v>29508070102679</v>
      </c>
      <c r="G1938" s="25" t="s">
        <v>34</v>
      </c>
      <c r="H1938" s="25" t="s">
        <v>4446</v>
      </c>
      <c r="I1938" s="25" t="s">
        <v>4315</v>
      </c>
      <c r="J1938" s="27">
        <v>43599</v>
      </c>
      <c r="K1938" s="25" t="s">
        <v>8</v>
      </c>
      <c r="L1938" s="25" t="s">
        <v>12</v>
      </c>
      <c r="M1938" s="25" t="s">
        <v>3317</v>
      </c>
      <c r="N1938" s="25"/>
      <c r="O1938" s="224"/>
      <c r="P1938" s="25"/>
      <c r="Q1938" s="224"/>
      <c r="R1938" s="77">
        <v>3</v>
      </c>
      <c r="S1938" s="77">
        <v>2.5</v>
      </c>
      <c r="T1938" s="77">
        <v>2.5</v>
      </c>
      <c r="U1938" s="77">
        <v>2</v>
      </c>
      <c r="V1938" s="77">
        <v>3</v>
      </c>
      <c r="W1938" s="25" t="s">
        <v>62</v>
      </c>
      <c r="X1938" s="25"/>
      <c r="Y1938" s="27">
        <v>43629</v>
      </c>
      <c r="Z1938" s="25" t="s">
        <v>66</v>
      </c>
      <c r="AA1938" s="27">
        <v>43660</v>
      </c>
      <c r="AB1938" s="25" t="s">
        <v>4821</v>
      </c>
    </row>
    <row r="1939" spans="1:28" ht="15.75" customHeight="1">
      <c r="A1939" s="285"/>
      <c r="C1939" s="25">
        <v>131</v>
      </c>
      <c r="D1939" s="2">
        <v>23977</v>
      </c>
      <c r="E1939" s="2" t="s">
        <v>4447</v>
      </c>
      <c r="F1939" s="3">
        <v>30003122104595</v>
      </c>
      <c r="G1939" s="2" t="s">
        <v>3911</v>
      </c>
      <c r="H1939" s="2" t="s">
        <v>4448</v>
      </c>
      <c r="I1939" s="2" t="s">
        <v>4315</v>
      </c>
      <c r="J1939" s="4">
        <v>43599</v>
      </c>
      <c r="K1939" s="2" t="s">
        <v>8</v>
      </c>
      <c r="L1939" s="2" t="s">
        <v>12</v>
      </c>
      <c r="M1939" s="2" t="s">
        <v>768</v>
      </c>
      <c r="W1939" s="16" t="s">
        <v>64</v>
      </c>
      <c r="Z1939" s="16" t="s">
        <v>67</v>
      </c>
    </row>
    <row r="1940" spans="1:28" ht="15.75" customHeight="1">
      <c r="A1940" s="285"/>
      <c r="C1940" s="25">
        <v>131</v>
      </c>
      <c r="D1940" s="2">
        <v>23978</v>
      </c>
      <c r="E1940" s="75" t="s">
        <v>4449</v>
      </c>
      <c r="F1940" s="3">
        <v>29411172100138</v>
      </c>
      <c r="G1940" s="2" t="s">
        <v>34</v>
      </c>
      <c r="H1940" s="2" t="s">
        <v>4450</v>
      </c>
      <c r="I1940" s="2" t="s">
        <v>4315</v>
      </c>
      <c r="J1940" s="4">
        <v>43599</v>
      </c>
      <c r="K1940" s="2" t="s">
        <v>8</v>
      </c>
      <c r="L1940" s="2" t="s">
        <v>12</v>
      </c>
      <c r="M1940" s="2" t="s">
        <v>4416</v>
      </c>
      <c r="W1940" s="75" t="s">
        <v>64</v>
      </c>
      <c r="Z1940" s="16" t="s">
        <v>67</v>
      </c>
    </row>
    <row r="1941" spans="1:28" ht="15.75" customHeight="1">
      <c r="A1941" s="285"/>
      <c r="C1941" s="25">
        <v>131</v>
      </c>
      <c r="D1941" s="2">
        <v>23979</v>
      </c>
      <c r="E1941" s="75" t="s">
        <v>4451</v>
      </c>
      <c r="F1941" s="3">
        <v>29104181900309</v>
      </c>
      <c r="G1941" s="2" t="s">
        <v>34</v>
      </c>
      <c r="H1941" s="2" t="s">
        <v>4452</v>
      </c>
      <c r="I1941" s="2" t="s">
        <v>4315</v>
      </c>
      <c r="J1941" s="4">
        <v>43599</v>
      </c>
      <c r="K1941" s="2" t="s">
        <v>8</v>
      </c>
      <c r="L1941" s="2" t="s">
        <v>12</v>
      </c>
      <c r="M1941" s="2" t="s">
        <v>489</v>
      </c>
      <c r="R1941" s="77">
        <v>3</v>
      </c>
      <c r="S1941" s="77">
        <v>2.5</v>
      </c>
      <c r="T1941" s="77">
        <v>2.5</v>
      </c>
      <c r="U1941" s="77">
        <v>2.5</v>
      </c>
      <c r="V1941" s="77">
        <v>3</v>
      </c>
      <c r="W1941" s="16" t="s">
        <v>170</v>
      </c>
      <c r="Y1941" s="7">
        <v>43629</v>
      </c>
      <c r="Z1941" s="16" t="s">
        <v>66</v>
      </c>
      <c r="AA1941" s="7">
        <v>43667</v>
      </c>
      <c r="AB1941" s="103" t="s">
        <v>5965</v>
      </c>
    </row>
    <row r="1942" spans="1:28" ht="15.75" customHeight="1">
      <c r="A1942" s="285"/>
      <c r="C1942" s="25">
        <v>131</v>
      </c>
      <c r="D1942" s="2">
        <v>23980</v>
      </c>
      <c r="E1942" s="2" t="s">
        <v>4453</v>
      </c>
      <c r="F1942" s="3">
        <v>28905290102594</v>
      </c>
      <c r="G1942" s="2" t="s">
        <v>34</v>
      </c>
      <c r="H1942" s="2" t="s">
        <v>4454</v>
      </c>
      <c r="I1942" s="2" t="s">
        <v>4315</v>
      </c>
      <c r="J1942" s="4">
        <v>43599</v>
      </c>
      <c r="K1942" s="2" t="s">
        <v>8</v>
      </c>
      <c r="L1942" s="2" t="s">
        <v>12</v>
      </c>
      <c r="M1942" s="2" t="s">
        <v>3696</v>
      </c>
      <c r="W1942" s="75" t="s">
        <v>64</v>
      </c>
      <c r="Z1942" s="75" t="s">
        <v>67</v>
      </c>
    </row>
    <row r="1943" spans="1:28" ht="15.75" customHeight="1">
      <c r="A1943" s="285"/>
      <c r="C1943" s="25">
        <v>131</v>
      </c>
      <c r="D1943" s="2">
        <v>23981</v>
      </c>
      <c r="E1943" s="2" t="s">
        <v>4455</v>
      </c>
      <c r="F1943" s="3">
        <v>29004030200173</v>
      </c>
      <c r="G1943" s="2" t="s">
        <v>3970</v>
      </c>
      <c r="H1943" s="2" t="s">
        <v>4456</v>
      </c>
      <c r="I1943" s="2" t="s">
        <v>4315</v>
      </c>
      <c r="J1943" s="4">
        <v>43599</v>
      </c>
      <c r="K1943" s="2" t="s">
        <v>8</v>
      </c>
      <c r="L1943" s="2" t="s">
        <v>12</v>
      </c>
      <c r="M1943" s="2" t="s">
        <v>4416</v>
      </c>
      <c r="R1943" s="77">
        <v>3</v>
      </c>
      <c r="S1943" s="77">
        <v>3</v>
      </c>
      <c r="T1943" s="77">
        <v>2</v>
      </c>
      <c r="U1943" s="77">
        <v>2.5</v>
      </c>
      <c r="V1943" s="77">
        <v>3</v>
      </c>
      <c r="W1943" s="16" t="s">
        <v>171</v>
      </c>
      <c r="X1943" s="2" t="s">
        <v>66</v>
      </c>
      <c r="Y1943" s="7">
        <v>43664</v>
      </c>
      <c r="Z1943" s="16" t="s">
        <v>66</v>
      </c>
      <c r="AA1943" s="7">
        <v>43667</v>
      </c>
      <c r="AB1943" s="2" t="s">
        <v>5743</v>
      </c>
    </row>
    <row r="1944" spans="1:28" ht="15.75" customHeight="1">
      <c r="A1944" s="285"/>
      <c r="C1944" s="25">
        <v>131</v>
      </c>
      <c r="D1944" s="2">
        <v>23982</v>
      </c>
      <c r="E1944" s="2" t="s">
        <v>4457</v>
      </c>
      <c r="F1944" s="3">
        <v>29506042600598</v>
      </c>
      <c r="G1944" s="2" t="s">
        <v>34</v>
      </c>
      <c r="H1944" s="2" t="s">
        <v>4458</v>
      </c>
      <c r="I1944" s="2" t="s">
        <v>4315</v>
      </c>
      <c r="J1944" s="4">
        <v>43599</v>
      </c>
      <c r="K1944" s="2" t="s">
        <v>8</v>
      </c>
      <c r="L1944" s="2" t="s">
        <v>12</v>
      </c>
      <c r="M1944" s="2" t="s">
        <v>4416</v>
      </c>
      <c r="R1944" s="77">
        <v>3</v>
      </c>
      <c r="S1944" s="77">
        <v>2.5</v>
      </c>
      <c r="T1944" s="77">
        <v>3</v>
      </c>
      <c r="U1944" s="77">
        <v>2.5</v>
      </c>
      <c r="V1944" s="77">
        <v>3</v>
      </c>
      <c r="W1944" s="16" t="s">
        <v>60</v>
      </c>
      <c r="Y1944" s="7">
        <v>43629</v>
      </c>
      <c r="Z1944" s="16" t="s">
        <v>66</v>
      </c>
      <c r="AA1944" s="7">
        <v>43667</v>
      </c>
      <c r="AB1944" s="103"/>
    </row>
    <row r="1945" spans="1:28" ht="15.75" customHeight="1">
      <c r="A1945" s="285"/>
      <c r="C1945" s="25">
        <v>131</v>
      </c>
      <c r="D1945" s="2">
        <v>23983</v>
      </c>
      <c r="E1945" s="2" t="s">
        <v>4459</v>
      </c>
      <c r="F1945" s="3">
        <v>29305200202176</v>
      </c>
      <c r="G1945" s="2" t="s">
        <v>34</v>
      </c>
      <c r="H1945" s="2" t="s">
        <v>4460</v>
      </c>
      <c r="I1945" s="2" t="s">
        <v>4315</v>
      </c>
      <c r="J1945" s="4">
        <v>43599</v>
      </c>
      <c r="K1945" s="2" t="s">
        <v>8</v>
      </c>
      <c r="L1945" s="2" t="s">
        <v>12</v>
      </c>
      <c r="M1945" s="2" t="s">
        <v>489</v>
      </c>
      <c r="R1945" s="77">
        <v>3</v>
      </c>
      <c r="S1945" s="77">
        <v>2.5</v>
      </c>
      <c r="T1945" s="77">
        <v>2.5</v>
      </c>
      <c r="U1945" s="77">
        <v>3</v>
      </c>
      <c r="V1945" s="77">
        <v>3</v>
      </c>
      <c r="W1945" s="16" t="s">
        <v>170</v>
      </c>
      <c r="Y1945" s="7">
        <v>43629</v>
      </c>
      <c r="Z1945" s="16" t="s">
        <v>66</v>
      </c>
      <c r="AA1945" s="7">
        <v>43667</v>
      </c>
      <c r="AB1945" s="103"/>
    </row>
    <row r="1946" spans="1:28" ht="15.75" customHeight="1">
      <c r="A1946" s="285"/>
      <c r="C1946" s="25">
        <v>131</v>
      </c>
      <c r="D1946" s="2">
        <v>23984</v>
      </c>
      <c r="E1946" s="2" t="s">
        <v>4461</v>
      </c>
      <c r="F1946" s="3">
        <v>29605161401089</v>
      </c>
      <c r="G1946" s="2" t="s">
        <v>34</v>
      </c>
      <c r="H1946" s="2" t="s">
        <v>4462</v>
      </c>
      <c r="I1946" s="2" t="s">
        <v>4315</v>
      </c>
      <c r="J1946" s="4">
        <v>43599</v>
      </c>
      <c r="K1946" s="2" t="s">
        <v>8</v>
      </c>
      <c r="L1946" s="2" t="s">
        <v>12</v>
      </c>
      <c r="M1946" s="2" t="s">
        <v>4416</v>
      </c>
      <c r="R1946" s="77">
        <v>3</v>
      </c>
      <c r="S1946" s="77">
        <v>2</v>
      </c>
      <c r="T1946" s="77">
        <v>2</v>
      </c>
      <c r="U1946" s="77">
        <v>2</v>
      </c>
      <c r="V1946" s="77">
        <v>3</v>
      </c>
      <c r="W1946" s="16" t="s">
        <v>62</v>
      </c>
      <c r="Y1946" s="7">
        <v>43629</v>
      </c>
      <c r="Z1946" s="16" t="s">
        <v>66</v>
      </c>
      <c r="AA1946" s="45">
        <v>43633</v>
      </c>
    </row>
    <row r="1947" spans="1:28" ht="15.75" customHeight="1">
      <c r="A1947" s="285"/>
      <c r="C1947" s="25">
        <v>131</v>
      </c>
      <c r="D1947" s="2">
        <v>23985</v>
      </c>
      <c r="E1947" s="2" t="s">
        <v>4463</v>
      </c>
      <c r="F1947" s="3">
        <v>29512281400568</v>
      </c>
      <c r="G1947" s="2" t="s">
        <v>34</v>
      </c>
      <c r="H1947" s="2" t="s">
        <v>4464</v>
      </c>
      <c r="I1947" s="2" t="s">
        <v>4315</v>
      </c>
      <c r="J1947" s="4">
        <v>43599</v>
      </c>
      <c r="K1947" s="2" t="s">
        <v>8</v>
      </c>
      <c r="L1947" s="2" t="s">
        <v>12</v>
      </c>
      <c r="M1947" s="2" t="s">
        <v>489</v>
      </c>
      <c r="R1947" s="77">
        <v>3</v>
      </c>
      <c r="S1947" s="77">
        <v>3</v>
      </c>
      <c r="T1947" s="77">
        <v>3</v>
      </c>
      <c r="U1947" s="77">
        <v>3</v>
      </c>
      <c r="V1947" s="77">
        <v>3</v>
      </c>
      <c r="W1947" s="16" t="s">
        <v>150</v>
      </c>
      <c r="Y1947" s="7">
        <v>43629</v>
      </c>
      <c r="Z1947" s="16" t="s">
        <v>66</v>
      </c>
      <c r="AA1947" s="7">
        <v>43674</v>
      </c>
      <c r="AB1947" s="2" t="s">
        <v>4817</v>
      </c>
    </row>
    <row r="1948" spans="1:28" ht="15.75" customHeight="1">
      <c r="A1948" s="285"/>
      <c r="C1948" s="25">
        <v>131</v>
      </c>
      <c r="D1948" s="2">
        <v>23986</v>
      </c>
      <c r="E1948" s="75" t="s">
        <v>4465</v>
      </c>
      <c r="F1948" s="3">
        <v>29606050102593</v>
      </c>
      <c r="G1948" s="2" t="s">
        <v>34</v>
      </c>
      <c r="H1948" s="2" t="s">
        <v>4466</v>
      </c>
      <c r="I1948" s="2" t="s">
        <v>4315</v>
      </c>
      <c r="J1948" s="4">
        <v>43599</v>
      </c>
      <c r="K1948" s="2" t="s">
        <v>8</v>
      </c>
      <c r="L1948" s="2" t="s">
        <v>12</v>
      </c>
      <c r="M1948" s="2" t="s">
        <v>4416</v>
      </c>
      <c r="R1948" s="77">
        <v>3</v>
      </c>
      <c r="S1948" s="77">
        <v>2.5</v>
      </c>
      <c r="T1948" s="77">
        <v>2</v>
      </c>
      <c r="U1948" s="77">
        <v>2</v>
      </c>
      <c r="V1948" s="77">
        <v>3</v>
      </c>
      <c r="W1948" s="16" t="s">
        <v>62</v>
      </c>
      <c r="Y1948" s="7">
        <v>43629</v>
      </c>
      <c r="Z1948" s="16" t="s">
        <v>66</v>
      </c>
      <c r="AA1948" s="7">
        <v>43633</v>
      </c>
    </row>
    <row r="1949" spans="1:28" ht="15.75" customHeight="1">
      <c r="A1949" s="285"/>
      <c r="C1949" s="25">
        <v>131</v>
      </c>
      <c r="D1949" s="2">
        <v>23789</v>
      </c>
      <c r="E1949" s="2" t="s">
        <v>4467</v>
      </c>
      <c r="F1949" s="3">
        <v>29509190100498</v>
      </c>
      <c r="G1949" s="2" t="s">
        <v>34</v>
      </c>
      <c r="H1949" s="2" t="s">
        <v>4468</v>
      </c>
      <c r="I1949" s="2" t="s">
        <v>4305</v>
      </c>
      <c r="J1949" s="4">
        <v>43599</v>
      </c>
      <c r="K1949" s="2" t="s">
        <v>8</v>
      </c>
      <c r="L1949" s="2" t="s">
        <v>12</v>
      </c>
      <c r="M1949" s="2" t="s">
        <v>3173</v>
      </c>
      <c r="R1949" s="77">
        <v>3</v>
      </c>
      <c r="S1949" s="77">
        <v>2.5</v>
      </c>
      <c r="T1949" s="77">
        <v>2</v>
      </c>
      <c r="U1949" s="77">
        <v>2</v>
      </c>
      <c r="V1949" s="77">
        <v>3</v>
      </c>
      <c r="W1949" s="16" t="s">
        <v>62</v>
      </c>
      <c r="Y1949" s="7">
        <v>43629</v>
      </c>
      <c r="Z1949" s="16" t="s">
        <v>66</v>
      </c>
      <c r="AA1949" s="45">
        <v>43633</v>
      </c>
    </row>
    <row r="1950" spans="1:28" ht="15.75" customHeight="1">
      <c r="A1950" s="285"/>
      <c r="C1950" s="25">
        <v>131</v>
      </c>
      <c r="D1950" s="2">
        <v>16947</v>
      </c>
      <c r="E1950" s="2" t="s">
        <v>4469</v>
      </c>
      <c r="F1950" s="3">
        <v>29402210102108</v>
      </c>
      <c r="G1950" s="2" t="s">
        <v>34</v>
      </c>
      <c r="H1950" s="2" t="s">
        <v>4470</v>
      </c>
      <c r="I1950" s="2" t="s">
        <v>4305</v>
      </c>
      <c r="J1950" s="4">
        <v>43599</v>
      </c>
      <c r="K1950" s="2" t="s">
        <v>8</v>
      </c>
      <c r="L1950" s="2" t="s">
        <v>12</v>
      </c>
      <c r="M1950" s="2" t="s">
        <v>4416</v>
      </c>
      <c r="R1950" s="77">
        <v>3</v>
      </c>
      <c r="S1950" s="77">
        <v>2.5</v>
      </c>
      <c r="T1950" s="77">
        <v>1.5</v>
      </c>
      <c r="U1950" s="77">
        <v>2</v>
      </c>
      <c r="V1950" s="77">
        <v>3</v>
      </c>
      <c r="W1950" s="16" t="s">
        <v>3321</v>
      </c>
      <c r="Y1950" s="7">
        <v>43629</v>
      </c>
      <c r="Z1950" s="16" t="s">
        <v>66</v>
      </c>
      <c r="AA1950" s="7">
        <v>43633</v>
      </c>
    </row>
    <row r="1951" spans="1:28" ht="15.75" customHeight="1">
      <c r="A1951" s="285"/>
      <c r="C1951" s="25">
        <v>131</v>
      </c>
      <c r="D1951" s="2">
        <v>23987</v>
      </c>
      <c r="E1951" s="2" t="s">
        <v>4471</v>
      </c>
      <c r="F1951" s="3">
        <v>29807190100618</v>
      </c>
      <c r="G1951" s="2" t="s">
        <v>4025</v>
      </c>
      <c r="H1951" s="2" t="s">
        <v>4472</v>
      </c>
      <c r="I1951" s="2" t="s">
        <v>4315</v>
      </c>
      <c r="J1951" s="4">
        <v>43599</v>
      </c>
      <c r="K1951" s="2" t="s">
        <v>8</v>
      </c>
      <c r="L1951" s="2" t="s">
        <v>12</v>
      </c>
      <c r="M1951" s="2" t="s">
        <v>4257</v>
      </c>
      <c r="W1951" s="75" t="s">
        <v>64</v>
      </c>
      <c r="Z1951" s="75" t="s">
        <v>67</v>
      </c>
    </row>
    <row r="1952" spans="1:28" ht="15.75" customHeight="1">
      <c r="A1952" s="285"/>
      <c r="C1952" s="25">
        <v>131</v>
      </c>
      <c r="D1952" s="2">
        <v>23988</v>
      </c>
      <c r="E1952" s="2" t="s">
        <v>4473</v>
      </c>
      <c r="F1952" s="3">
        <v>29107080102281</v>
      </c>
      <c r="G1952" s="2" t="s">
        <v>34</v>
      </c>
      <c r="H1952" s="2" t="s">
        <v>4474</v>
      </c>
      <c r="I1952" s="2" t="s">
        <v>4315</v>
      </c>
      <c r="J1952" s="4">
        <v>43599</v>
      </c>
      <c r="K1952" s="2" t="s">
        <v>8</v>
      </c>
      <c r="L1952" s="2" t="s">
        <v>12</v>
      </c>
      <c r="M1952" s="2" t="s">
        <v>103</v>
      </c>
      <c r="R1952" s="77">
        <v>3</v>
      </c>
      <c r="S1952" s="77">
        <v>2.5</v>
      </c>
      <c r="T1952" s="77">
        <v>2</v>
      </c>
      <c r="U1952" s="77">
        <v>2</v>
      </c>
      <c r="V1952" s="77">
        <v>3</v>
      </c>
      <c r="W1952" s="16" t="s">
        <v>62</v>
      </c>
      <c r="Y1952" s="7">
        <v>43629</v>
      </c>
      <c r="Z1952" s="16" t="s">
        <v>67</v>
      </c>
      <c r="AB1952" s="103" t="s">
        <v>5105</v>
      </c>
    </row>
    <row r="1953" spans="1:28" ht="16.5" customHeight="1" thickBot="1">
      <c r="A1953" s="286"/>
      <c r="C1953" s="28">
        <v>131</v>
      </c>
      <c r="D1953" s="28">
        <v>23989</v>
      </c>
      <c r="E1953" s="28" t="s">
        <v>4475</v>
      </c>
      <c r="F1953" s="29">
        <v>29602040103375</v>
      </c>
      <c r="G1953" s="28" t="s">
        <v>4155</v>
      </c>
      <c r="H1953" s="78" t="s">
        <v>4477</v>
      </c>
      <c r="I1953" s="28" t="s">
        <v>4315</v>
      </c>
      <c r="J1953" s="30">
        <v>43583</v>
      </c>
      <c r="K1953" s="28" t="s">
        <v>798</v>
      </c>
      <c r="L1953" s="28" t="s">
        <v>12</v>
      </c>
      <c r="M1953" s="28" t="s">
        <v>4476</v>
      </c>
      <c r="N1953" s="28"/>
      <c r="O1953" s="226"/>
      <c r="P1953" s="28"/>
      <c r="Q1953" s="226"/>
      <c r="R1953" s="37">
        <v>3</v>
      </c>
      <c r="S1953" s="37">
        <v>3</v>
      </c>
      <c r="T1953" s="37">
        <v>2</v>
      </c>
      <c r="U1953" s="37">
        <v>2.5</v>
      </c>
      <c r="V1953" s="37">
        <v>3</v>
      </c>
      <c r="W1953" s="28" t="s">
        <v>4312</v>
      </c>
      <c r="X1953" s="28"/>
      <c r="Y1953" s="30">
        <v>43629</v>
      </c>
      <c r="Z1953" s="28" t="s">
        <v>66</v>
      </c>
      <c r="AA1953" s="30">
        <v>43634</v>
      </c>
      <c r="AB1953" s="28"/>
    </row>
    <row r="1954" spans="1:28" ht="15.75" customHeight="1" thickTop="1">
      <c r="A1954" s="284" t="s">
        <v>4517</v>
      </c>
      <c r="C1954" s="25">
        <v>132</v>
      </c>
      <c r="D1954" s="25">
        <v>23993</v>
      </c>
      <c r="E1954" s="25" t="s">
        <v>4478</v>
      </c>
      <c r="F1954" s="26">
        <v>29002160100518</v>
      </c>
      <c r="G1954" s="25" t="s">
        <v>34</v>
      </c>
      <c r="H1954" s="25" t="s">
        <v>4479</v>
      </c>
      <c r="I1954" s="25" t="s">
        <v>4315</v>
      </c>
      <c r="J1954" s="27">
        <v>43611</v>
      </c>
      <c r="K1954" s="25" t="s">
        <v>8</v>
      </c>
      <c r="L1954" s="25" t="s">
        <v>12</v>
      </c>
      <c r="M1954" s="25" t="s">
        <v>4480</v>
      </c>
      <c r="N1954" s="25"/>
      <c r="O1954" s="224"/>
      <c r="P1954" s="25"/>
      <c r="Q1954" s="224"/>
      <c r="R1954" s="25"/>
      <c r="S1954" s="25"/>
      <c r="T1954" s="25"/>
      <c r="U1954" s="25"/>
      <c r="V1954" s="25"/>
      <c r="W1954" s="98" t="s">
        <v>64</v>
      </c>
      <c r="X1954" s="25"/>
      <c r="Y1954" s="27"/>
      <c r="Z1954" s="25" t="s">
        <v>67</v>
      </c>
      <c r="AA1954" s="27"/>
      <c r="AB1954" s="25"/>
    </row>
    <row r="1955" spans="1:28" ht="15.75" customHeight="1">
      <c r="A1955" s="285"/>
      <c r="C1955" s="25">
        <v>132</v>
      </c>
      <c r="D1955" s="2">
        <v>23994</v>
      </c>
      <c r="E1955" s="2" t="s">
        <v>4481</v>
      </c>
      <c r="F1955" s="3">
        <v>29707290102974</v>
      </c>
      <c r="G1955" s="2" t="s">
        <v>3970</v>
      </c>
      <c r="H1955" s="2" t="s">
        <v>4482</v>
      </c>
      <c r="I1955" s="2" t="s">
        <v>4315</v>
      </c>
      <c r="J1955" s="4">
        <v>43611</v>
      </c>
      <c r="K1955" s="2" t="s">
        <v>8</v>
      </c>
      <c r="L1955" s="2" t="s">
        <v>12</v>
      </c>
      <c r="M1955" s="2" t="s">
        <v>623</v>
      </c>
      <c r="R1955" s="77">
        <v>3</v>
      </c>
      <c r="S1955" s="77">
        <v>2</v>
      </c>
      <c r="T1955" s="77">
        <v>2</v>
      </c>
      <c r="U1955" s="77">
        <v>2</v>
      </c>
      <c r="V1955" s="77">
        <v>3</v>
      </c>
      <c r="W1955" s="16" t="s">
        <v>62</v>
      </c>
      <c r="Y1955" s="7">
        <v>43639</v>
      </c>
      <c r="Z1955" s="16" t="s">
        <v>66</v>
      </c>
      <c r="AA1955" s="45">
        <v>43646</v>
      </c>
    </row>
    <row r="1956" spans="1:28" ht="15.75" customHeight="1">
      <c r="A1956" s="285"/>
      <c r="C1956" s="25">
        <v>132</v>
      </c>
      <c r="D1956" s="2">
        <v>23995</v>
      </c>
      <c r="E1956" s="2" t="s">
        <v>4483</v>
      </c>
      <c r="F1956" s="3">
        <v>29710232101217</v>
      </c>
      <c r="G1956" s="2" t="s">
        <v>3970</v>
      </c>
      <c r="H1956" s="2" t="s">
        <v>4484</v>
      </c>
      <c r="I1956" s="2" t="s">
        <v>4315</v>
      </c>
      <c r="J1956" s="4">
        <v>43611</v>
      </c>
      <c r="K1956" s="2" t="s">
        <v>8</v>
      </c>
      <c r="L1956" s="2" t="s">
        <v>12</v>
      </c>
      <c r="M1956" s="2" t="s">
        <v>4257</v>
      </c>
      <c r="R1956" s="77">
        <v>3</v>
      </c>
      <c r="S1956" s="77">
        <v>3</v>
      </c>
      <c r="T1956" s="77">
        <v>2</v>
      </c>
      <c r="U1956" s="77">
        <v>2</v>
      </c>
      <c r="V1956" s="77">
        <v>3</v>
      </c>
      <c r="W1956" s="16" t="s">
        <v>62</v>
      </c>
      <c r="Y1956" s="7">
        <v>43639</v>
      </c>
      <c r="Z1956" s="16" t="s">
        <v>66</v>
      </c>
      <c r="AA1956" s="7">
        <v>43646</v>
      </c>
      <c r="AB1956" s="103"/>
    </row>
    <row r="1957" spans="1:28" ht="15.75" customHeight="1">
      <c r="A1957" s="285"/>
      <c r="C1957" s="25">
        <v>132</v>
      </c>
      <c r="D1957" s="2">
        <v>23996</v>
      </c>
      <c r="E1957" s="2" t="s">
        <v>4485</v>
      </c>
      <c r="F1957" s="3">
        <v>29603160101984</v>
      </c>
      <c r="G1957" s="2" t="s">
        <v>34</v>
      </c>
      <c r="H1957" s="2" t="s">
        <v>4486</v>
      </c>
      <c r="I1957" s="2" t="s">
        <v>4315</v>
      </c>
      <c r="J1957" s="4">
        <v>43611</v>
      </c>
      <c r="K1957" s="2" t="s">
        <v>8</v>
      </c>
      <c r="L1957" s="2" t="s">
        <v>12</v>
      </c>
      <c r="M1957" s="2" t="s">
        <v>551</v>
      </c>
      <c r="R1957" s="77">
        <v>3</v>
      </c>
      <c r="S1957" s="77">
        <v>2.5</v>
      </c>
      <c r="T1957" s="77">
        <v>2.5</v>
      </c>
      <c r="U1957" s="77">
        <v>2.5</v>
      </c>
      <c r="V1957" s="77">
        <v>3</v>
      </c>
      <c r="W1957" s="16" t="s">
        <v>170</v>
      </c>
      <c r="Y1957" s="7">
        <v>43639</v>
      </c>
      <c r="Z1957" s="16" t="s">
        <v>66</v>
      </c>
      <c r="AA1957" s="7">
        <v>43667</v>
      </c>
    </row>
    <row r="1958" spans="1:28" ht="15.75" customHeight="1">
      <c r="A1958" s="285"/>
      <c r="C1958" s="25">
        <v>132</v>
      </c>
      <c r="D1958" s="2">
        <v>23997</v>
      </c>
      <c r="E1958" s="2" t="s">
        <v>4487</v>
      </c>
      <c r="F1958" s="3">
        <v>28811290103715</v>
      </c>
      <c r="G1958" s="2" t="s">
        <v>34</v>
      </c>
      <c r="H1958" s="2" t="s">
        <v>4488</v>
      </c>
      <c r="I1958" s="2" t="s">
        <v>4315</v>
      </c>
      <c r="J1958" s="4">
        <v>43611</v>
      </c>
      <c r="K1958" s="2" t="s">
        <v>8</v>
      </c>
      <c r="L1958" s="2" t="s">
        <v>12</v>
      </c>
      <c r="M1958" s="2" t="s">
        <v>4257</v>
      </c>
      <c r="R1958" s="77">
        <v>3</v>
      </c>
      <c r="S1958" s="77">
        <v>2.5</v>
      </c>
      <c r="T1958" s="77">
        <v>2</v>
      </c>
      <c r="U1958" s="77">
        <v>2</v>
      </c>
      <c r="V1958" s="77">
        <v>3</v>
      </c>
      <c r="W1958" s="16" t="s">
        <v>62</v>
      </c>
      <c r="Y1958" s="7">
        <v>43639</v>
      </c>
      <c r="Z1958" s="16" t="s">
        <v>66</v>
      </c>
      <c r="AA1958" s="45">
        <v>43646</v>
      </c>
      <c r="AB1958" s="103" t="s">
        <v>6781</v>
      </c>
    </row>
    <row r="1959" spans="1:28" ht="15.75" customHeight="1">
      <c r="A1959" s="285"/>
      <c r="C1959" s="25">
        <v>132</v>
      </c>
      <c r="D1959" s="2">
        <v>23998</v>
      </c>
      <c r="E1959" s="2" t="s">
        <v>4489</v>
      </c>
      <c r="F1959" s="3">
        <v>28209291602578</v>
      </c>
      <c r="G1959" s="103" t="s">
        <v>34</v>
      </c>
      <c r="H1959" s="2" t="s">
        <v>4490</v>
      </c>
      <c r="I1959" s="2" t="s">
        <v>4315</v>
      </c>
      <c r="J1959" s="4">
        <v>43611</v>
      </c>
      <c r="K1959" s="2" t="s">
        <v>8</v>
      </c>
      <c r="L1959" s="2" t="s">
        <v>12</v>
      </c>
      <c r="M1959" s="2" t="s">
        <v>585</v>
      </c>
      <c r="R1959" s="77">
        <v>3</v>
      </c>
      <c r="S1959" s="77">
        <v>2.5</v>
      </c>
      <c r="T1959" s="77">
        <v>2</v>
      </c>
      <c r="U1959" s="77">
        <v>2</v>
      </c>
      <c r="V1959" s="77">
        <v>3</v>
      </c>
      <c r="W1959" s="16" t="s">
        <v>62</v>
      </c>
      <c r="Y1959" s="7">
        <v>43639</v>
      </c>
      <c r="Z1959" s="16" t="s">
        <v>66</v>
      </c>
      <c r="AA1959" s="45">
        <v>43646</v>
      </c>
      <c r="AB1959" s="103"/>
    </row>
    <row r="1960" spans="1:28" ht="15.75" customHeight="1">
      <c r="A1960" s="285"/>
      <c r="C1960" s="25">
        <v>132</v>
      </c>
      <c r="D1960" s="2">
        <v>23999</v>
      </c>
      <c r="E1960" s="2" t="s">
        <v>4491</v>
      </c>
      <c r="F1960" s="3">
        <v>29705150104494</v>
      </c>
      <c r="G1960" s="103" t="s">
        <v>34</v>
      </c>
      <c r="H1960" s="2" t="s">
        <v>4492</v>
      </c>
      <c r="I1960" s="2" t="s">
        <v>4315</v>
      </c>
      <c r="J1960" s="4">
        <v>43611</v>
      </c>
      <c r="K1960" s="2" t="s">
        <v>8</v>
      </c>
      <c r="L1960" s="2" t="s">
        <v>12</v>
      </c>
      <c r="M1960" s="2" t="s">
        <v>4493</v>
      </c>
      <c r="R1960" s="77">
        <v>3</v>
      </c>
      <c r="S1960" s="77">
        <v>3</v>
      </c>
      <c r="T1960" s="77">
        <v>2.5</v>
      </c>
      <c r="U1960" s="77">
        <v>2.5</v>
      </c>
      <c r="V1960" s="77">
        <v>3</v>
      </c>
      <c r="W1960" s="98" t="s">
        <v>60</v>
      </c>
      <c r="X1960" s="98" t="s">
        <v>66</v>
      </c>
      <c r="Y1960" s="7">
        <v>43664</v>
      </c>
      <c r="Z1960" s="16" t="s">
        <v>66</v>
      </c>
      <c r="AA1960" s="7">
        <v>43674</v>
      </c>
      <c r="AB1960" s="2" t="s">
        <v>4818</v>
      </c>
    </row>
    <row r="1961" spans="1:28" ht="15.75" customHeight="1">
      <c r="A1961" s="285"/>
      <c r="C1961" s="25">
        <v>132</v>
      </c>
      <c r="D1961" s="2">
        <v>21094</v>
      </c>
      <c r="E1961" s="2" t="s">
        <v>4494</v>
      </c>
      <c r="F1961" s="3" t="s">
        <v>4495</v>
      </c>
      <c r="G1961" s="2" t="s">
        <v>3892</v>
      </c>
      <c r="H1961" s="2" t="s">
        <v>4496</v>
      </c>
      <c r="I1961" s="2" t="s">
        <v>4305</v>
      </c>
      <c r="J1961" s="4">
        <v>43611</v>
      </c>
      <c r="K1961" s="2" t="s">
        <v>8</v>
      </c>
      <c r="L1961" s="2" t="s">
        <v>12</v>
      </c>
      <c r="M1961" s="2" t="s">
        <v>4493</v>
      </c>
      <c r="W1961" s="16" t="s">
        <v>64</v>
      </c>
      <c r="Z1961" s="16" t="s">
        <v>67</v>
      </c>
    </row>
    <row r="1962" spans="1:28" ht="15.75" customHeight="1">
      <c r="A1962" s="285"/>
      <c r="C1962" s="25">
        <v>132</v>
      </c>
      <c r="D1962" s="2">
        <v>24008</v>
      </c>
      <c r="E1962" s="2" t="s">
        <v>4497</v>
      </c>
      <c r="F1962" s="3">
        <v>28604280104211</v>
      </c>
      <c r="G1962" s="2" t="s">
        <v>34</v>
      </c>
      <c r="H1962" s="8" t="s">
        <v>4499</v>
      </c>
      <c r="I1962" s="2" t="s">
        <v>4315</v>
      </c>
      <c r="J1962" s="4">
        <v>43611</v>
      </c>
      <c r="K1962" s="2" t="s">
        <v>8</v>
      </c>
      <c r="L1962" s="2" t="s">
        <v>12</v>
      </c>
      <c r="M1962" s="2" t="s">
        <v>623</v>
      </c>
      <c r="R1962" s="77">
        <v>3</v>
      </c>
      <c r="S1962" s="77">
        <v>2.5</v>
      </c>
      <c r="T1962" s="77">
        <v>2</v>
      </c>
      <c r="U1962" s="77">
        <v>2</v>
      </c>
      <c r="V1962" s="77">
        <v>3</v>
      </c>
      <c r="W1962" s="16" t="s">
        <v>62</v>
      </c>
      <c r="Y1962" s="7">
        <v>43639</v>
      </c>
      <c r="Z1962" s="16" t="s">
        <v>66</v>
      </c>
      <c r="AA1962" s="45">
        <v>43646</v>
      </c>
      <c r="AB1962" s="103"/>
    </row>
    <row r="1963" spans="1:28" ht="16.5" customHeight="1" thickBot="1">
      <c r="A1963" s="286"/>
      <c r="C1963" s="28">
        <v>132</v>
      </c>
      <c r="D1963" s="28">
        <v>24009</v>
      </c>
      <c r="E1963" s="28" t="s">
        <v>4498</v>
      </c>
      <c r="F1963" s="29">
        <v>29509190101311</v>
      </c>
      <c r="G1963" s="28" t="s">
        <v>34</v>
      </c>
      <c r="H1963" s="78" t="s">
        <v>4500</v>
      </c>
      <c r="I1963" s="28" t="s">
        <v>4315</v>
      </c>
      <c r="J1963" s="30">
        <v>43611</v>
      </c>
      <c r="K1963" s="28" t="s">
        <v>8</v>
      </c>
      <c r="L1963" s="28" t="s">
        <v>12</v>
      </c>
      <c r="M1963" s="28" t="s">
        <v>768</v>
      </c>
      <c r="N1963" s="28"/>
      <c r="O1963" s="226"/>
      <c r="P1963" s="28"/>
      <c r="Q1963" s="226"/>
      <c r="R1963" s="28"/>
      <c r="S1963" s="28"/>
      <c r="T1963" s="28"/>
      <c r="U1963" s="28"/>
      <c r="V1963" s="28"/>
      <c r="W1963" s="28" t="s">
        <v>64</v>
      </c>
      <c r="X1963" s="28"/>
      <c r="Y1963" s="30"/>
      <c r="Z1963" s="28" t="s">
        <v>67</v>
      </c>
      <c r="AA1963" s="30"/>
      <c r="AB1963" s="28"/>
    </row>
    <row r="1964" spans="1:28" ht="15.75" customHeight="1" thickTop="1">
      <c r="A1964" s="284" t="s">
        <v>3961</v>
      </c>
      <c r="C1964" s="25" t="s">
        <v>4551</v>
      </c>
      <c r="D1964" s="25">
        <v>23763</v>
      </c>
      <c r="E1964" s="25" t="s">
        <v>4520</v>
      </c>
      <c r="F1964" s="26">
        <v>29701270100179</v>
      </c>
      <c r="G1964" s="25" t="s">
        <v>4521</v>
      </c>
      <c r="H1964" s="25" t="s">
        <v>4522</v>
      </c>
      <c r="I1964" s="25" t="s">
        <v>4315</v>
      </c>
      <c r="J1964" s="27">
        <v>43583</v>
      </c>
      <c r="K1964" s="25" t="s">
        <v>798</v>
      </c>
      <c r="L1964" s="25" t="s">
        <v>12</v>
      </c>
      <c r="M1964" s="25" t="s">
        <v>3696</v>
      </c>
      <c r="N1964" s="25"/>
      <c r="O1964" s="224"/>
      <c r="P1964" s="25"/>
      <c r="Q1964" s="224"/>
      <c r="R1964" s="25"/>
      <c r="S1964" s="25"/>
      <c r="T1964" s="25"/>
      <c r="U1964" s="25"/>
      <c r="V1964" s="25"/>
      <c r="W1964" s="25" t="s">
        <v>170</v>
      </c>
      <c r="X1964" s="25"/>
      <c r="Y1964" s="27">
        <v>43612</v>
      </c>
      <c r="Z1964" s="25" t="s">
        <v>66</v>
      </c>
      <c r="AA1964" s="27">
        <v>43632</v>
      </c>
      <c r="AB1964" s="25"/>
    </row>
    <row r="1965" spans="1:28" ht="15" customHeight="1">
      <c r="A1965" s="285"/>
      <c r="C1965" s="25" t="s">
        <v>4551</v>
      </c>
      <c r="D1965" s="2">
        <v>23764</v>
      </c>
      <c r="E1965" s="98" t="s">
        <v>4523</v>
      </c>
      <c r="F1965" s="3">
        <v>29310280101671</v>
      </c>
      <c r="G1965" s="2" t="s">
        <v>34</v>
      </c>
      <c r="H1965" s="2" t="s">
        <v>4524</v>
      </c>
      <c r="I1965" s="2" t="s">
        <v>4315</v>
      </c>
      <c r="J1965" s="4">
        <v>43583</v>
      </c>
      <c r="K1965" s="2" t="s">
        <v>798</v>
      </c>
      <c r="L1965" s="2" t="s">
        <v>12</v>
      </c>
      <c r="M1965" s="2" t="s">
        <v>697</v>
      </c>
      <c r="W1965" s="16" t="s">
        <v>3321</v>
      </c>
      <c r="Y1965" s="7">
        <v>43612</v>
      </c>
      <c r="Z1965" s="16" t="s">
        <v>66</v>
      </c>
      <c r="AA1965" s="7">
        <v>43611</v>
      </c>
    </row>
    <row r="1966" spans="1:28" ht="15" customHeight="1">
      <c r="A1966" s="285"/>
      <c r="C1966" s="25" t="s">
        <v>4551</v>
      </c>
      <c r="D1966" s="2">
        <v>23765</v>
      </c>
      <c r="E1966" s="98" t="s">
        <v>4525</v>
      </c>
      <c r="F1966" s="3">
        <v>29105091601198</v>
      </c>
      <c r="G1966" s="2" t="s">
        <v>34</v>
      </c>
      <c r="H1966" s="2" t="s">
        <v>4526</v>
      </c>
      <c r="I1966" s="2" t="s">
        <v>4315</v>
      </c>
      <c r="J1966" s="4">
        <v>43583</v>
      </c>
      <c r="K1966" s="2" t="s">
        <v>798</v>
      </c>
      <c r="L1966" s="2" t="s">
        <v>12</v>
      </c>
      <c r="M1966" s="2" t="s">
        <v>4527</v>
      </c>
      <c r="W1966" s="16" t="s">
        <v>3321</v>
      </c>
      <c r="Y1966" s="7">
        <v>43612</v>
      </c>
      <c r="Z1966" s="16" t="s">
        <v>66</v>
      </c>
      <c r="AB1966" s="2" t="s">
        <v>3894</v>
      </c>
    </row>
    <row r="1967" spans="1:28" ht="15" customHeight="1">
      <c r="A1967" s="285"/>
      <c r="C1967" s="25" t="s">
        <v>4551</v>
      </c>
      <c r="D1967" s="2">
        <v>23766</v>
      </c>
      <c r="E1967" s="98" t="s">
        <v>4528</v>
      </c>
      <c r="F1967" s="3">
        <v>28803131603313</v>
      </c>
      <c r="G1967" s="2" t="s">
        <v>34</v>
      </c>
      <c r="H1967" s="2" t="s">
        <v>4529</v>
      </c>
      <c r="I1967" s="2" t="s">
        <v>4315</v>
      </c>
      <c r="J1967" s="4">
        <v>43583</v>
      </c>
      <c r="K1967" s="2" t="s">
        <v>798</v>
      </c>
      <c r="L1967" s="2" t="s">
        <v>12</v>
      </c>
      <c r="M1967" s="2" t="s">
        <v>696</v>
      </c>
      <c r="W1967" s="16" t="s">
        <v>63</v>
      </c>
      <c r="Z1967" s="16" t="s">
        <v>67</v>
      </c>
    </row>
    <row r="1968" spans="1:28" ht="15" customHeight="1">
      <c r="A1968" s="285"/>
      <c r="C1968" s="25" t="s">
        <v>4551</v>
      </c>
      <c r="D1968" s="2">
        <v>23767</v>
      </c>
      <c r="E1968" s="98" t="s">
        <v>4530</v>
      </c>
      <c r="F1968" s="3">
        <v>27603162101232</v>
      </c>
      <c r="G1968" s="2" t="s">
        <v>34</v>
      </c>
      <c r="H1968" s="2" t="s">
        <v>4531</v>
      </c>
      <c r="I1968" s="2" t="s">
        <v>4315</v>
      </c>
      <c r="J1968" s="4">
        <v>43583</v>
      </c>
      <c r="K1968" s="2" t="s">
        <v>798</v>
      </c>
      <c r="L1968" s="2" t="s">
        <v>12</v>
      </c>
      <c r="M1968" s="2" t="s">
        <v>55</v>
      </c>
      <c r="W1968" s="16" t="s">
        <v>62</v>
      </c>
      <c r="Y1968" s="7">
        <v>43612</v>
      </c>
      <c r="Z1968" s="16" t="s">
        <v>66</v>
      </c>
      <c r="AA1968" s="7">
        <v>43611</v>
      </c>
    </row>
    <row r="1969" spans="1:28" ht="15" customHeight="1">
      <c r="A1969" s="285"/>
      <c r="C1969" s="25" t="s">
        <v>4551</v>
      </c>
      <c r="D1969" s="2">
        <v>23768</v>
      </c>
      <c r="E1969" s="98" t="s">
        <v>4532</v>
      </c>
      <c r="F1969" s="3">
        <v>29409282103588</v>
      </c>
      <c r="G1969" s="2" t="s">
        <v>34</v>
      </c>
      <c r="H1969" s="2" t="s">
        <v>4533</v>
      </c>
      <c r="I1969" s="2" t="s">
        <v>4315</v>
      </c>
      <c r="J1969" s="4">
        <v>43583</v>
      </c>
      <c r="K1969" s="2" t="s">
        <v>798</v>
      </c>
      <c r="L1969" s="2" t="s">
        <v>12</v>
      </c>
      <c r="M1969" s="2" t="s">
        <v>3890</v>
      </c>
      <c r="W1969" s="16" t="s">
        <v>3321</v>
      </c>
      <c r="Y1969" s="7">
        <v>43612</v>
      </c>
      <c r="Z1969" s="16" t="s">
        <v>67</v>
      </c>
      <c r="AB1969" s="2" t="s">
        <v>5095</v>
      </c>
    </row>
    <row r="1970" spans="1:28" ht="15" customHeight="1">
      <c r="A1970" s="285"/>
      <c r="C1970" s="25" t="s">
        <v>4551</v>
      </c>
      <c r="D1970" s="2">
        <v>23769</v>
      </c>
      <c r="E1970" s="98" t="s">
        <v>4534</v>
      </c>
      <c r="F1970" s="3">
        <v>29306070102138</v>
      </c>
      <c r="G1970" s="2" t="s">
        <v>34</v>
      </c>
      <c r="H1970" s="2" t="s">
        <v>4535</v>
      </c>
      <c r="I1970" s="2" t="s">
        <v>4315</v>
      </c>
      <c r="J1970" s="4">
        <v>43583</v>
      </c>
      <c r="K1970" s="2" t="s">
        <v>798</v>
      </c>
      <c r="L1970" s="2" t="s">
        <v>12</v>
      </c>
      <c r="M1970" s="2" t="s">
        <v>4257</v>
      </c>
      <c r="W1970" s="16" t="s">
        <v>62</v>
      </c>
      <c r="Y1970" s="7">
        <v>43612</v>
      </c>
      <c r="Z1970" s="16" t="s">
        <v>66</v>
      </c>
      <c r="AA1970" s="7">
        <v>43611</v>
      </c>
    </row>
    <row r="1971" spans="1:28" ht="15" customHeight="1">
      <c r="A1971" s="285"/>
      <c r="C1971" s="25" t="s">
        <v>4551</v>
      </c>
      <c r="D1971" s="2">
        <v>23770</v>
      </c>
      <c r="E1971" s="98" t="s">
        <v>4536</v>
      </c>
      <c r="F1971" s="3">
        <v>29609231202866</v>
      </c>
      <c r="G1971" s="2" t="s">
        <v>34</v>
      </c>
      <c r="H1971" s="2" t="s">
        <v>4537</v>
      </c>
      <c r="I1971" s="2" t="s">
        <v>4315</v>
      </c>
      <c r="J1971" s="4">
        <v>43583</v>
      </c>
      <c r="K1971" s="2" t="s">
        <v>798</v>
      </c>
      <c r="L1971" s="2" t="s">
        <v>12</v>
      </c>
      <c r="M1971" s="2" t="s">
        <v>3890</v>
      </c>
      <c r="W1971" s="16" t="s">
        <v>3244</v>
      </c>
    </row>
    <row r="1972" spans="1:28" ht="15" customHeight="1">
      <c r="A1972" s="285"/>
      <c r="C1972" s="25" t="s">
        <v>4551</v>
      </c>
      <c r="D1972" s="2">
        <v>23771</v>
      </c>
      <c r="E1972" s="98" t="s">
        <v>4538</v>
      </c>
      <c r="F1972" s="3">
        <v>29607070106893</v>
      </c>
      <c r="G1972" s="2" t="s">
        <v>3970</v>
      </c>
      <c r="H1972" s="2" t="s">
        <v>4539</v>
      </c>
      <c r="I1972" s="2" t="s">
        <v>4315</v>
      </c>
      <c r="J1972" s="4">
        <v>43583</v>
      </c>
      <c r="K1972" s="2" t="s">
        <v>798</v>
      </c>
      <c r="L1972" s="2" t="s">
        <v>12</v>
      </c>
      <c r="M1972" s="2" t="s">
        <v>4257</v>
      </c>
      <c r="W1972" s="16" t="s">
        <v>63</v>
      </c>
      <c r="Z1972" s="16" t="s">
        <v>67</v>
      </c>
    </row>
    <row r="1973" spans="1:28" ht="15" customHeight="1">
      <c r="A1973" s="285"/>
      <c r="C1973" s="25" t="s">
        <v>4551</v>
      </c>
      <c r="D1973" s="2">
        <v>23772</v>
      </c>
      <c r="E1973" s="98" t="s">
        <v>4540</v>
      </c>
      <c r="F1973" s="3">
        <v>29410262100939</v>
      </c>
      <c r="G1973" s="2" t="s">
        <v>34</v>
      </c>
      <c r="H1973" s="2" t="s">
        <v>4541</v>
      </c>
      <c r="I1973" s="2" t="s">
        <v>4315</v>
      </c>
      <c r="J1973" s="4">
        <v>43583</v>
      </c>
      <c r="K1973" s="2" t="s">
        <v>798</v>
      </c>
      <c r="L1973" s="2" t="s">
        <v>12</v>
      </c>
      <c r="M1973" s="2" t="s">
        <v>4257</v>
      </c>
      <c r="W1973" s="16" t="s">
        <v>3244</v>
      </c>
    </row>
    <row r="1974" spans="1:28" ht="15" customHeight="1">
      <c r="A1974" s="285"/>
      <c r="C1974" s="25" t="s">
        <v>4551</v>
      </c>
      <c r="D1974" s="2">
        <v>23990</v>
      </c>
      <c r="E1974" s="98" t="s">
        <v>4542</v>
      </c>
      <c r="F1974" s="3">
        <v>29006011600775</v>
      </c>
      <c r="G1974" s="2" t="s">
        <v>129</v>
      </c>
      <c r="H1974" s="2" t="s">
        <v>4543</v>
      </c>
      <c r="I1974" s="2" t="s">
        <v>4315</v>
      </c>
      <c r="J1974" s="4">
        <v>43583</v>
      </c>
      <c r="K1974" s="2" t="s">
        <v>798</v>
      </c>
      <c r="L1974" s="2" t="s">
        <v>12</v>
      </c>
      <c r="M1974" s="2" t="s">
        <v>4476</v>
      </c>
      <c r="W1974" s="16" t="s">
        <v>3818</v>
      </c>
      <c r="Y1974" s="7">
        <v>43612</v>
      </c>
    </row>
    <row r="1975" spans="1:28" ht="15" customHeight="1">
      <c r="A1975" s="285"/>
      <c r="C1975" s="25" t="s">
        <v>4551</v>
      </c>
      <c r="D1975" s="2">
        <v>23960</v>
      </c>
      <c r="E1975" s="98" t="s">
        <v>4544</v>
      </c>
      <c r="F1975" s="3" t="s">
        <v>4545</v>
      </c>
      <c r="G1975" s="2" t="s">
        <v>34</v>
      </c>
      <c r="H1975" s="2" t="s">
        <v>4546</v>
      </c>
      <c r="I1975" s="2" t="s">
        <v>4315</v>
      </c>
      <c r="J1975" s="4">
        <v>43583</v>
      </c>
      <c r="K1975" s="2" t="s">
        <v>798</v>
      </c>
      <c r="L1975" s="2" t="s">
        <v>12</v>
      </c>
      <c r="M1975" s="2" t="s">
        <v>4476</v>
      </c>
      <c r="W1975" s="16" t="s">
        <v>63</v>
      </c>
      <c r="Z1975" s="16" t="s">
        <v>67</v>
      </c>
    </row>
    <row r="1976" spans="1:28" ht="15" customHeight="1">
      <c r="A1976" s="285"/>
      <c r="C1976" s="25" t="s">
        <v>4551</v>
      </c>
      <c r="D1976" s="2">
        <v>23961</v>
      </c>
      <c r="E1976" s="98" t="s">
        <v>4547</v>
      </c>
      <c r="F1976" s="3">
        <v>29306300101233</v>
      </c>
      <c r="G1976" s="2" t="s">
        <v>34</v>
      </c>
      <c r="H1976" s="2" t="s">
        <v>4548</v>
      </c>
      <c r="I1976" s="2" t="s">
        <v>4315</v>
      </c>
      <c r="J1976" s="4">
        <v>43583</v>
      </c>
      <c r="K1976" s="2" t="s">
        <v>798</v>
      </c>
      <c r="L1976" s="2" t="s">
        <v>12</v>
      </c>
      <c r="M1976" s="2" t="s">
        <v>4476</v>
      </c>
      <c r="W1976" s="16" t="s">
        <v>63</v>
      </c>
      <c r="Z1976" s="16" t="s">
        <v>67</v>
      </c>
    </row>
    <row r="1977" spans="1:28" ht="15.75" customHeight="1" thickBot="1">
      <c r="A1977" s="286"/>
      <c r="C1977" s="28" t="s">
        <v>4551</v>
      </c>
      <c r="D1977" s="28">
        <v>23962</v>
      </c>
      <c r="E1977" s="28" t="s">
        <v>4549</v>
      </c>
      <c r="F1977" s="29">
        <v>29504092102995</v>
      </c>
      <c r="G1977" s="28" t="s">
        <v>34</v>
      </c>
      <c r="H1977" s="28" t="s">
        <v>4550</v>
      </c>
      <c r="I1977" s="28" t="s">
        <v>4315</v>
      </c>
      <c r="J1977" s="30">
        <v>43583</v>
      </c>
      <c r="K1977" s="28" t="s">
        <v>798</v>
      </c>
      <c r="L1977" s="28" t="s">
        <v>12</v>
      </c>
      <c r="M1977" s="28" t="s">
        <v>4257</v>
      </c>
      <c r="N1977" s="28"/>
      <c r="O1977" s="226"/>
      <c r="P1977" s="28"/>
      <c r="Q1977" s="226"/>
      <c r="R1977" s="28"/>
      <c r="S1977" s="28"/>
      <c r="T1977" s="28"/>
      <c r="U1977" s="28"/>
      <c r="V1977" s="28"/>
      <c r="W1977" s="28" t="s">
        <v>111</v>
      </c>
      <c r="X1977" s="28"/>
      <c r="Y1977" s="30">
        <v>43612</v>
      </c>
      <c r="Z1977" s="28" t="s">
        <v>67</v>
      </c>
      <c r="AA1977" s="30"/>
      <c r="AB1977" s="28" t="s">
        <v>4933</v>
      </c>
    </row>
    <row r="1978" spans="1:28" ht="15.75" customHeight="1" thickTop="1">
      <c r="A1978" s="284" t="s">
        <v>3961</v>
      </c>
      <c r="C1978" s="25" t="s">
        <v>4552</v>
      </c>
      <c r="D1978" s="25">
        <v>24010</v>
      </c>
      <c r="E1978" s="25" t="s">
        <v>4553</v>
      </c>
      <c r="F1978" s="26">
        <v>29509290100673</v>
      </c>
      <c r="G1978" s="25" t="s">
        <v>4131</v>
      </c>
      <c r="H1978" s="25" t="s">
        <v>4554</v>
      </c>
      <c r="I1978" s="25" t="s">
        <v>4315</v>
      </c>
      <c r="J1978" s="27">
        <v>43617</v>
      </c>
      <c r="K1978" s="25" t="s">
        <v>798</v>
      </c>
      <c r="L1978" s="25" t="s">
        <v>12</v>
      </c>
      <c r="M1978" s="25" t="s">
        <v>438</v>
      </c>
      <c r="N1978" s="25"/>
      <c r="O1978" s="224"/>
      <c r="P1978" s="25"/>
      <c r="Q1978" s="224"/>
      <c r="R1978" s="25"/>
      <c r="S1978" s="25"/>
      <c r="T1978" s="25"/>
      <c r="U1978" s="25"/>
      <c r="V1978" s="25"/>
      <c r="W1978" s="25" t="s">
        <v>3818</v>
      </c>
      <c r="X1978" s="25"/>
      <c r="Y1978" s="45">
        <v>43646</v>
      </c>
      <c r="Z1978" s="25"/>
      <c r="AA1978" s="27"/>
      <c r="AB1978" s="25"/>
    </row>
    <row r="1979" spans="1:28" ht="15" customHeight="1">
      <c r="A1979" s="285"/>
      <c r="C1979" s="25" t="s">
        <v>4552</v>
      </c>
      <c r="D1979" s="2">
        <v>24011</v>
      </c>
      <c r="E1979" s="2" t="s">
        <v>4555</v>
      </c>
      <c r="F1979" s="3">
        <v>29112101401938</v>
      </c>
      <c r="G1979" s="2" t="s">
        <v>129</v>
      </c>
      <c r="H1979" s="2" t="s">
        <v>4556</v>
      </c>
      <c r="I1979" s="2" t="s">
        <v>4315</v>
      </c>
      <c r="J1979" s="4">
        <v>43617</v>
      </c>
      <c r="K1979" s="2" t="s">
        <v>798</v>
      </c>
      <c r="L1979" s="2" t="s">
        <v>12</v>
      </c>
      <c r="M1979" s="2" t="s">
        <v>438</v>
      </c>
      <c r="W1979" s="16" t="s">
        <v>3818</v>
      </c>
      <c r="Y1979" s="45">
        <v>43646</v>
      </c>
    </row>
    <row r="1980" spans="1:28" ht="15" customHeight="1">
      <c r="A1980" s="285"/>
      <c r="C1980" s="25" t="s">
        <v>4552</v>
      </c>
      <c r="D1980" s="2">
        <v>24012</v>
      </c>
      <c r="E1980" s="2" t="s">
        <v>4557</v>
      </c>
      <c r="F1980" s="3">
        <v>29806110103321</v>
      </c>
      <c r="G1980" s="2" t="s">
        <v>4131</v>
      </c>
      <c r="H1980" s="2" t="s">
        <v>4558</v>
      </c>
      <c r="I1980" s="2" t="s">
        <v>4315</v>
      </c>
      <c r="J1980" s="4">
        <v>43617</v>
      </c>
      <c r="K1980" s="2" t="s">
        <v>798</v>
      </c>
      <c r="L1980" s="2" t="s">
        <v>12</v>
      </c>
      <c r="M1980" s="2" t="s">
        <v>438</v>
      </c>
      <c r="W1980" s="16" t="s">
        <v>3818</v>
      </c>
      <c r="Y1980" s="45">
        <v>43646</v>
      </c>
    </row>
    <row r="1981" spans="1:28">
      <c r="A1981" s="285"/>
      <c r="C1981" s="25" t="s">
        <v>4552</v>
      </c>
      <c r="D1981" s="2">
        <v>24013</v>
      </c>
      <c r="E1981" s="2" t="s">
        <v>4559</v>
      </c>
      <c r="F1981" s="3">
        <v>29703010201772</v>
      </c>
      <c r="G1981" s="2" t="s">
        <v>3970</v>
      </c>
      <c r="H1981" s="2" t="s">
        <v>4560</v>
      </c>
      <c r="I1981" s="2" t="s">
        <v>4315</v>
      </c>
      <c r="J1981" s="4">
        <v>43617</v>
      </c>
      <c r="K1981" s="2" t="s">
        <v>798</v>
      </c>
      <c r="L1981" s="2" t="s">
        <v>12</v>
      </c>
      <c r="M1981" s="2" t="s">
        <v>4257</v>
      </c>
      <c r="W1981" s="16" t="s">
        <v>3321</v>
      </c>
      <c r="Y1981" s="45">
        <v>43646</v>
      </c>
      <c r="Z1981" s="16" t="s">
        <v>66</v>
      </c>
      <c r="AA1981" s="7">
        <v>43673</v>
      </c>
      <c r="AB1981" s="2" t="s">
        <v>6915</v>
      </c>
    </row>
    <row r="1982" spans="1:28" ht="15" customHeight="1">
      <c r="A1982" s="285"/>
      <c r="C1982" s="25" t="s">
        <v>4552</v>
      </c>
      <c r="D1982" s="2">
        <v>24014</v>
      </c>
      <c r="E1982" s="2" t="s">
        <v>4561</v>
      </c>
      <c r="F1982" s="3">
        <v>29603032102447</v>
      </c>
      <c r="G1982" s="2" t="s">
        <v>3970</v>
      </c>
      <c r="H1982" s="2" t="s">
        <v>4562</v>
      </c>
      <c r="I1982" s="2" t="s">
        <v>4315</v>
      </c>
      <c r="J1982" s="4">
        <v>43617</v>
      </c>
      <c r="K1982" s="2" t="s">
        <v>798</v>
      </c>
      <c r="L1982" s="2" t="s">
        <v>12</v>
      </c>
      <c r="M1982" s="2" t="s">
        <v>16</v>
      </c>
      <c r="W1982" s="102" t="s">
        <v>3244</v>
      </c>
    </row>
    <row r="1983" spans="1:28" ht="15" customHeight="1">
      <c r="A1983" s="285"/>
      <c r="C1983" s="25" t="s">
        <v>4552</v>
      </c>
      <c r="D1983" s="2">
        <v>21514</v>
      </c>
      <c r="E1983" s="2" t="s">
        <v>4563</v>
      </c>
      <c r="F1983" s="3">
        <v>29111290102931</v>
      </c>
      <c r="G1983" s="2" t="s">
        <v>129</v>
      </c>
      <c r="H1983" s="2" t="s">
        <v>4564</v>
      </c>
      <c r="I1983" s="2" t="s">
        <v>4305</v>
      </c>
      <c r="J1983" s="4">
        <v>43617</v>
      </c>
      <c r="K1983" s="2" t="s">
        <v>798</v>
      </c>
      <c r="L1983" s="2" t="s">
        <v>12</v>
      </c>
      <c r="M1983" s="2" t="s">
        <v>438</v>
      </c>
      <c r="W1983" s="16" t="s">
        <v>4585</v>
      </c>
      <c r="Y1983" s="45">
        <v>43646</v>
      </c>
      <c r="Z1983" s="16" t="s">
        <v>66</v>
      </c>
      <c r="AA1983" s="7">
        <v>43669</v>
      </c>
      <c r="AB1983" s="2" t="s">
        <v>3967</v>
      </c>
    </row>
    <row r="1984" spans="1:28" ht="15" customHeight="1">
      <c r="A1984" s="285"/>
      <c r="C1984" s="25" t="s">
        <v>4552</v>
      </c>
      <c r="D1984" s="2">
        <v>20655</v>
      </c>
      <c r="E1984" s="2" t="s">
        <v>4565</v>
      </c>
      <c r="F1984" s="3">
        <v>29507160100636</v>
      </c>
      <c r="G1984" s="2" t="s">
        <v>129</v>
      </c>
      <c r="H1984" s="2" t="s">
        <v>4566</v>
      </c>
      <c r="I1984" s="2" t="s">
        <v>4305</v>
      </c>
      <c r="J1984" s="4">
        <v>43617</v>
      </c>
      <c r="K1984" s="2" t="s">
        <v>798</v>
      </c>
      <c r="L1984" s="2" t="s">
        <v>12</v>
      </c>
      <c r="M1984" s="2" t="s">
        <v>438</v>
      </c>
      <c r="W1984" s="16" t="s">
        <v>3818</v>
      </c>
      <c r="Y1984" s="45">
        <v>43646</v>
      </c>
      <c r="Z1984" s="16" t="s">
        <v>66</v>
      </c>
      <c r="AA1984" s="45">
        <v>43669</v>
      </c>
      <c r="AB1984" s="103" t="s">
        <v>3967</v>
      </c>
    </row>
    <row r="1985" spans="1:28" ht="15" customHeight="1">
      <c r="A1985" s="285"/>
      <c r="C1985" s="25" t="s">
        <v>4552</v>
      </c>
      <c r="D1985" s="2">
        <v>22651</v>
      </c>
      <c r="E1985" s="2" t="s">
        <v>4567</v>
      </c>
      <c r="F1985" s="3">
        <v>28608282102568</v>
      </c>
      <c r="G1985" s="2" t="s">
        <v>34</v>
      </c>
      <c r="H1985" s="2" t="s">
        <v>4568</v>
      </c>
      <c r="I1985" s="2" t="s">
        <v>4305</v>
      </c>
      <c r="J1985" s="4">
        <v>43617</v>
      </c>
      <c r="K1985" s="2" t="s">
        <v>798</v>
      </c>
      <c r="L1985" s="2" t="s">
        <v>12</v>
      </c>
      <c r="M1985" s="2" t="s">
        <v>438</v>
      </c>
      <c r="W1985" s="16" t="s">
        <v>3321</v>
      </c>
      <c r="Y1985" s="45">
        <v>43646</v>
      </c>
      <c r="Z1985" s="16" t="s">
        <v>67</v>
      </c>
      <c r="AB1985" s="2" t="s">
        <v>4934</v>
      </c>
    </row>
    <row r="1986" spans="1:28">
      <c r="A1986" s="285"/>
      <c r="C1986" s="25" t="s">
        <v>4552</v>
      </c>
      <c r="D1986" s="2">
        <v>20638</v>
      </c>
      <c r="E1986" s="2" t="s">
        <v>4569</v>
      </c>
      <c r="F1986" s="3">
        <v>29503262500684</v>
      </c>
      <c r="G1986" s="2" t="s">
        <v>34</v>
      </c>
      <c r="H1986" s="2" t="s">
        <v>4570</v>
      </c>
      <c r="I1986" s="2" t="s">
        <v>4305</v>
      </c>
      <c r="J1986" s="4">
        <v>43617</v>
      </c>
      <c r="K1986" s="2" t="s">
        <v>798</v>
      </c>
      <c r="L1986" s="2" t="s">
        <v>12</v>
      </c>
      <c r="M1986" s="2" t="s">
        <v>438</v>
      </c>
      <c r="W1986" s="16" t="s">
        <v>62</v>
      </c>
      <c r="Z1986" s="16" t="s">
        <v>66</v>
      </c>
      <c r="AA1986" s="7">
        <v>43669</v>
      </c>
      <c r="AB1986" s="103" t="s">
        <v>6268</v>
      </c>
    </row>
    <row r="1987" spans="1:28" ht="15" customHeight="1">
      <c r="A1987" s="285"/>
      <c r="C1987" s="25" t="s">
        <v>4552</v>
      </c>
      <c r="D1987" s="2">
        <v>24191</v>
      </c>
      <c r="E1987" s="2" t="s">
        <v>4571</v>
      </c>
      <c r="F1987" s="3">
        <v>29502132100033</v>
      </c>
      <c r="G1987" s="2" t="s">
        <v>34</v>
      </c>
      <c r="H1987" s="2" t="s">
        <v>4572</v>
      </c>
      <c r="I1987" s="2" t="s">
        <v>66</v>
      </c>
      <c r="J1987" s="4">
        <v>43617</v>
      </c>
      <c r="K1987" s="2" t="s">
        <v>8</v>
      </c>
      <c r="L1987" s="2" t="s">
        <v>12</v>
      </c>
      <c r="M1987" s="2" t="s">
        <v>4480</v>
      </c>
      <c r="W1987" s="16" t="s">
        <v>3818</v>
      </c>
      <c r="Y1987" s="45">
        <v>43646</v>
      </c>
    </row>
    <row r="1988" spans="1:28" ht="15" customHeight="1">
      <c r="A1988" s="285"/>
      <c r="C1988" s="25" t="s">
        <v>4552</v>
      </c>
      <c r="D1988" s="2">
        <v>22406</v>
      </c>
      <c r="E1988" s="2" t="s">
        <v>4573</v>
      </c>
      <c r="F1988" s="3">
        <v>29206202104271</v>
      </c>
      <c r="G1988" s="2" t="s">
        <v>34</v>
      </c>
      <c r="H1988" s="2" t="s">
        <v>4574</v>
      </c>
      <c r="I1988" s="2" t="s">
        <v>4305</v>
      </c>
      <c r="J1988" s="4">
        <v>43617</v>
      </c>
      <c r="K1988" s="2" t="s">
        <v>8</v>
      </c>
      <c r="L1988" s="2" t="s">
        <v>12</v>
      </c>
      <c r="M1988" s="2" t="s">
        <v>438</v>
      </c>
      <c r="W1988" s="16" t="s">
        <v>3818</v>
      </c>
      <c r="Y1988" s="45">
        <v>43646</v>
      </c>
      <c r="Z1988" s="16" t="s">
        <v>66</v>
      </c>
      <c r="AA1988" s="45">
        <v>43669</v>
      </c>
      <c r="AB1988" s="103" t="s">
        <v>3967</v>
      </c>
    </row>
    <row r="1989" spans="1:28" ht="15" customHeight="1">
      <c r="A1989" s="285"/>
      <c r="C1989" s="25" t="s">
        <v>4552</v>
      </c>
      <c r="D1989" s="2">
        <v>22649</v>
      </c>
      <c r="E1989" s="2" t="s">
        <v>4575</v>
      </c>
      <c r="F1989" s="3">
        <v>29504220103321</v>
      </c>
      <c r="G1989" s="2" t="s">
        <v>34</v>
      </c>
      <c r="H1989" s="2">
        <v>1001661244</v>
      </c>
      <c r="I1989" s="2" t="s">
        <v>4305</v>
      </c>
      <c r="J1989" s="4">
        <v>43617</v>
      </c>
      <c r="K1989" s="2" t="s">
        <v>8</v>
      </c>
      <c r="L1989" s="2" t="s">
        <v>12</v>
      </c>
      <c r="M1989" s="2" t="s">
        <v>438</v>
      </c>
      <c r="W1989" s="16" t="s">
        <v>63</v>
      </c>
      <c r="Z1989" s="16" t="s">
        <v>67</v>
      </c>
      <c r="AB1989" s="2" t="s">
        <v>6622</v>
      </c>
    </row>
    <row r="1990" spans="1:28" ht="15" customHeight="1">
      <c r="A1990" s="285"/>
      <c r="C1990" s="25" t="s">
        <v>4552</v>
      </c>
      <c r="D1990" s="2">
        <v>24192</v>
      </c>
      <c r="E1990" s="2" t="s">
        <v>4576</v>
      </c>
      <c r="F1990" s="3">
        <v>29204072603951</v>
      </c>
      <c r="G1990" s="2" t="s">
        <v>4025</v>
      </c>
      <c r="H1990" s="2" t="s">
        <v>4577</v>
      </c>
      <c r="I1990" s="2" t="s">
        <v>66</v>
      </c>
      <c r="J1990" s="4">
        <v>43617</v>
      </c>
      <c r="K1990" s="2" t="s">
        <v>8</v>
      </c>
      <c r="L1990" s="2" t="s">
        <v>12</v>
      </c>
      <c r="M1990" s="2" t="s">
        <v>4416</v>
      </c>
      <c r="W1990" s="102" t="s">
        <v>3244</v>
      </c>
    </row>
    <row r="1991" spans="1:28" ht="15" customHeight="1">
      <c r="A1991" s="285"/>
      <c r="C1991" s="25" t="s">
        <v>4552</v>
      </c>
      <c r="D1991" s="2">
        <v>24193</v>
      </c>
      <c r="E1991" s="2" t="s">
        <v>4578</v>
      </c>
      <c r="F1991" s="3">
        <v>28601133200192</v>
      </c>
      <c r="G1991" s="2" t="s">
        <v>34</v>
      </c>
      <c r="H1991" s="2" t="s">
        <v>4579</v>
      </c>
      <c r="I1991" s="2" t="s">
        <v>66</v>
      </c>
      <c r="J1991" s="4">
        <v>43617</v>
      </c>
      <c r="K1991" s="2" t="s">
        <v>8</v>
      </c>
      <c r="L1991" s="2" t="s">
        <v>12</v>
      </c>
      <c r="M1991" s="2" t="s">
        <v>4257</v>
      </c>
      <c r="W1991" s="16" t="s">
        <v>4585</v>
      </c>
      <c r="Y1991" s="7">
        <v>43646</v>
      </c>
    </row>
    <row r="1992" spans="1:28" ht="15" customHeight="1">
      <c r="A1992" s="285"/>
      <c r="C1992" s="25" t="s">
        <v>4552</v>
      </c>
      <c r="D1992" s="2">
        <v>22235</v>
      </c>
      <c r="E1992" s="2" t="s">
        <v>4580</v>
      </c>
      <c r="F1992" s="3">
        <v>29511150103901</v>
      </c>
      <c r="G1992" s="2" t="s">
        <v>34</v>
      </c>
      <c r="H1992" s="2" t="s">
        <v>4581</v>
      </c>
      <c r="I1992" s="2" t="s">
        <v>4305</v>
      </c>
      <c r="J1992" s="4">
        <v>43617</v>
      </c>
      <c r="K1992" s="2" t="s">
        <v>8</v>
      </c>
      <c r="L1992" s="2" t="s">
        <v>12</v>
      </c>
      <c r="M1992" s="2" t="s">
        <v>438</v>
      </c>
      <c r="W1992" s="16" t="s">
        <v>4585</v>
      </c>
      <c r="Y1992" s="7">
        <v>43646</v>
      </c>
      <c r="Z1992" s="16" t="s">
        <v>66</v>
      </c>
      <c r="AA1992" s="7">
        <v>43669</v>
      </c>
      <c r="AB1992" s="2" t="s">
        <v>3967</v>
      </c>
    </row>
    <row r="1993" spans="1:28">
      <c r="A1993" s="285"/>
      <c r="C1993" s="25" t="s">
        <v>4552</v>
      </c>
      <c r="D1993" s="2">
        <v>22652</v>
      </c>
      <c r="E1993" s="2" t="s">
        <v>4582</v>
      </c>
      <c r="F1993" s="3">
        <v>29208140100918</v>
      </c>
      <c r="G1993" s="2" t="s">
        <v>34</v>
      </c>
      <c r="H1993" s="2" t="s">
        <v>4583</v>
      </c>
      <c r="I1993" s="2" t="s">
        <v>4305</v>
      </c>
      <c r="J1993" s="4">
        <v>43617</v>
      </c>
      <c r="K1993" s="2" t="s">
        <v>8</v>
      </c>
      <c r="L1993" s="2" t="s">
        <v>12</v>
      </c>
      <c r="M1993" s="2" t="s">
        <v>438</v>
      </c>
      <c r="W1993" s="16" t="s">
        <v>3321</v>
      </c>
      <c r="Y1993" s="7">
        <v>43646</v>
      </c>
      <c r="Z1993" s="16" t="s">
        <v>66</v>
      </c>
      <c r="AA1993" s="7">
        <v>43667</v>
      </c>
      <c r="AB1993" s="2" t="s">
        <v>4824</v>
      </c>
    </row>
    <row r="1994" spans="1:28" ht="15.75" customHeight="1" thickBot="1">
      <c r="A1994" s="286"/>
      <c r="C1994" s="28" t="s">
        <v>4552</v>
      </c>
      <c r="D1994" s="28">
        <v>24194</v>
      </c>
      <c r="E1994" s="28" t="s">
        <v>4584</v>
      </c>
      <c r="F1994" s="29">
        <v>29502140101251</v>
      </c>
      <c r="G1994" s="28" t="s">
        <v>34</v>
      </c>
      <c r="H1994" s="78" t="s">
        <v>4616</v>
      </c>
      <c r="I1994" s="28" t="s">
        <v>66</v>
      </c>
      <c r="J1994" s="30">
        <v>43617</v>
      </c>
      <c r="K1994" s="28" t="s">
        <v>8</v>
      </c>
      <c r="L1994" s="28" t="s">
        <v>12</v>
      </c>
      <c r="M1994" s="28" t="s">
        <v>103</v>
      </c>
      <c r="N1994" s="28"/>
      <c r="O1994" s="226"/>
      <c r="P1994" s="28"/>
      <c r="Q1994" s="226"/>
      <c r="R1994" s="28"/>
      <c r="S1994" s="28"/>
      <c r="T1994" s="28"/>
      <c r="U1994" s="28"/>
      <c r="V1994" s="28"/>
      <c r="W1994" s="28" t="s">
        <v>4585</v>
      </c>
      <c r="X1994" s="28"/>
      <c r="Y1994" s="30">
        <v>43646</v>
      </c>
      <c r="Z1994" s="28"/>
      <c r="AA1994" s="30"/>
      <c r="AB1994" s="28"/>
    </row>
    <row r="1995" spans="1:28" ht="15.75" thickTop="1">
      <c r="A1995" s="284" t="s">
        <v>3124</v>
      </c>
      <c r="C1995" s="25">
        <v>133</v>
      </c>
      <c r="D1995" s="25">
        <v>24015</v>
      </c>
      <c r="E1995" s="25" t="s">
        <v>4587</v>
      </c>
      <c r="F1995" s="26">
        <v>29410052100294</v>
      </c>
      <c r="G1995" s="25" t="s">
        <v>4373</v>
      </c>
      <c r="H1995" s="25" t="s">
        <v>4588</v>
      </c>
      <c r="I1995" s="25" t="s">
        <v>4315</v>
      </c>
      <c r="J1995" s="27">
        <v>43618</v>
      </c>
      <c r="K1995" s="25" t="s">
        <v>8</v>
      </c>
      <c r="L1995" s="25" t="s">
        <v>12</v>
      </c>
      <c r="M1995" s="25" t="s">
        <v>293</v>
      </c>
      <c r="N1995" s="25"/>
      <c r="O1995" s="224"/>
      <c r="P1995" s="25"/>
      <c r="Q1995" s="224"/>
      <c r="R1995" s="92">
        <v>3</v>
      </c>
      <c r="S1995" s="92">
        <v>3</v>
      </c>
      <c r="T1995" s="92">
        <v>2.5</v>
      </c>
      <c r="U1995" s="92">
        <v>2</v>
      </c>
      <c r="V1995" s="92">
        <v>3</v>
      </c>
      <c r="W1995" s="25" t="s">
        <v>170</v>
      </c>
      <c r="X1995" s="25" t="s">
        <v>66</v>
      </c>
      <c r="Y1995" s="27">
        <v>43664</v>
      </c>
      <c r="Z1995" s="25" t="s">
        <v>66</v>
      </c>
      <c r="AA1995" s="27">
        <v>43674</v>
      </c>
      <c r="AB1995" s="25" t="s">
        <v>4818</v>
      </c>
    </row>
    <row r="1996" spans="1:28" ht="15" customHeight="1">
      <c r="A1996" s="285"/>
      <c r="C1996" s="25">
        <v>133</v>
      </c>
      <c r="D1996" s="2">
        <v>24016</v>
      </c>
      <c r="E1996" s="2" t="s">
        <v>4589</v>
      </c>
      <c r="F1996" s="3">
        <v>29809132102417</v>
      </c>
      <c r="G1996" s="2" t="s">
        <v>4025</v>
      </c>
      <c r="H1996" s="2" t="s">
        <v>4590</v>
      </c>
      <c r="I1996" s="2" t="s">
        <v>4315</v>
      </c>
      <c r="J1996" s="4">
        <v>43618</v>
      </c>
      <c r="K1996" s="2" t="s">
        <v>8</v>
      </c>
      <c r="L1996" s="2" t="s">
        <v>12</v>
      </c>
      <c r="M1996" s="2" t="s">
        <v>4257</v>
      </c>
      <c r="R1996" s="77">
        <v>3</v>
      </c>
      <c r="S1996" s="77">
        <v>2.5</v>
      </c>
      <c r="T1996" s="77">
        <v>2</v>
      </c>
      <c r="U1996" s="77">
        <v>2</v>
      </c>
      <c r="V1996" s="77">
        <v>3</v>
      </c>
      <c r="W1996" s="16" t="s">
        <v>63</v>
      </c>
      <c r="X1996" s="2" t="s">
        <v>66</v>
      </c>
      <c r="Z1996" s="16" t="s">
        <v>67</v>
      </c>
    </row>
    <row r="1997" spans="1:28">
      <c r="A1997" s="285"/>
      <c r="C1997" s="25">
        <v>133</v>
      </c>
      <c r="D1997" s="2">
        <v>24017</v>
      </c>
      <c r="E1997" s="2" t="s">
        <v>4591</v>
      </c>
      <c r="F1997" s="3">
        <v>29811132101504</v>
      </c>
      <c r="G1997" s="2" t="s">
        <v>4025</v>
      </c>
      <c r="H1997" s="2" t="s">
        <v>4592</v>
      </c>
      <c r="I1997" s="2" t="s">
        <v>4315</v>
      </c>
      <c r="J1997" s="4">
        <v>43618</v>
      </c>
      <c r="K1997" s="2" t="s">
        <v>8</v>
      </c>
      <c r="L1997" s="2" t="s">
        <v>12</v>
      </c>
      <c r="M1997" s="2" t="s">
        <v>4257</v>
      </c>
      <c r="R1997" s="77">
        <v>3</v>
      </c>
      <c r="S1997" s="77">
        <v>2.5</v>
      </c>
      <c r="T1997" s="77">
        <v>2.5</v>
      </c>
      <c r="U1997" s="77">
        <v>2</v>
      </c>
      <c r="V1997" s="77">
        <v>3</v>
      </c>
      <c r="W1997" s="16" t="s">
        <v>62</v>
      </c>
      <c r="X1997" s="2" t="s">
        <v>67</v>
      </c>
      <c r="Y1997" s="45">
        <v>43649</v>
      </c>
      <c r="Z1997" s="16" t="s">
        <v>66</v>
      </c>
      <c r="AA1997" s="7">
        <v>43653</v>
      </c>
      <c r="AB1997" s="2" t="s">
        <v>4690</v>
      </c>
    </row>
    <row r="1998" spans="1:28">
      <c r="A1998" s="285"/>
      <c r="C1998" s="25">
        <v>133</v>
      </c>
      <c r="D1998" s="2">
        <v>24018</v>
      </c>
      <c r="E1998" s="2" t="s">
        <v>4593</v>
      </c>
      <c r="F1998" s="3">
        <v>29604232101557</v>
      </c>
      <c r="G1998" s="103" t="s">
        <v>34</v>
      </c>
      <c r="H1998" s="2" t="s">
        <v>4594</v>
      </c>
      <c r="I1998" s="2" t="s">
        <v>4315</v>
      </c>
      <c r="J1998" s="4">
        <v>43618</v>
      </c>
      <c r="K1998" s="2" t="s">
        <v>8</v>
      </c>
      <c r="L1998" s="2" t="s">
        <v>12</v>
      </c>
      <c r="M1998" s="2" t="s">
        <v>256</v>
      </c>
      <c r="R1998" s="77">
        <v>3</v>
      </c>
      <c r="S1998" s="77">
        <v>3</v>
      </c>
      <c r="T1998" s="77">
        <v>2.5</v>
      </c>
      <c r="U1998" s="77">
        <v>2.5</v>
      </c>
      <c r="V1998" s="77">
        <v>3</v>
      </c>
      <c r="W1998" s="16" t="s">
        <v>60</v>
      </c>
      <c r="Y1998" s="7">
        <v>43649</v>
      </c>
      <c r="Z1998" s="16" t="s">
        <v>66</v>
      </c>
      <c r="AA1998" s="7">
        <v>43667</v>
      </c>
    </row>
    <row r="1999" spans="1:28">
      <c r="A1999" s="285"/>
      <c r="C1999" s="25">
        <v>133</v>
      </c>
      <c r="D1999" s="2">
        <v>24019</v>
      </c>
      <c r="E1999" s="2" t="s">
        <v>4595</v>
      </c>
      <c r="F1999" s="3">
        <v>29802230104342</v>
      </c>
      <c r="G1999" s="103" t="s">
        <v>4025</v>
      </c>
      <c r="H1999" s="2" t="s">
        <v>4596</v>
      </c>
      <c r="I1999" s="2" t="s">
        <v>4315</v>
      </c>
      <c r="J1999" s="4">
        <v>43618</v>
      </c>
      <c r="K1999" s="2" t="s">
        <v>8</v>
      </c>
      <c r="L1999" s="2" t="s">
        <v>12</v>
      </c>
      <c r="M1999" s="2" t="s">
        <v>438</v>
      </c>
      <c r="R1999" s="77">
        <v>3</v>
      </c>
      <c r="S1999" s="77">
        <v>3</v>
      </c>
      <c r="T1999" s="77">
        <v>2.5</v>
      </c>
      <c r="U1999" s="77">
        <v>2.5</v>
      </c>
      <c r="V1999" s="77">
        <v>3</v>
      </c>
      <c r="W1999" s="16" t="s">
        <v>60</v>
      </c>
      <c r="Y1999" s="45">
        <v>43649</v>
      </c>
      <c r="Z1999" s="16" t="s">
        <v>66</v>
      </c>
      <c r="AA1999" s="7">
        <v>43667</v>
      </c>
      <c r="AB1999" s="103"/>
    </row>
    <row r="2000" spans="1:28">
      <c r="A2000" s="285"/>
      <c r="C2000" s="25">
        <v>133</v>
      </c>
      <c r="D2000" s="2">
        <v>24020</v>
      </c>
      <c r="E2000" s="2" t="s">
        <v>4597</v>
      </c>
      <c r="F2000" s="3">
        <v>29811050104769</v>
      </c>
      <c r="G2000" s="103" t="s">
        <v>4025</v>
      </c>
      <c r="H2000" s="2" t="s">
        <v>4598</v>
      </c>
      <c r="I2000" s="2" t="s">
        <v>4315</v>
      </c>
      <c r="J2000" s="4">
        <v>43618</v>
      </c>
      <c r="K2000" s="2" t="s">
        <v>8</v>
      </c>
      <c r="L2000" s="2" t="s">
        <v>12</v>
      </c>
      <c r="M2000" s="2" t="s">
        <v>4257</v>
      </c>
      <c r="R2000" s="77">
        <v>3</v>
      </c>
      <c r="S2000" s="77">
        <v>3</v>
      </c>
      <c r="T2000" s="77">
        <v>2.5</v>
      </c>
      <c r="U2000" s="77">
        <v>2</v>
      </c>
      <c r="V2000" s="77">
        <v>3</v>
      </c>
      <c r="W2000" s="16" t="s">
        <v>170</v>
      </c>
      <c r="Y2000" s="45">
        <v>43649</v>
      </c>
      <c r="Z2000" s="16" t="s">
        <v>66</v>
      </c>
      <c r="AA2000" s="7">
        <v>43682</v>
      </c>
      <c r="AB2000" s="103"/>
    </row>
    <row r="2001" spans="1:28">
      <c r="A2001" s="285"/>
      <c r="C2001" s="25">
        <v>133</v>
      </c>
      <c r="D2001" s="2">
        <v>24021</v>
      </c>
      <c r="E2001" s="2" t="s">
        <v>4599</v>
      </c>
      <c r="F2001" s="3">
        <v>29912160104765</v>
      </c>
      <c r="G2001" s="103" t="s">
        <v>4025</v>
      </c>
      <c r="H2001" s="2" t="s">
        <v>4600</v>
      </c>
      <c r="I2001" s="2" t="s">
        <v>4315</v>
      </c>
      <c r="J2001" s="4">
        <v>43618</v>
      </c>
      <c r="K2001" s="2" t="s">
        <v>8</v>
      </c>
      <c r="L2001" s="2" t="s">
        <v>12</v>
      </c>
      <c r="M2001" s="2" t="s">
        <v>623</v>
      </c>
      <c r="R2001" s="77">
        <v>3</v>
      </c>
      <c r="S2001" s="77">
        <v>3</v>
      </c>
      <c r="T2001" s="77">
        <v>2</v>
      </c>
      <c r="U2001" s="77">
        <v>2.5</v>
      </c>
      <c r="V2001" s="77">
        <v>3</v>
      </c>
      <c r="W2001" s="16" t="s">
        <v>171</v>
      </c>
      <c r="X2001" s="2" t="s">
        <v>66</v>
      </c>
      <c r="Y2001" s="7">
        <v>43664</v>
      </c>
      <c r="Z2001" s="16" t="s">
        <v>66</v>
      </c>
      <c r="AA2001" s="7">
        <v>43667</v>
      </c>
      <c r="AB2001" s="2" t="s">
        <v>6517</v>
      </c>
    </row>
    <row r="2002" spans="1:28">
      <c r="A2002" s="285"/>
      <c r="C2002" s="25">
        <v>133</v>
      </c>
      <c r="D2002" s="2">
        <v>24022</v>
      </c>
      <c r="E2002" s="2" t="s">
        <v>4601</v>
      </c>
      <c r="F2002" s="3">
        <v>29610120101724</v>
      </c>
      <c r="G2002" s="103" t="s">
        <v>4025</v>
      </c>
      <c r="H2002" s="2" t="s">
        <v>4602</v>
      </c>
      <c r="I2002" s="2" t="s">
        <v>4315</v>
      </c>
      <c r="J2002" s="4">
        <v>43618</v>
      </c>
      <c r="K2002" s="2" t="s">
        <v>8</v>
      </c>
      <c r="L2002" s="2" t="s">
        <v>12</v>
      </c>
      <c r="M2002" s="2" t="s">
        <v>4257</v>
      </c>
      <c r="R2002" s="77">
        <v>3</v>
      </c>
      <c r="S2002" s="77">
        <v>2.5</v>
      </c>
      <c r="T2002" s="77">
        <v>2.5</v>
      </c>
      <c r="U2002" s="77">
        <v>2.5</v>
      </c>
      <c r="V2002" s="77">
        <v>3</v>
      </c>
      <c r="W2002" s="16" t="s">
        <v>170</v>
      </c>
      <c r="Y2002" s="45">
        <v>43649</v>
      </c>
      <c r="Z2002" s="16" t="s">
        <v>66</v>
      </c>
      <c r="AA2002" s="7">
        <v>43682</v>
      </c>
      <c r="AB2002" s="103"/>
    </row>
    <row r="2003" spans="1:28">
      <c r="A2003" s="285"/>
      <c r="C2003" s="25">
        <v>133</v>
      </c>
      <c r="D2003" s="2">
        <v>24023</v>
      </c>
      <c r="E2003" s="2" t="s">
        <v>4603</v>
      </c>
      <c r="F2003" s="3">
        <v>28602241402555</v>
      </c>
      <c r="G2003" s="103" t="s">
        <v>34</v>
      </c>
      <c r="H2003" s="2" t="s">
        <v>4604</v>
      </c>
      <c r="I2003" s="2" t="s">
        <v>4315</v>
      </c>
      <c r="J2003" s="4">
        <v>43618</v>
      </c>
      <c r="K2003" s="2" t="s">
        <v>8</v>
      </c>
      <c r="L2003" s="2" t="s">
        <v>12</v>
      </c>
      <c r="M2003" s="2" t="s">
        <v>697</v>
      </c>
      <c r="R2003" s="77">
        <v>3</v>
      </c>
      <c r="S2003" s="77">
        <v>3</v>
      </c>
      <c r="T2003" s="77">
        <v>2</v>
      </c>
      <c r="U2003" s="77">
        <v>2.5</v>
      </c>
      <c r="V2003" s="77">
        <v>3</v>
      </c>
      <c r="W2003" s="16" t="s">
        <v>171</v>
      </c>
      <c r="Y2003" s="45">
        <v>43649</v>
      </c>
      <c r="Z2003" s="16" t="s">
        <v>66</v>
      </c>
      <c r="AA2003" s="45">
        <v>43667</v>
      </c>
    </row>
    <row r="2004" spans="1:28">
      <c r="A2004" s="285"/>
      <c r="C2004" s="25">
        <v>133</v>
      </c>
      <c r="D2004" s="2">
        <v>24024</v>
      </c>
      <c r="E2004" s="2" t="s">
        <v>4605</v>
      </c>
      <c r="F2004" s="3">
        <v>29808162102741</v>
      </c>
      <c r="G2004" s="103" t="s">
        <v>4025</v>
      </c>
      <c r="H2004" s="2" t="s">
        <v>4606</v>
      </c>
      <c r="I2004" s="2" t="s">
        <v>4315</v>
      </c>
      <c r="J2004" s="4">
        <v>43618</v>
      </c>
      <c r="K2004" s="2" t="s">
        <v>8</v>
      </c>
      <c r="L2004" s="2" t="s">
        <v>12</v>
      </c>
      <c r="M2004" s="2" t="s">
        <v>4607</v>
      </c>
      <c r="R2004" s="77">
        <v>3</v>
      </c>
      <c r="S2004" s="77">
        <v>3</v>
      </c>
      <c r="T2004" s="77">
        <v>2.5</v>
      </c>
      <c r="U2004" s="77">
        <v>3</v>
      </c>
      <c r="V2004" s="77">
        <v>3</v>
      </c>
      <c r="W2004" s="16" t="s">
        <v>60</v>
      </c>
      <c r="Y2004" s="45">
        <v>43649</v>
      </c>
      <c r="Z2004" s="16" t="s">
        <v>66</v>
      </c>
      <c r="AA2004" s="45">
        <v>43667</v>
      </c>
      <c r="AB2004" s="103"/>
    </row>
    <row r="2005" spans="1:28">
      <c r="A2005" s="285"/>
      <c r="C2005" s="25">
        <v>133</v>
      </c>
      <c r="D2005" s="2">
        <v>24025</v>
      </c>
      <c r="E2005" s="2" t="s">
        <v>4608</v>
      </c>
      <c r="F2005" s="3">
        <v>30009200107502</v>
      </c>
      <c r="G2005" s="103" t="s">
        <v>4025</v>
      </c>
      <c r="H2005" s="2" t="s">
        <v>4609</v>
      </c>
      <c r="I2005" s="2" t="s">
        <v>4315</v>
      </c>
      <c r="J2005" s="4">
        <v>43618</v>
      </c>
      <c r="K2005" s="2" t="s">
        <v>8</v>
      </c>
      <c r="L2005" s="2" t="s">
        <v>12</v>
      </c>
      <c r="M2005" s="2" t="s">
        <v>103</v>
      </c>
      <c r="R2005" s="77">
        <v>3</v>
      </c>
      <c r="S2005" s="77">
        <v>3</v>
      </c>
      <c r="T2005" s="77">
        <v>3</v>
      </c>
      <c r="U2005" s="77">
        <v>2.5</v>
      </c>
      <c r="V2005" s="77">
        <v>3</v>
      </c>
      <c r="W2005" s="16" t="s">
        <v>60</v>
      </c>
      <c r="Y2005" s="45">
        <v>43649</v>
      </c>
      <c r="Z2005" s="16" t="s">
        <v>66</v>
      </c>
      <c r="AA2005" s="7">
        <v>43682</v>
      </c>
      <c r="AB2005" s="103"/>
    </row>
    <row r="2006" spans="1:28">
      <c r="A2006" s="285"/>
      <c r="C2006" s="25">
        <v>133</v>
      </c>
      <c r="D2006" s="2">
        <v>24026</v>
      </c>
      <c r="E2006" s="2" t="s">
        <v>4610</v>
      </c>
      <c r="F2006" s="3">
        <v>28902268800556</v>
      </c>
      <c r="G2006" s="103" t="s">
        <v>34</v>
      </c>
      <c r="H2006" s="2" t="s">
        <v>4611</v>
      </c>
      <c r="I2006" s="2" t="s">
        <v>4315</v>
      </c>
      <c r="J2006" s="4">
        <v>43618</v>
      </c>
      <c r="K2006" s="2" t="s">
        <v>8</v>
      </c>
      <c r="L2006" s="2" t="s">
        <v>12</v>
      </c>
      <c r="M2006" s="2" t="s">
        <v>3696</v>
      </c>
      <c r="R2006" s="77">
        <v>3</v>
      </c>
      <c r="S2006" s="77">
        <v>2</v>
      </c>
      <c r="T2006" s="77">
        <v>2</v>
      </c>
      <c r="U2006" s="77">
        <v>2</v>
      </c>
      <c r="V2006" s="77">
        <v>3</v>
      </c>
      <c r="W2006" s="16" t="s">
        <v>3321</v>
      </c>
      <c r="X2006" s="2" t="s">
        <v>66</v>
      </c>
      <c r="Y2006" s="7">
        <v>43664</v>
      </c>
      <c r="Z2006" s="16" t="s">
        <v>66</v>
      </c>
      <c r="AA2006" s="7">
        <v>43667</v>
      </c>
      <c r="AB2006" s="2" t="s">
        <v>4821</v>
      </c>
    </row>
    <row r="2007" spans="1:28">
      <c r="A2007" s="285"/>
      <c r="C2007" s="25">
        <v>133</v>
      </c>
      <c r="D2007" s="2">
        <v>24027</v>
      </c>
      <c r="E2007" s="2" t="s">
        <v>4612</v>
      </c>
      <c r="F2007" s="3">
        <v>29605150101679</v>
      </c>
      <c r="G2007" s="103" t="s">
        <v>34</v>
      </c>
      <c r="H2007" s="2" t="s">
        <v>4613</v>
      </c>
      <c r="I2007" s="2" t="s">
        <v>4315</v>
      </c>
      <c r="J2007" s="4">
        <v>43618</v>
      </c>
      <c r="K2007" s="2" t="s">
        <v>8</v>
      </c>
      <c r="L2007" s="2" t="s">
        <v>12</v>
      </c>
      <c r="M2007" s="2" t="s">
        <v>4257</v>
      </c>
      <c r="R2007" s="77">
        <v>3</v>
      </c>
      <c r="S2007" s="77">
        <v>2.5</v>
      </c>
      <c r="T2007" s="77">
        <v>2.5</v>
      </c>
      <c r="U2007" s="77">
        <v>2</v>
      </c>
      <c r="V2007" s="77">
        <v>3</v>
      </c>
      <c r="W2007" s="16" t="s">
        <v>170</v>
      </c>
      <c r="X2007" s="2" t="s">
        <v>66</v>
      </c>
      <c r="Y2007" s="7">
        <v>43664</v>
      </c>
      <c r="Z2007" s="16" t="s">
        <v>66</v>
      </c>
      <c r="AA2007" s="7">
        <v>43683</v>
      </c>
    </row>
    <row r="2008" spans="1:28">
      <c r="A2008" s="285"/>
      <c r="C2008" s="25">
        <v>133</v>
      </c>
      <c r="D2008" s="2">
        <v>24028</v>
      </c>
      <c r="E2008" s="2" t="s">
        <v>4614</v>
      </c>
      <c r="F2008" s="3">
        <v>30004190104346</v>
      </c>
      <c r="G2008" s="103" t="s">
        <v>4025</v>
      </c>
      <c r="H2008" s="2" t="s">
        <v>4615</v>
      </c>
      <c r="I2008" s="2" t="s">
        <v>4315</v>
      </c>
      <c r="J2008" s="4">
        <v>43618</v>
      </c>
      <c r="K2008" s="2" t="s">
        <v>8</v>
      </c>
      <c r="L2008" s="2" t="s">
        <v>12</v>
      </c>
      <c r="M2008" s="2" t="s">
        <v>623</v>
      </c>
      <c r="R2008" s="77">
        <v>3</v>
      </c>
      <c r="S2008" s="77">
        <v>3</v>
      </c>
      <c r="T2008" s="77">
        <v>2.5</v>
      </c>
      <c r="U2008" s="77">
        <v>2.5</v>
      </c>
      <c r="V2008" s="77">
        <v>3</v>
      </c>
      <c r="W2008" s="16" t="s">
        <v>60</v>
      </c>
      <c r="X2008" s="2" t="s">
        <v>66</v>
      </c>
      <c r="Y2008" s="7">
        <v>43664</v>
      </c>
      <c r="Z2008" s="16" t="s">
        <v>66</v>
      </c>
      <c r="AA2008" s="7">
        <v>43682</v>
      </c>
    </row>
    <row r="2009" spans="1:28" ht="15" customHeight="1">
      <c r="A2009" s="285"/>
      <c r="C2009" s="25">
        <v>133</v>
      </c>
      <c r="D2009" s="103">
        <v>23772</v>
      </c>
      <c r="E2009" s="103" t="s">
        <v>4540</v>
      </c>
      <c r="F2009" s="3">
        <v>29410262100939</v>
      </c>
      <c r="G2009" s="103" t="s">
        <v>34</v>
      </c>
      <c r="H2009" s="103" t="s">
        <v>4541</v>
      </c>
      <c r="R2009" s="77">
        <v>3</v>
      </c>
      <c r="S2009" s="77">
        <v>3</v>
      </c>
      <c r="T2009" s="77">
        <v>2</v>
      </c>
      <c r="U2009" s="77">
        <v>2</v>
      </c>
      <c r="V2009" s="77">
        <v>3</v>
      </c>
      <c r="W2009" s="16" t="s">
        <v>62</v>
      </c>
      <c r="Y2009" s="7">
        <v>43649</v>
      </c>
      <c r="Z2009" s="16" t="s">
        <v>66</v>
      </c>
      <c r="AA2009" s="7">
        <v>43655</v>
      </c>
    </row>
    <row r="2010" spans="1:28" ht="15" customHeight="1">
      <c r="A2010" s="285"/>
      <c r="C2010" s="25">
        <v>133</v>
      </c>
      <c r="D2010" s="103">
        <v>23770</v>
      </c>
      <c r="E2010" s="103" t="s">
        <v>4536</v>
      </c>
      <c r="F2010" s="3">
        <v>29609231202866</v>
      </c>
      <c r="G2010" s="103" t="s">
        <v>34</v>
      </c>
      <c r="H2010" s="103" t="s">
        <v>4537</v>
      </c>
      <c r="R2010" s="77">
        <v>3</v>
      </c>
      <c r="S2010" s="77">
        <v>3</v>
      </c>
      <c r="T2010" s="77">
        <v>2</v>
      </c>
      <c r="U2010" s="77">
        <v>2</v>
      </c>
      <c r="V2010" s="77">
        <v>3</v>
      </c>
      <c r="W2010" s="16" t="s">
        <v>62</v>
      </c>
      <c r="Y2010" s="7">
        <v>43649</v>
      </c>
      <c r="Z2010" s="16" t="s">
        <v>67</v>
      </c>
      <c r="AB2010" s="2" t="s">
        <v>5101</v>
      </c>
    </row>
    <row r="2011" spans="1:28" ht="15" customHeight="1">
      <c r="A2011" s="285"/>
      <c r="C2011" s="25">
        <v>133</v>
      </c>
      <c r="D2011" s="2">
        <v>24195</v>
      </c>
      <c r="E2011" s="2" t="s">
        <v>4617</v>
      </c>
      <c r="F2011" s="3">
        <v>29810222100764</v>
      </c>
      <c r="G2011" s="2" t="s">
        <v>4025</v>
      </c>
      <c r="H2011" s="8" t="s">
        <v>4619</v>
      </c>
      <c r="I2011" s="2" t="s">
        <v>4315</v>
      </c>
      <c r="J2011" s="4">
        <v>43618</v>
      </c>
      <c r="K2011" s="2" t="s">
        <v>8</v>
      </c>
      <c r="L2011" s="2" t="s">
        <v>12</v>
      </c>
      <c r="M2011" s="2" t="s">
        <v>4257</v>
      </c>
      <c r="R2011" s="77">
        <v>3</v>
      </c>
      <c r="S2011" s="77">
        <v>3</v>
      </c>
      <c r="T2011" s="77">
        <v>2</v>
      </c>
      <c r="U2011" s="77">
        <v>2</v>
      </c>
      <c r="V2011" s="77">
        <v>3</v>
      </c>
      <c r="W2011" s="16" t="s">
        <v>62</v>
      </c>
      <c r="Y2011" s="7">
        <v>43649</v>
      </c>
      <c r="Z2011" s="16" t="s">
        <v>67</v>
      </c>
      <c r="AB2011" s="2" t="s">
        <v>5094</v>
      </c>
    </row>
    <row r="2012" spans="1:28" ht="15.75" customHeight="1" thickBot="1">
      <c r="A2012" s="286"/>
      <c r="C2012" s="28">
        <v>133</v>
      </c>
      <c r="D2012" s="28">
        <v>24196</v>
      </c>
      <c r="E2012" s="28" t="s">
        <v>4618</v>
      </c>
      <c r="F2012" s="29">
        <v>29909280108305</v>
      </c>
      <c r="G2012" s="28" t="s">
        <v>4025</v>
      </c>
      <c r="H2012" s="78" t="s">
        <v>4620</v>
      </c>
      <c r="I2012" s="28" t="s">
        <v>4315</v>
      </c>
      <c r="J2012" s="30">
        <v>43618</v>
      </c>
      <c r="K2012" s="28" t="s">
        <v>8</v>
      </c>
      <c r="L2012" s="28" t="s">
        <v>12</v>
      </c>
      <c r="M2012" s="28" t="s">
        <v>103</v>
      </c>
      <c r="N2012" s="28"/>
      <c r="O2012" s="226"/>
      <c r="P2012" s="28"/>
      <c r="Q2012" s="226"/>
      <c r="R2012" s="37">
        <v>3</v>
      </c>
      <c r="S2012" s="37">
        <v>3</v>
      </c>
      <c r="T2012" s="37">
        <v>2.5</v>
      </c>
      <c r="U2012" s="37">
        <v>2</v>
      </c>
      <c r="V2012" s="37">
        <v>3</v>
      </c>
      <c r="W2012" s="28" t="s">
        <v>170</v>
      </c>
      <c r="X2012" s="28"/>
      <c r="Y2012" s="30">
        <v>43649</v>
      </c>
      <c r="Z2012" s="28" t="s">
        <v>67</v>
      </c>
      <c r="AA2012" s="30"/>
      <c r="AB2012" s="28" t="s">
        <v>4935</v>
      </c>
    </row>
    <row r="2013" spans="1:28" ht="15.75" customHeight="1" thickTop="1">
      <c r="A2013" s="284" t="s">
        <v>4077</v>
      </c>
      <c r="C2013" s="25">
        <v>134</v>
      </c>
      <c r="D2013" s="25">
        <v>24197</v>
      </c>
      <c r="E2013" s="25" t="s">
        <v>4622</v>
      </c>
      <c r="F2013" s="26">
        <v>29705038800623</v>
      </c>
      <c r="G2013" s="25" t="s">
        <v>129</v>
      </c>
      <c r="H2013" s="34" t="s">
        <v>4638</v>
      </c>
      <c r="I2013" s="25" t="s">
        <v>4315</v>
      </c>
      <c r="J2013" s="27">
        <v>43626</v>
      </c>
      <c r="K2013" s="25" t="s">
        <v>8</v>
      </c>
      <c r="L2013" s="25" t="s">
        <v>12</v>
      </c>
      <c r="M2013" s="25" t="s">
        <v>4623</v>
      </c>
      <c r="N2013" s="25"/>
      <c r="O2013" s="224"/>
      <c r="P2013" s="25"/>
      <c r="Q2013" s="224"/>
      <c r="R2013" s="77">
        <v>3</v>
      </c>
      <c r="S2013" s="77">
        <v>2</v>
      </c>
      <c r="T2013" s="77">
        <v>2.5</v>
      </c>
      <c r="U2013" s="77">
        <v>2</v>
      </c>
      <c r="V2013" s="77">
        <v>3</v>
      </c>
      <c r="W2013" s="25" t="s">
        <v>62</v>
      </c>
      <c r="X2013" s="25" t="s">
        <v>66</v>
      </c>
      <c r="Y2013" s="27">
        <v>43683</v>
      </c>
      <c r="Z2013" s="25" t="s">
        <v>66</v>
      </c>
      <c r="AA2013" s="27">
        <v>43695</v>
      </c>
      <c r="AB2013" s="25" t="s">
        <v>3967</v>
      </c>
    </row>
    <row r="2014" spans="1:28">
      <c r="A2014" s="285"/>
      <c r="C2014" s="25">
        <v>134</v>
      </c>
      <c r="D2014" s="2">
        <v>24198</v>
      </c>
      <c r="E2014" s="2" t="s">
        <v>4624</v>
      </c>
      <c r="F2014" s="3">
        <v>29306072101058</v>
      </c>
      <c r="G2014" s="25" t="s">
        <v>129</v>
      </c>
      <c r="H2014" s="8" t="s">
        <v>4639</v>
      </c>
      <c r="I2014" s="2" t="s">
        <v>4315</v>
      </c>
      <c r="J2014" s="4">
        <v>43626</v>
      </c>
      <c r="K2014" s="2" t="s">
        <v>8</v>
      </c>
      <c r="L2014" s="2" t="s">
        <v>12</v>
      </c>
      <c r="M2014" s="2" t="s">
        <v>4432</v>
      </c>
      <c r="R2014" s="77">
        <v>3</v>
      </c>
      <c r="S2014" s="77">
        <v>2</v>
      </c>
      <c r="T2014" s="77">
        <v>2</v>
      </c>
      <c r="U2014" s="77">
        <v>2</v>
      </c>
      <c r="V2014" s="77">
        <v>3</v>
      </c>
      <c r="W2014" s="16" t="s">
        <v>62</v>
      </c>
      <c r="Y2014" s="7">
        <v>43654</v>
      </c>
      <c r="Z2014" s="16" t="s">
        <v>66</v>
      </c>
      <c r="AA2014" s="7">
        <v>43655</v>
      </c>
    </row>
    <row r="2015" spans="1:28">
      <c r="A2015" s="285"/>
      <c r="C2015" s="25">
        <v>134</v>
      </c>
      <c r="D2015" s="2">
        <v>24199</v>
      </c>
      <c r="E2015" s="103" t="s">
        <v>4625</v>
      </c>
      <c r="F2015" s="3" t="s">
        <v>4626</v>
      </c>
      <c r="G2015" s="2" t="s">
        <v>129</v>
      </c>
      <c r="H2015" s="8" t="s">
        <v>4640</v>
      </c>
      <c r="I2015" s="2" t="s">
        <v>4315</v>
      </c>
      <c r="J2015" s="4">
        <v>43627</v>
      </c>
      <c r="K2015" s="2" t="s">
        <v>8</v>
      </c>
      <c r="L2015" s="2" t="s">
        <v>12</v>
      </c>
      <c r="M2015" s="2" t="s">
        <v>4493</v>
      </c>
      <c r="R2015" s="77">
        <v>3</v>
      </c>
      <c r="S2015" s="77">
        <v>2.5</v>
      </c>
      <c r="T2015" s="77">
        <v>2</v>
      </c>
      <c r="U2015" s="77">
        <v>2.5</v>
      </c>
      <c r="V2015" s="77">
        <v>3</v>
      </c>
      <c r="W2015" s="16" t="s">
        <v>171</v>
      </c>
      <c r="Y2015" s="45">
        <v>43654</v>
      </c>
      <c r="Z2015" s="16" t="s">
        <v>66</v>
      </c>
      <c r="AA2015" s="45">
        <v>43667</v>
      </c>
    </row>
    <row r="2016" spans="1:28">
      <c r="A2016" s="285"/>
      <c r="C2016" s="25">
        <v>134</v>
      </c>
      <c r="D2016" s="2">
        <v>24200</v>
      </c>
      <c r="E2016" s="2" t="s">
        <v>1558</v>
      </c>
      <c r="F2016" s="3">
        <v>29410010113892</v>
      </c>
      <c r="G2016" s="2" t="s">
        <v>129</v>
      </c>
      <c r="H2016" s="8" t="s">
        <v>4641</v>
      </c>
      <c r="I2016" s="2" t="s">
        <v>4315</v>
      </c>
      <c r="J2016" s="4">
        <v>43626</v>
      </c>
      <c r="K2016" s="2" t="s">
        <v>8</v>
      </c>
      <c r="L2016" s="2" t="s">
        <v>12</v>
      </c>
      <c r="M2016" s="2" t="s">
        <v>4627</v>
      </c>
      <c r="R2016" s="77">
        <v>3</v>
      </c>
      <c r="S2016" s="77">
        <v>2</v>
      </c>
      <c r="T2016" s="77">
        <v>2</v>
      </c>
      <c r="U2016" s="77">
        <v>2</v>
      </c>
      <c r="V2016" s="77">
        <v>3</v>
      </c>
      <c r="W2016" s="16" t="s">
        <v>62</v>
      </c>
      <c r="Y2016" s="45">
        <v>43654</v>
      </c>
      <c r="Z2016" s="16" t="s">
        <v>66</v>
      </c>
      <c r="AA2016" s="7">
        <v>43655</v>
      </c>
    </row>
    <row r="2017" spans="1:28" ht="15" customHeight="1">
      <c r="A2017" s="285"/>
      <c r="C2017" s="25">
        <v>134</v>
      </c>
      <c r="D2017" s="2">
        <v>24201</v>
      </c>
      <c r="E2017" s="2" t="s">
        <v>4628</v>
      </c>
      <c r="F2017" s="3">
        <v>29510252501794</v>
      </c>
      <c r="G2017" s="2" t="s">
        <v>129</v>
      </c>
      <c r="H2017" s="8" t="s">
        <v>4642</v>
      </c>
      <c r="I2017" s="2" t="s">
        <v>4315</v>
      </c>
      <c r="J2017" s="4">
        <v>43626</v>
      </c>
      <c r="K2017" s="2" t="s">
        <v>8</v>
      </c>
      <c r="L2017" s="2" t="s">
        <v>12</v>
      </c>
      <c r="M2017" s="2" t="s">
        <v>4629</v>
      </c>
      <c r="R2017" s="77">
        <v>3</v>
      </c>
      <c r="S2017" s="77">
        <v>2.5</v>
      </c>
      <c r="T2017" s="77">
        <v>2.5</v>
      </c>
      <c r="U2017" s="77">
        <v>2.5</v>
      </c>
      <c r="V2017" s="77">
        <v>3</v>
      </c>
      <c r="W2017" s="16" t="s">
        <v>61</v>
      </c>
      <c r="X2017" s="2" t="s">
        <v>66</v>
      </c>
      <c r="Y2017" s="45">
        <v>43683</v>
      </c>
      <c r="Z2017" s="16" t="s">
        <v>66</v>
      </c>
      <c r="AA2017" s="7">
        <v>43703</v>
      </c>
    </row>
    <row r="2018" spans="1:28" ht="15" customHeight="1">
      <c r="A2018" s="285"/>
      <c r="C2018" s="25">
        <v>134</v>
      </c>
      <c r="D2018" s="2">
        <v>24202</v>
      </c>
      <c r="E2018" s="2" t="s">
        <v>4630</v>
      </c>
      <c r="F2018" s="3">
        <v>29807070103966</v>
      </c>
      <c r="G2018" s="2" t="s">
        <v>3970</v>
      </c>
      <c r="H2018" s="8" t="s">
        <v>4643</v>
      </c>
      <c r="I2018" s="2" t="s">
        <v>4315</v>
      </c>
      <c r="J2018" s="4">
        <v>43626</v>
      </c>
      <c r="K2018" s="2" t="s">
        <v>8</v>
      </c>
      <c r="L2018" s="2" t="s">
        <v>12</v>
      </c>
      <c r="M2018" s="2" t="s">
        <v>696</v>
      </c>
      <c r="W2018" s="16" t="s">
        <v>64</v>
      </c>
      <c r="Z2018" s="16" t="s">
        <v>67</v>
      </c>
    </row>
    <row r="2019" spans="1:28">
      <c r="A2019" s="285"/>
      <c r="C2019" s="25">
        <v>134</v>
      </c>
      <c r="D2019" s="2">
        <v>24203</v>
      </c>
      <c r="E2019" s="2" t="s">
        <v>4631</v>
      </c>
      <c r="F2019" s="3">
        <v>29701302100451</v>
      </c>
      <c r="G2019" s="2" t="s">
        <v>3970</v>
      </c>
      <c r="H2019" s="8" t="s">
        <v>4644</v>
      </c>
      <c r="I2019" s="2" t="s">
        <v>4315</v>
      </c>
      <c r="J2019" s="4">
        <v>43626</v>
      </c>
      <c r="K2019" s="2" t="s">
        <v>8</v>
      </c>
      <c r="L2019" s="2" t="s">
        <v>12</v>
      </c>
      <c r="M2019" s="2" t="s">
        <v>4257</v>
      </c>
      <c r="R2019" s="77">
        <v>3</v>
      </c>
      <c r="S2019" s="77">
        <v>3</v>
      </c>
      <c r="T2019" s="77">
        <v>2.5</v>
      </c>
      <c r="U2019" s="77">
        <v>2</v>
      </c>
      <c r="V2019" s="77">
        <v>3</v>
      </c>
      <c r="W2019" s="16" t="s">
        <v>170</v>
      </c>
      <c r="Y2019" s="7">
        <v>43654</v>
      </c>
      <c r="Z2019" s="16" t="s">
        <v>66</v>
      </c>
      <c r="AA2019" s="7">
        <v>43667</v>
      </c>
      <c r="AB2019" s="103"/>
    </row>
    <row r="2020" spans="1:28">
      <c r="A2020" s="285"/>
      <c r="C2020" s="25">
        <v>134</v>
      </c>
      <c r="D2020" s="2">
        <v>24204</v>
      </c>
      <c r="E2020" s="2" t="s">
        <v>4632</v>
      </c>
      <c r="F2020" s="3">
        <v>30006278800418</v>
      </c>
      <c r="G2020" s="2" t="s">
        <v>4025</v>
      </c>
      <c r="H2020" s="8" t="s">
        <v>4645</v>
      </c>
      <c r="I2020" s="2" t="s">
        <v>4315</v>
      </c>
      <c r="J2020" s="4">
        <v>43627</v>
      </c>
      <c r="K2020" s="2" t="s">
        <v>8</v>
      </c>
      <c r="L2020" s="2" t="s">
        <v>12</v>
      </c>
      <c r="M2020" s="2" t="s">
        <v>4257</v>
      </c>
      <c r="R2020" s="77">
        <v>3</v>
      </c>
      <c r="S2020" s="77">
        <v>2.5</v>
      </c>
      <c r="T2020" s="77">
        <v>2</v>
      </c>
      <c r="U2020" s="77">
        <v>2</v>
      </c>
      <c r="V2020" s="77">
        <v>3</v>
      </c>
      <c r="W2020" s="16" t="s">
        <v>62</v>
      </c>
      <c r="Y2020" s="7">
        <v>43654</v>
      </c>
      <c r="Z2020" s="16" t="s">
        <v>66</v>
      </c>
      <c r="AA2020" s="7">
        <v>43655</v>
      </c>
    </row>
    <row r="2021" spans="1:28" ht="15" customHeight="1">
      <c r="A2021" s="285"/>
      <c r="C2021" s="25">
        <v>134</v>
      </c>
      <c r="D2021" s="2">
        <v>24205</v>
      </c>
      <c r="E2021" s="2" t="s">
        <v>4633</v>
      </c>
      <c r="F2021" s="3">
        <v>29811271200045</v>
      </c>
      <c r="G2021" s="2" t="s">
        <v>4025</v>
      </c>
      <c r="H2021" s="8" t="s">
        <v>4646</v>
      </c>
      <c r="I2021" s="2" t="s">
        <v>4315</v>
      </c>
      <c r="J2021" s="4">
        <v>43626</v>
      </c>
      <c r="K2021" s="2" t="s">
        <v>8</v>
      </c>
      <c r="L2021" s="2" t="s">
        <v>12</v>
      </c>
      <c r="M2021" s="2" t="s">
        <v>4257</v>
      </c>
      <c r="R2021" s="77">
        <v>3</v>
      </c>
      <c r="S2021" s="77">
        <v>2.5</v>
      </c>
      <c r="T2021" s="77">
        <v>2</v>
      </c>
      <c r="U2021" s="77">
        <v>2.5</v>
      </c>
      <c r="V2021" s="77">
        <v>3</v>
      </c>
      <c r="W2021" s="16" t="s">
        <v>171</v>
      </c>
      <c r="Y2021" s="7">
        <v>43654</v>
      </c>
      <c r="Z2021" s="16" t="s">
        <v>66</v>
      </c>
      <c r="AA2021" s="7">
        <v>43703</v>
      </c>
    </row>
    <row r="2022" spans="1:28">
      <c r="A2022" s="285"/>
      <c r="C2022" s="25">
        <v>134</v>
      </c>
      <c r="D2022" s="2">
        <v>24206</v>
      </c>
      <c r="E2022" s="2" t="s">
        <v>4634</v>
      </c>
      <c r="F2022" s="3">
        <v>29703061400931</v>
      </c>
      <c r="G2022" s="2" t="s">
        <v>129</v>
      </c>
      <c r="H2022" s="8" t="s">
        <v>4647</v>
      </c>
      <c r="I2022" s="2" t="s">
        <v>4315</v>
      </c>
      <c r="J2022" s="4">
        <v>43626</v>
      </c>
      <c r="K2022" s="2" t="s">
        <v>8</v>
      </c>
      <c r="L2022" s="2" t="s">
        <v>12</v>
      </c>
      <c r="M2022" s="2" t="s">
        <v>623</v>
      </c>
      <c r="R2022" s="77">
        <v>3</v>
      </c>
      <c r="S2022" s="77">
        <v>2.5</v>
      </c>
      <c r="T2022" s="77">
        <v>2.5</v>
      </c>
      <c r="U2022" s="77">
        <v>2.5</v>
      </c>
      <c r="V2022" s="77">
        <v>3</v>
      </c>
      <c r="W2022" s="16" t="s">
        <v>61</v>
      </c>
      <c r="Y2022" s="7">
        <v>43654</v>
      </c>
      <c r="Z2022" s="16" t="s">
        <v>66</v>
      </c>
      <c r="AA2022" s="45">
        <v>43667</v>
      </c>
    </row>
    <row r="2023" spans="1:28">
      <c r="A2023" s="285"/>
      <c r="C2023" s="25">
        <v>134</v>
      </c>
      <c r="D2023" s="2">
        <v>24207</v>
      </c>
      <c r="E2023" s="2" t="s">
        <v>4635</v>
      </c>
      <c r="F2023" s="3">
        <v>29809010108376</v>
      </c>
      <c r="G2023" s="2" t="s">
        <v>4025</v>
      </c>
      <c r="H2023" s="8" t="s">
        <v>4648</v>
      </c>
      <c r="I2023" s="2" t="s">
        <v>4315</v>
      </c>
      <c r="J2023" s="4">
        <v>43627</v>
      </c>
      <c r="K2023" s="2" t="s">
        <v>8</v>
      </c>
      <c r="L2023" s="2" t="s">
        <v>12</v>
      </c>
      <c r="R2023" s="77">
        <v>3</v>
      </c>
      <c r="S2023" s="77">
        <v>3</v>
      </c>
      <c r="T2023" s="77">
        <v>2.5</v>
      </c>
      <c r="U2023" s="77">
        <v>2.5</v>
      </c>
      <c r="V2023" s="77">
        <v>3</v>
      </c>
      <c r="W2023" s="16" t="s">
        <v>170</v>
      </c>
      <c r="Y2023" s="7">
        <v>43654</v>
      </c>
      <c r="Z2023" s="16" t="s">
        <v>66</v>
      </c>
      <c r="AA2023" s="7">
        <v>43682</v>
      </c>
      <c r="AB2023" s="103"/>
    </row>
    <row r="2024" spans="1:28">
      <c r="A2024" s="285"/>
      <c r="C2024" s="25">
        <v>134</v>
      </c>
      <c r="D2024" s="2">
        <v>24208</v>
      </c>
      <c r="E2024" s="2" t="s">
        <v>4636</v>
      </c>
      <c r="F2024" s="3">
        <v>29603150105213</v>
      </c>
      <c r="G2024" s="2" t="s">
        <v>4025</v>
      </c>
      <c r="H2024" s="8" t="s">
        <v>4649</v>
      </c>
      <c r="I2024" s="2" t="s">
        <v>4315</v>
      </c>
      <c r="J2024" s="4">
        <v>43626</v>
      </c>
      <c r="K2024" s="2" t="s">
        <v>8</v>
      </c>
      <c r="L2024" s="2" t="s">
        <v>12</v>
      </c>
      <c r="M2024" s="2" t="s">
        <v>4432</v>
      </c>
      <c r="R2024" s="77">
        <v>3</v>
      </c>
      <c r="S2024" s="77">
        <v>2.5</v>
      </c>
      <c r="T2024" s="77">
        <v>2</v>
      </c>
      <c r="U2024" s="77">
        <v>2.5</v>
      </c>
      <c r="V2024" s="77">
        <v>3</v>
      </c>
      <c r="W2024" s="16" t="s">
        <v>171</v>
      </c>
      <c r="Y2024" s="7">
        <v>43654</v>
      </c>
      <c r="Z2024" s="16" t="s">
        <v>66</v>
      </c>
      <c r="AA2024" s="45">
        <v>43667</v>
      </c>
    </row>
    <row r="2025" spans="1:28" ht="15" customHeight="1">
      <c r="A2025" s="285"/>
      <c r="C2025" s="25">
        <v>134</v>
      </c>
      <c r="D2025" s="2">
        <v>24209</v>
      </c>
      <c r="E2025" s="2" t="s">
        <v>4637</v>
      </c>
      <c r="F2025" s="3">
        <v>29502270100036</v>
      </c>
      <c r="G2025" s="2" t="s">
        <v>129</v>
      </c>
      <c r="H2025" s="8" t="s">
        <v>4650</v>
      </c>
      <c r="I2025" s="2" t="s">
        <v>4315</v>
      </c>
      <c r="J2025" s="4">
        <v>43626</v>
      </c>
      <c r="K2025" s="2" t="s">
        <v>8</v>
      </c>
      <c r="L2025" s="2" t="s">
        <v>12</v>
      </c>
      <c r="M2025" s="2" t="s">
        <v>551</v>
      </c>
      <c r="W2025" s="16" t="s">
        <v>63</v>
      </c>
      <c r="Z2025" s="16" t="s">
        <v>67</v>
      </c>
    </row>
    <row r="2026" spans="1:28" ht="15" customHeight="1">
      <c r="A2026" s="285"/>
      <c r="C2026" s="25">
        <v>134</v>
      </c>
      <c r="D2026" s="2">
        <v>24210</v>
      </c>
      <c r="E2026" s="2" t="s">
        <v>4651</v>
      </c>
      <c r="F2026" s="3">
        <v>29907101600496</v>
      </c>
      <c r="G2026" s="2" t="s">
        <v>4652</v>
      </c>
      <c r="H2026" s="2" t="s">
        <v>4653</v>
      </c>
      <c r="I2026" s="2" t="s">
        <v>4315</v>
      </c>
      <c r="J2026" s="4">
        <v>43626</v>
      </c>
      <c r="K2026" s="2" t="s">
        <v>8</v>
      </c>
      <c r="L2026" s="2" t="s">
        <v>12</v>
      </c>
      <c r="M2026" s="2" t="s">
        <v>489</v>
      </c>
      <c r="R2026" s="77">
        <v>3</v>
      </c>
      <c r="S2026" s="77">
        <v>2.5</v>
      </c>
      <c r="T2026" s="77">
        <v>2.5</v>
      </c>
      <c r="U2026" s="77">
        <v>2</v>
      </c>
      <c r="V2026" s="77">
        <v>3</v>
      </c>
      <c r="W2026" s="16" t="s">
        <v>170</v>
      </c>
      <c r="X2026" s="2" t="s">
        <v>66</v>
      </c>
      <c r="Y2026" s="7">
        <v>43683</v>
      </c>
      <c r="Z2026" s="16" t="s">
        <v>66</v>
      </c>
      <c r="AA2026" s="7">
        <v>43683</v>
      </c>
    </row>
    <row r="2027" spans="1:28" ht="15.75" thickBot="1">
      <c r="A2027" s="286"/>
      <c r="C2027" s="28">
        <v>134</v>
      </c>
      <c r="D2027" s="28">
        <v>24211</v>
      </c>
      <c r="E2027" s="28" t="s">
        <v>4654</v>
      </c>
      <c r="F2027" s="29" t="s">
        <v>4655</v>
      </c>
      <c r="G2027" s="28" t="s">
        <v>4652</v>
      </c>
      <c r="H2027" s="28" t="s">
        <v>4656</v>
      </c>
      <c r="I2027" s="28" t="s">
        <v>4315</v>
      </c>
      <c r="J2027" s="30">
        <v>43626</v>
      </c>
      <c r="K2027" s="28" t="s">
        <v>8</v>
      </c>
      <c r="L2027" s="28" t="s">
        <v>12</v>
      </c>
      <c r="M2027" s="28" t="s">
        <v>4493</v>
      </c>
      <c r="N2027" s="28"/>
      <c r="O2027" s="226"/>
      <c r="P2027" s="28"/>
      <c r="Q2027" s="226"/>
      <c r="R2027" s="37">
        <v>3</v>
      </c>
      <c r="S2027" s="37">
        <v>3</v>
      </c>
      <c r="T2027" s="37">
        <v>2</v>
      </c>
      <c r="U2027" s="37">
        <v>2</v>
      </c>
      <c r="V2027" s="37">
        <v>3</v>
      </c>
      <c r="W2027" s="28" t="s">
        <v>62</v>
      </c>
      <c r="X2027" s="28"/>
      <c r="Y2027" s="30">
        <v>43654</v>
      </c>
      <c r="Z2027" s="28" t="s">
        <v>66</v>
      </c>
      <c r="AA2027" s="30">
        <v>43655</v>
      </c>
      <c r="AB2027" s="28" t="s">
        <v>6104</v>
      </c>
    </row>
    <row r="2028" spans="1:28" ht="15.75" thickTop="1">
      <c r="A2028" s="284" t="s">
        <v>3125</v>
      </c>
      <c r="C2028" s="25" t="s">
        <v>4689</v>
      </c>
      <c r="D2028" s="25">
        <v>24212</v>
      </c>
      <c r="E2028" s="25" t="s">
        <v>4658</v>
      </c>
      <c r="F2028" s="26">
        <v>29801102103736</v>
      </c>
      <c r="G2028" s="25" t="s">
        <v>129</v>
      </c>
      <c r="H2028" s="25" t="s">
        <v>4659</v>
      </c>
      <c r="I2028" s="25" t="s">
        <v>4315</v>
      </c>
      <c r="J2028" s="27">
        <v>43631</v>
      </c>
      <c r="K2028" s="25" t="s">
        <v>798</v>
      </c>
      <c r="L2028" s="25" t="s">
        <v>12</v>
      </c>
      <c r="M2028" s="25" t="s">
        <v>696</v>
      </c>
      <c r="N2028" s="25"/>
      <c r="O2028" s="224"/>
      <c r="P2028" s="25"/>
      <c r="Q2028" s="224"/>
      <c r="R2028" s="25"/>
      <c r="S2028" s="25"/>
      <c r="T2028" s="25"/>
      <c r="U2028" s="25"/>
      <c r="V2028" s="25"/>
      <c r="W2028" s="25" t="s">
        <v>61</v>
      </c>
      <c r="X2028" s="25"/>
      <c r="Y2028" s="27">
        <v>43655</v>
      </c>
      <c r="Z2028" s="25" t="s">
        <v>66</v>
      </c>
      <c r="AA2028" s="45">
        <v>43667</v>
      </c>
      <c r="AB2028" s="25"/>
    </row>
    <row r="2029" spans="1:28" ht="15" customHeight="1">
      <c r="A2029" s="285"/>
      <c r="C2029" s="25" t="s">
        <v>4689</v>
      </c>
      <c r="D2029" s="2">
        <v>24213</v>
      </c>
      <c r="E2029" s="2" t="s">
        <v>4660</v>
      </c>
      <c r="F2029" s="3">
        <v>29604010100684</v>
      </c>
      <c r="G2029" s="2" t="s">
        <v>129</v>
      </c>
      <c r="H2029" s="2" t="s">
        <v>4661</v>
      </c>
      <c r="I2029" s="2" t="s">
        <v>4315</v>
      </c>
      <c r="J2029" s="4">
        <v>43631</v>
      </c>
      <c r="K2029" s="2" t="s">
        <v>798</v>
      </c>
      <c r="L2029" s="2" t="s">
        <v>12</v>
      </c>
      <c r="M2029" s="2" t="s">
        <v>4493</v>
      </c>
      <c r="W2029" s="103" t="s">
        <v>3244</v>
      </c>
    </row>
    <row r="2030" spans="1:28">
      <c r="A2030" s="285"/>
      <c r="C2030" s="25" t="s">
        <v>4689</v>
      </c>
      <c r="D2030" s="2">
        <v>24214</v>
      </c>
      <c r="E2030" s="2" t="s">
        <v>4662</v>
      </c>
      <c r="F2030" s="3">
        <v>29612042103068</v>
      </c>
      <c r="G2030" s="2" t="s">
        <v>129</v>
      </c>
      <c r="H2030" s="2" t="s">
        <v>4663</v>
      </c>
      <c r="I2030" s="2" t="s">
        <v>4315</v>
      </c>
      <c r="J2030" s="4">
        <v>43631</v>
      </c>
      <c r="K2030" s="2" t="s">
        <v>798</v>
      </c>
      <c r="L2030" s="2" t="s">
        <v>12</v>
      </c>
      <c r="M2030" s="2" t="s">
        <v>4257</v>
      </c>
      <c r="W2030" s="16" t="s">
        <v>62</v>
      </c>
      <c r="Y2030" s="7">
        <v>43655</v>
      </c>
      <c r="Z2030" s="16" t="s">
        <v>66</v>
      </c>
      <c r="AA2030" s="45">
        <v>43673</v>
      </c>
    </row>
    <row r="2031" spans="1:28" ht="15" customHeight="1">
      <c r="A2031" s="285"/>
      <c r="C2031" s="25" t="s">
        <v>4689</v>
      </c>
      <c r="D2031" s="2">
        <v>24215</v>
      </c>
      <c r="E2031" s="2" t="s">
        <v>4664</v>
      </c>
      <c r="F2031" s="3">
        <v>29708300101277</v>
      </c>
      <c r="G2031" s="2" t="s">
        <v>129</v>
      </c>
      <c r="H2031" s="2">
        <v>1159856392</v>
      </c>
      <c r="I2031" s="2" t="s">
        <v>4315</v>
      </c>
      <c r="J2031" s="4">
        <v>43631</v>
      </c>
      <c r="K2031" s="2" t="s">
        <v>798</v>
      </c>
      <c r="L2031" s="2" t="s">
        <v>12</v>
      </c>
      <c r="M2031" s="2" t="s">
        <v>4527</v>
      </c>
      <c r="W2031" s="103" t="s">
        <v>3244</v>
      </c>
    </row>
    <row r="2032" spans="1:28" ht="15" customHeight="1">
      <c r="A2032" s="285"/>
      <c r="C2032" s="25" t="s">
        <v>4689</v>
      </c>
      <c r="D2032" s="2">
        <v>24216</v>
      </c>
      <c r="E2032" s="2" t="s">
        <v>4665</v>
      </c>
      <c r="F2032" s="3">
        <v>29811080101071</v>
      </c>
      <c r="G2032" s="2" t="s">
        <v>3970</v>
      </c>
      <c r="H2032" s="2" t="s">
        <v>4666</v>
      </c>
      <c r="I2032" s="2" t="s">
        <v>4315</v>
      </c>
      <c r="J2032" s="4">
        <v>43631</v>
      </c>
      <c r="K2032" s="2" t="s">
        <v>798</v>
      </c>
      <c r="L2032" s="2" t="s">
        <v>12</v>
      </c>
      <c r="M2032" s="2" t="s">
        <v>108</v>
      </c>
      <c r="W2032" s="103" t="s">
        <v>3244</v>
      </c>
    </row>
    <row r="2033" spans="1:28">
      <c r="A2033" s="285"/>
      <c r="C2033" s="25" t="s">
        <v>4689</v>
      </c>
      <c r="D2033" s="2">
        <v>24217</v>
      </c>
      <c r="E2033" s="2" t="s">
        <v>4667</v>
      </c>
      <c r="F2033" s="3">
        <v>29707170104434</v>
      </c>
      <c r="G2033" s="2" t="s">
        <v>129</v>
      </c>
      <c r="H2033" s="2" t="s">
        <v>4668</v>
      </c>
      <c r="I2033" s="2" t="s">
        <v>4315</v>
      </c>
      <c r="J2033" s="4">
        <v>43631</v>
      </c>
      <c r="K2033" s="2" t="s">
        <v>798</v>
      </c>
      <c r="L2033" s="2" t="s">
        <v>12</v>
      </c>
      <c r="M2033" s="2" t="s">
        <v>4669</v>
      </c>
      <c r="W2033" s="16" t="s">
        <v>62</v>
      </c>
      <c r="Y2033" s="7">
        <v>43655</v>
      </c>
      <c r="Z2033" s="16" t="s">
        <v>66</v>
      </c>
      <c r="AA2033" s="7">
        <v>43682</v>
      </c>
    </row>
    <row r="2034" spans="1:28">
      <c r="A2034" s="285"/>
      <c r="C2034" s="25" t="s">
        <v>4689</v>
      </c>
      <c r="D2034" s="2">
        <v>24218</v>
      </c>
      <c r="E2034" s="2" t="s">
        <v>4670</v>
      </c>
      <c r="F2034" s="3">
        <v>29712280102929</v>
      </c>
      <c r="G2034" s="2" t="s">
        <v>3970</v>
      </c>
      <c r="H2034" s="2" t="s">
        <v>4671</v>
      </c>
      <c r="I2034" s="2" t="s">
        <v>4315</v>
      </c>
      <c r="J2034" s="4">
        <v>43631</v>
      </c>
      <c r="K2034" s="2" t="s">
        <v>798</v>
      </c>
      <c r="L2034" s="2" t="s">
        <v>12</v>
      </c>
      <c r="M2034" s="2" t="s">
        <v>4480</v>
      </c>
      <c r="W2034" s="16" t="s">
        <v>62</v>
      </c>
      <c r="Y2034" s="7">
        <v>43655</v>
      </c>
      <c r="Z2034" s="16" t="s">
        <v>66</v>
      </c>
      <c r="AA2034" s="7">
        <v>43673</v>
      </c>
    </row>
    <row r="2035" spans="1:28">
      <c r="A2035" s="285"/>
      <c r="C2035" s="25" t="s">
        <v>4689</v>
      </c>
      <c r="D2035" s="2">
        <v>24219</v>
      </c>
      <c r="E2035" s="2" t="s">
        <v>4672</v>
      </c>
      <c r="F2035" s="3">
        <v>29711012109779</v>
      </c>
      <c r="G2035" s="2" t="s">
        <v>4025</v>
      </c>
      <c r="H2035" s="2" t="s">
        <v>4673</v>
      </c>
      <c r="I2035" s="2" t="s">
        <v>4315</v>
      </c>
      <c r="J2035" s="4">
        <v>43631</v>
      </c>
      <c r="K2035" s="2" t="s">
        <v>798</v>
      </c>
      <c r="L2035" s="2" t="s">
        <v>12</v>
      </c>
      <c r="M2035" s="2" t="s">
        <v>103</v>
      </c>
      <c r="W2035" s="16" t="s">
        <v>62</v>
      </c>
      <c r="Y2035" s="7">
        <v>43655</v>
      </c>
      <c r="Z2035" s="16" t="s">
        <v>66</v>
      </c>
      <c r="AA2035" s="7">
        <v>43673</v>
      </c>
    </row>
    <row r="2036" spans="1:28">
      <c r="A2036" s="285"/>
      <c r="C2036" s="25" t="s">
        <v>4689</v>
      </c>
      <c r="D2036" s="2">
        <v>24220</v>
      </c>
      <c r="E2036" s="2" t="s">
        <v>4674</v>
      </c>
      <c r="F2036" s="3">
        <v>29803110103519</v>
      </c>
      <c r="G2036" s="2" t="s">
        <v>3970</v>
      </c>
      <c r="H2036" s="2" t="s">
        <v>4675</v>
      </c>
      <c r="I2036" s="2" t="s">
        <v>4315</v>
      </c>
      <c r="J2036" s="4">
        <v>43631</v>
      </c>
      <c r="K2036" s="2" t="s">
        <v>798</v>
      </c>
      <c r="L2036" s="2" t="s">
        <v>12</v>
      </c>
      <c r="M2036" s="2" t="s">
        <v>105</v>
      </c>
      <c r="W2036" s="16" t="s">
        <v>62</v>
      </c>
      <c r="Y2036" s="7">
        <v>43655</v>
      </c>
      <c r="Z2036" s="16" t="s">
        <v>66</v>
      </c>
      <c r="AA2036" s="45">
        <v>43673</v>
      </c>
    </row>
    <row r="2037" spans="1:28" ht="15" customHeight="1">
      <c r="A2037" s="285"/>
      <c r="C2037" s="25" t="s">
        <v>4689</v>
      </c>
      <c r="D2037" s="2">
        <v>24221</v>
      </c>
      <c r="E2037" s="2" t="s">
        <v>4676</v>
      </c>
      <c r="F2037" s="3">
        <v>29208032104036</v>
      </c>
      <c r="G2037" s="2" t="s">
        <v>3970</v>
      </c>
      <c r="H2037" s="2" t="s">
        <v>4677</v>
      </c>
      <c r="I2037" s="2" t="s">
        <v>4315</v>
      </c>
      <c r="J2037" s="4">
        <v>43631</v>
      </c>
      <c r="K2037" s="2" t="s">
        <v>798</v>
      </c>
      <c r="L2037" s="2" t="s">
        <v>12</v>
      </c>
      <c r="M2037" s="2" t="s">
        <v>4493</v>
      </c>
      <c r="W2037" s="16" t="s">
        <v>64</v>
      </c>
      <c r="Z2037" s="16" t="s">
        <v>67</v>
      </c>
    </row>
    <row r="2038" spans="1:28" ht="15" customHeight="1">
      <c r="A2038" s="285"/>
      <c r="C2038" s="25" t="s">
        <v>4689</v>
      </c>
      <c r="D2038" s="2">
        <v>24222</v>
      </c>
      <c r="E2038" s="2" t="s">
        <v>4678</v>
      </c>
      <c r="F2038" s="3">
        <v>29805010107021</v>
      </c>
      <c r="G2038" s="2" t="s">
        <v>4025</v>
      </c>
      <c r="H2038" s="2" t="s">
        <v>4679</v>
      </c>
      <c r="I2038" s="2" t="s">
        <v>4315</v>
      </c>
      <c r="J2038" s="4">
        <v>43631</v>
      </c>
      <c r="K2038" s="2" t="s">
        <v>798</v>
      </c>
      <c r="L2038" s="2" t="s">
        <v>12</v>
      </c>
      <c r="M2038" s="2" t="s">
        <v>4527</v>
      </c>
      <c r="W2038" s="103" t="s">
        <v>3244</v>
      </c>
    </row>
    <row r="2039" spans="1:28">
      <c r="A2039" s="285"/>
      <c r="C2039" s="25" t="s">
        <v>4689</v>
      </c>
      <c r="D2039" s="2">
        <v>24223</v>
      </c>
      <c r="E2039" s="2" t="s">
        <v>4680</v>
      </c>
      <c r="F2039" s="3">
        <v>29609160103217</v>
      </c>
      <c r="G2039" s="2" t="s">
        <v>3970</v>
      </c>
      <c r="H2039" s="2" t="s">
        <v>4681</v>
      </c>
      <c r="I2039" s="2" t="s">
        <v>4315</v>
      </c>
      <c r="J2039" s="4">
        <v>43631</v>
      </c>
      <c r="K2039" s="2" t="s">
        <v>798</v>
      </c>
      <c r="L2039" s="2" t="s">
        <v>12</v>
      </c>
      <c r="M2039" s="2" t="s">
        <v>3173</v>
      </c>
      <c r="W2039" s="16" t="s">
        <v>61</v>
      </c>
      <c r="Y2039" s="7">
        <v>43655</v>
      </c>
      <c r="Z2039" s="16" t="s">
        <v>66</v>
      </c>
      <c r="AA2039" s="7">
        <v>43667</v>
      </c>
    </row>
    <row r="2040" spans="1:28" ht="15" customHeight="1">
      <c r="A2040" s="285"/>
      <c r="C2040" s="25" t="s">
        <v>4689</v>
      </c>
      <c r="D2040" s="2">
        <v>24224</v>
      </c>
      <c r="E2040" s="2" t="s">
        <v>4682</v>
      </c>
      <c r="F2040" s="3">
        <v>29709252106985</v>
      </c>
      <c r="G2040" s="2" t="s">
        <v>129</v>
      </c>
      <c r="H2040" s="2" t="s">
        <v>4683</v>
      </c>
      <c r="I2040" s="2" t="s">
        <v>4315</v>
      </c>
      <c r="J2040" s="4">
        <v>43631</v>
      </c>
      <c r="K2040" s="2" t="s">
        <v>798</v>
      </c>
      <c r="L2040" s="2" t="s">
        <v>12</v>
      </c>
      <c r="M2040" s="2" t="s">
        <v>489</v>
      </c>
      <c r="W2040" s="103" t="s">
        <v>3244</v>
      </c>
    </row>
    <row r="2041" spans="1:28" ht="15" customHeight="1">
      <c r="A2041" s="285"/>
      <c r="C2041" s="25" t="s">
        <v>4689</v>
      </c>
      <c r="D2041" s="2">
        <v>24242</v>
      </c>
      <c r="E2041" s="2" t="s">
        <v>4684</v>
      </c>
      <c r="F2041" s="3">
        <v>30001011642811</v>
      </c>
      <c r="G2041" s="2" t="s">
        <v>4025</v>
      </c>
      <c r="H2041" s="8" t="s">
        <v>4687</v>
      </c>
      <c r="I2041" s="2" t="s">
        <v>4315</v>
      </c>
      <c r="J2041" s="4">
        <v>43631</v>
      </c>
      <c r="K2041" s="2" t="s">
        <v>798</v>
      </c>
      <c r="L2041" s="2" t="s">
        <v>12</v>
      </c>
      <c r="M2041" s="2" t="s">
        <v>4257</v>
      </c>
      <c r="W2041" s="16" t="s">
        <v>62</v>
      </c>
      <c r="Y2041" s="7">
        <v>43655</v>
      </c>
      <c r="Z2041" s="16" t="s">
        <v>67</v>
      </c>
      <c r="AB2041" s="2" t="s">
        <v>5106</v>
      </c>
    </row>
    <row r="2042" spans="1:28" ht="15.75" thickBot="1">
      <c r="A2042" s="286"/>
      <c r="C2042" s="28" t="s">
        <v>4689</v>
      </c>
      <c r="D2042" s="28">
        <v>24243</v>
      </c>
      <c r="E2042" s="28" t="s">
        <v>4685</v>
      </c>
      <c r="F2042" s="29">
        <v>29805152101012</v>
      </c>
      <c r="G2042" s="28" t="s">
        <v>4025</v>
      </c>
      <c r="H2042" s="78" t="s">
        <v>4688</v>
      </c>
      <c r="I2042" s="28" t="s">
        <v>4315</v>
      </c>
      <c r="J2042" s="30">
        <v>43631</v>
      </c>
      <c r="K2042" s="28" t="s">
        <v>798</v>
      </c>
      <c r="L2042" s="28" t="s">
        <v>12</v>
      </c>
      <c r="M2042" s="28" t="s">
        <v>4686</v>
      </c>
      <c r="N2042" s="28"/>
      <c r="O2042" s="226"/>
      <c r="P2042" s="28"/>
      <c r="Q2042" s="226"/>
      <c r="R2042" s="28"/>
      <c r="S2042" s="28"/>
      <c r="T2042" s="28"/>
      <c r="U2042" s="28"/>
      <c r="V2042" s="28"/>
      <c r="W2042" s="28" t="s">
        <v>3321</v>
      </c>
      <c r="X2042" s="28"/>
      <c r="Y2042" s="30">
        <v>43655</v>
      </c>
      <c r="Z2042" s="28" t="s">
        <v>66</v>
      </c>
      <c r="AA2042" s="30">
        <v>43673</v>
      </c>
      <c r="AB2042" s="28"/>
    </row>
    <row r="2043" spans="1:28" ht="15.75" thickTop="1">
      <c r="A2043" s="284" t="s">
        <v>4517</v>
      </c>
      <c r="C2043" s="25">
        <v>135</v>
      </c>
      <c r="D2043" s="25">
        <v>24225</v>
      </c>
      <c r="E2043" s="103" t="s">
        <v>4691</v>
      </c>
      <c r="F2043" s="26">
        <v>29611260100287</v>
      </c>
      <c r="G2043" s="25" t="s">
        <v>129</v>
      </c>
      <c r="H2043" s="25" t="s">
        <v>4692</v>
      </c>
      <c r="I2043" s="25" t="s">
        <v>4315</v>
      </c>
      <c r="J2043" s="27">
        <v>43639</v>
      </c>
      <c r="K2043" s="25" t="s">
        <v>8</v>
      </c>
      <c r="L2043" s="25" t="s">
        <v>12</v>
      </c>
      <c r="M2043" s="25" t="s">
        <v>3173</v>
      </c>
      <c r="N2043" s="25"/>
      <c r="O2043" s="224"/>
      <c r="P2043" s="25"/>
      <c r="Q2043" s="224"/>
      <c r="R2043" s="77">
        <v>3</v>
      </c>
      <c r="S2043" s="77">
        <v>3</v>
      </c>
      <c r="T2043" s="77">
        <v>2.5</v>
      </c>
      <c r="U2043" s="77">
        <v>2</v>
      </c>
      <c r="V2043" s="77">
        <v>3</v>
      </c>
      <c r="W2043" s="25" t="s">
        <v>170</v>
      </c>
      <c r="X2043" s="25"/>
      <c r="Y2043" s="27">
        <v>43663</v>
      </c>
      <c r="Z2043" s="25" t="s">
        <v>66</v>
      </c>
      <c r="AA2043" s="27">
        <v>43667</v>
      </c>
      <c r="AB2043" s="25"/>
    </row>
    <row r="2044" spans="1:28" ht="15" customHeight="1">
      <c r="A2044" s="285"/>
      <c r="C2044" s="25">
        <v>135</v>
      </c>
      <c r="D2044" s="2">
        <v>24226</v>
      </c>
      <c r="E2044" s="2" t="s">
        <v>4693</v>
      </c>
      <c r="F2044" s="3">
        <v>29801152100959</v>
      </c>
      <c r="G2044" s="2" t="s">
        <v>129</v>
      </c>
      <c r="H2044" s="2" t="s">
        <v>4694</v>
      </c>
      <c r="I2044" s="2" t="s">
        <v>4315</v>
      </c>
      <c r="J2044" s="4">
        <v>43639</v>
      </c>
      <c r="K2044" s="2" t="s">
        <v>8</v>
      </c>
      <c r="L2044" s="2" t="s">
        <v>12</v>
      </c>
      <c r="M2044" s="2" t="s">
        <v>103</v>
      </c>
      <c r="R2044" s="77">
        <v>3</v>
      </c>
      <c r="S2044" s="77">
        <v>2.5</v>
      </c>
      <c r="T2044" s="77">
        <v>2</v>
      </c>
      <c r="U2044" s="77">
        <v>2.5</v>
      </c>
      <c r="V2044" s="77">
        <v>3</v>
      </c>
      <c r="W2044" s="103" t="s">
        <v>171</v>
      </c>
      <c r="X2044" s="2" t="s">
        <v>66</v>
      </c>
      <c r="Y2044" s="45">
        <v>43683</v>
      </c>
      <c r="Z2044" s="16" t="s">
        <v>66</v>
      </c>
      <c r="AB2044" s="2" t="s">
        <v>3894</v>
      </c>
    </row>
    <row r="2045" spans="1:28">
      <c r="A2045" s="285"/>
      <c r="C2045" s="25">
        <v>135</v>
      </c>
      <c r="D2045" s="2">
        <v>24227</v>
      </c>
      <c r="E2045" s="2" t="s">
        <v>4695</v>
      </c>
      <c r="F2045" s="3">
        <v>29501262101205</v>
      </c>
      <c r="G2045" s="2" t="s">
        <v>129</v>
      </c>
      <c r="H2045" s="2" t="s">
        <v>4696</v>
      </c>
      <c r="I2045" s="2" t="s">
        <v>4315</v>
      </c>
      <c r="J2045" s="4">
        <v>43639</v>
      </c>
      <c r="K2045" s="2" t="s">
        <v>8</v>
      </c>
      <c r="L2045" s="2" t="s">
        <v>12</v>
      </c>
      <c r="M2045" s="2" t="s">
        <v>4257</v>
      </c>
      <c r="R2045" s="77">
        <v>3</v>
      </c>
      <c r="S2045" s="77">
        <v>2.5</v>
      </c>
      <c r="T2045" s="77">
        <v>2</v>
      </c>
      <c r="U2045" s="77">
        <v>2.5</v>
      </c>
      <c r="V2045" s="77">
        <v>3</v>
      </c>
      <c r="W2045" s="16" t="s">
        <v>171</v>
      </c>
      <c r="Y2045" s="7">
        <v>43663</v>
      </c>
      <c r="Z2045" s="16" t="s">
        <v>66</v>
      </c>
      <c r="AA2045" s="7">
        <v>43667</v>
      </c>
    </row>
    <row r="2046" spans="1:28" ht="15" customHeight="1">
      <c r="A2046" s="285"/>
      <c r="C2046" s="25">
        <v>135</v>
      </c>
      <c r="D2046" s="2">
        <v>24228</v>
      </c>
      <c r="E2046" s="2" t="s">
        <v>4697</v>
      </c>
      <c r="F2046" s="3">
        <v>29803048800674</v>
      </c>
      <c r="G2046" s="2" t="s">
        <v>3970</v>
      </c>
      <c r="H2046" s="2" t="s">
        <v>4698</v>
      </c>
      <c r="I2046" s="2" t="s">
        <v>4315</v>
      </c>
      <c r="J2046" s="4">
        <v>43639</v>
      </c>
      <c r="K2046" s="2" t="s">
        <v>8</v>
      </c>
      <c r="L2046" s="2" t="s">
        <v>12</v>
      </c>
      <c r="M2046" s="2" t="s">
        <v>4699</v>
      </c>
      <c r="R2046" s="77">
        <v>3</v>
      </c>
      <c r="S2046" s="77">
        <v>2.5</v>
      </c>
      <c r="T2046" s="77">
        <v>2</v>
      </c>
      <c r="U2046" s="77">
        <v>2.5</v>
      </c>
      <c r="V2046" s="77">
        <v>3</v>
      </c>
      <c r="W2046" s="16" t="s">
        <v>171</v>
      </c>
      <c r="Y2046" s="7">
        <v>43663</v>
      </c>
      <c r="Z2046" s="16" t="s">
        <v>66</v>
      </c>
      <c r="AB2046" s="2" t="s">
        <v>3894</v>
      </c>
    </row>
    <row r="2047" spans="1:28" ht="15" customHeight="1">
      <c r="A2047" s="285"/>
      <c r="C2047" s="25">
        <v>135</v>
      </c>
      <c r="D2047" s="2">
        <v>24229</v>
      </c>
      <c r="E2047" s="2" t="s">
        <v>4700</v>
      </c>
      <c r="F2047" s="3">
        <v>29512020100451</v>
      </c>
      <c r="G2047" s="2" t="s">
        <v>129</v>
      </c>
      <c r="H2047" s="2" t="s">
        <v>4701</v>
      </c>
      <c r="I2047" s="2" t="s">
        <v>4315</v>
      </c>
      <c r="J2047" s="4">
        <v>43639</v>
      </c>
      <c r="K2047" s="2" t="s">
        <v>8</v>
      </c>
      <c r="L2047" s="2" t="s">
        <v>12</v>
      </c>
      <c r="M2047" s="2" t="s">
        <v>623</v>
      </c>
      <c r="R2047" s="77">
        <v>3</v>
      </c>
      <c r="S2047" s="77">
        <v>2.5</v>
      </c>
      <c r="T2047" s="77">
        <v>2.5</v>
      </c>
      <c r="U2047" s="77">
        <v>2</v>
      </c>
      <c r="V2047" s="77">
        <v>3</v>
      </c>
      <c r="W2047" s="103" t="s">
        <v>170</v>
      </c>
      <c r="X2047" s="2" t="s">
        <v>66</v>
      </c>
      <c r="Y2047" s="45">
        <v>43683</v>
      </c>
      <c r="Z2047" s="16" t="s">
        <v>66</v>
      </c>
      <c r="AA2047" s="7">
        <v>43683</v>
      </c>
    </row>
    <row r="2048" spans="1:28">
      <c r="A2048" s="285"/>
      <c r="C2048" s="25">
        <v>135</v>
      </c>
      <c r="D2048" s="2">
        <v>24230</v>
      </c>
      <c r="E2048" s="2" t="s">
        <v>4702</v>
      </c>
      <c r="F2048" s="3">
        <v>29801010122181</v>
      </c>
      <c r="G2048" s="2" t="s">
        <v>3970</v>
      </c>
      <c r="H2048" s="2" t="s">
        <v>4703</v>
      </c>
      <c r="I2048" s="2" t="s">
        <v>4315</v>
      </c>
      <c r="J2048" s="4">
        <v>43639</v>
      </c>
      <c r="K2048" s="2" t="s">
        <v>8</v>
      </c>
      <c r="L2048" s="2" t="s">
        <v>12</v>
      </c>
      <c r="M2048" s="2" t="s">
        <v>4257</v>
      </c>
      <c r="R2048" s="77">
        <v>3</v>
      </c>
      <c r="S2048" s="77">
        <v>2.5</v>
      </c>
      <c r="T2048" s="77">
        <v>2.5</v>
      </c>
      <c r="U2048" s="77">
        <v>2.5</v>
      </c>
      <c r="V2048" s="77">
        <v>3</v>
      </c>
      <c r="W2048" s="16" t="s">
        <v>171</v>
      </c>
      <c r="Y2048" s="7">
        <v>43663</v>
      </c>
      <c r="Z2048" s="16" t="s">
        <v>66</v>
      </c>
      <c r="AA2048" s="7">
        <v>43667</v>
      </c>
    </row>
    <row r="2049" spans="1:28" ht="15" customHeight="1">
      <c r="A2049" s="285"/>
      <c r="C2049" s="25">
        <v>135</v>
      </c>
      <c r="D2049" s="2">
        <v>24231</v>
      </c>
      <c r="E2049" s="2" t="s">
        <v>4704</v>
      </c>
      <c r="F2049" s="3">
        <v>30001212101681</v>
      </c>
      <c r="G2049" s="2" t="s">
        <v>3970</v>
      </c>
      <c r="H2049" s="2" t="s">
        <v>4705</v>
      </c>
      <c r="I2049" s="2" t="s">
        <v>4315</v>
      </c>
      <c r="J2049" s="4">
        <v>43639</v>
      </c>
      <c r="K2049" s="2" t="s">
        <v>8</v>
      </c>
      <c r="L2049" s="2" t="s">
        <v>12</v>
      </c>
      <c r="M2049" s="2" t="s">
        <v>4706</v>
      </c>
      <c r="R2049" s="77">
        <v>3</v>
      </c>
      <c r="S2049" s="77">
        <v>3</v>
      </c>
      <c r="T2049" s="77">
        <v>2.5</v>
      </c>
      <c r="U2049" s="77">
        <v>2.5</v>
      </c>
      <c r="V2049" s="77">
        <v>3</v>
      </c>
      <c r="W2049" s="16" t="s">
        <v>60</v>
      </c>
      <c r="Y2049" s="7">
        <v>43663</v>
      </c>
      <c r="Z2049" s="16" t="s">
        <v>67</v>
      </c>
      <c r="AB2049" s="25" t="s">
        <v>5133</v>
      </c>
    </row>
    <row r="2050" spans="1:28" ht="15" customHeight="1">
      <c r="A2050" s="285"/>
      <c r="C2050" s="25">
        <v>135</v>
      </c>
      <c r="D2050" s="2">
        <v>24232</v>
      </c>
      <c r="E2050" s="2" t="s">
        <v>4707</v>
      </c>
      <c r="F2050" s="3">
        <v>29506100102871</v>
      </c>
      <c r="G2050" s="103" t="s">
        <v>129</v>
      </c>
      <c r="H2050" s="2" t="s">
        <v>4708</v>
      </c>
      <c r="I2050" s="2" t="s">
        <v>4315</v>
      </c>
      <c r="J2050" s="4">
        <v>43639</v>
      </c>
      <c r="K2050" s="2" t="s">
        <v>8</v>
      </c>
      <c r="L2050" s="2" t="s">
        <v>12</v>
      </c>
      <c r="M2050" s="2" t="s">
        <v>55</v>
      </c>
      <c r="R2050" s="77">
        <v>3</v>
      </c>
      <c r="S2050" s="77">
        <v>3</v>
      </c>
      <c r="T2050" s="77">
        <v>2.5</v>
      </c>
      <c r="U2050" s="77">
        <v>2.5</v>
      </c>
      <c r="V2050" s="77">
        <v>3</v>
      </c>
      <c r="W2050" s="16" t="s">
        <v>60</v>
      </c>
      <c r="X2050" s="2" t="s">
        <v>66</v>
      </c>
      <c r="Y2050" s="7">
        <v>43683</v>
      </c>
      <c r="Z2050" s="16" t="s">
        <v>66</v>
      </c>
      <c r="AA2050" s="7">
        <v>43683</v>
      </c>
    </row>
    <row r="2051" spans="1:28" ht="15" customHeight="1">
      <c r="A2051" s="285"/>
      <c r="C2051" s="25">
        <v>135</v>
      </c>
      <c r="D2051" s="2">
        <v>24233</v>
      </c>
      <c r="E2051" s="2" t="s">
        <v>4709</v>
      </c>
      <c r="F2051" s="3">
        <v>29702011704852</v>
      </c>
      <c r="G2051" s="2" t="s">
        <v>3970</v>
      </c>
      <c r="H2051" s="2" t="s">
        <v>4710</v>
      </c>
      <c r="I2051" s="2" t="s">
        <v>4315</v>
      </c>
      <c r="J2051" s="4">
        <v>43639</v>
      </c>
      <c r="K2051" s="2" t="s">
        <v>8</v>
      </c>
      <c r="L2051" s="2" t="s">
        <v>12</v>
      </c>
      <c r="M2051" s="2" t="s">
        <v>293</v>
      </c>
      <c r="R2051" s="77">
        <v>3</v>
      </c>
      <c r="S2051" s="77">
        <v>2</v>
      </c>
      <c r="T2051" s="77">
        <v>2</v>
      </c>
      <c r="U2051" s="77">
        <v>2</v>
      </c>
      <c r="V2051" s="77">
        <v>3</v>
      </c>
      <c r="W2051" s="16" t="s">
        <v>62</v>
      </c>
      <c r="Y2051" s="7">
        <v>43663</v>
      </c>
      <c r="Z2051" s="16" t="s">
        <v>67</v>
      </c>
      <c r="AB2051" s="2" t="s">
        <v>3924</v>
      </c>
    </row>
    <row r="2052" spans="1:28">
      <c r="A2052" s="285"/>
      <c r="C2052" s="25">
        <v>135</v>
      </c>
      <c r="D2052" s="2">
        <v>24234</v>
      </c>
      <c r="E2052" s="2" t="s">
        <v>4711</v>
      </c>
      <c r="F2052" s="3">
        <v>30012140105212</v>
      </c>
      <c r="G2052" s="2" t="s">
        <v>3970</v>
      </c>
      <c r="H2052" s="2" t="s">
        <v>4712</v>
      </c>
      <c r="I2052" s="2" t="s">
        <v>4315</v>
      </c>
      <c r="J2052" s="4">
        <v>43639</v>
      </c>
      <c r="K2052" s="2" t="s">
        <v>8</v>
      </c>
      <c r="L2052" s="2" t="s">
        <v>12</v>
      </c>
      <c r="M2052" s="2" t="s">
        <v>4257</v>
      </c>
      <c r="R2052" s="77">
        <v>3</v>
      </c>
      <c r="S2052" s="77">
        <v>2.5</v>
      </c>
      <c r="T2052" s="77">
        <v>2.5</v>
      </c>
      <c r="U2052" s="77">
        <v>2.5</v>
      </c>
      <c r="V2052" s="77">
        <v>3</v>
      </c>
      <c r="W2052" s="16" t="s">
        <v>60</v>
      </c>
      <c r="Y2052" s="7">
        <v>43663</v>
      </c>
      <c r="Z2052" s="16" t="s">
        <v>66</v>
      </c>
      <c r="AA2052" s="7">
        <v>43667</v>
      </c>
      <c r="AB2052" s="25"/>
    </row>
    <row r="2053" spans="1:28" ht="15" customHeight="1">
      <c r="A2053" s="285"/>
      <c r="C2053" s="25">
        <v>135</v>
      </c>
      <c r="D2053" s="2">
        <v>24235</v>
      </c>
      <c r="E2053" s="2" t="s">
        <v>4713</v>
      </c>
      <c r="F2053" s="3">
        <v>29801280104444</v>
      </c>
      <c r="G2053" s="2" t="s">
        <v>3970</v>
      </c>
      <c r="H2053" s="2" t="s">
        <v>4714</v>
      </c>
      <c r="I2053" s="2" t="s">
        <v>4315</v>
      </c>
      <c r="J2053" s="4">
        <v>43639</v>
      </c>
      <c r="K2053" s="2" t="s">
        <v>8</v>
      </c>
      <c r="L2053" s="2" t="s">
        <v>12</v>
      </c>
      <c r="M2053" s="2" t="s">
        <v>105</v>
      </c>
      <c r="R2053" s="77">
        <v>3</v>
      </c>
      <c r="S2053" s="77">
        <v>2.5</v>
      </c>
      <c r="T2053" s="77">
        <v>2.5</v>
      </c>
      <c r="U2053" s="77">
        <v>2</v>
      </c>
      <c r="V2053" s="77">
        <v>3</v>
      </c>
      <c r="W2053" s="16" t="s">
        <v>62</v>
      </c>
      <c r="X2053" s="2" t="s">
        <v>66</v>
      </c>
      <c r="Y2053" s="7">
        <v>43683</v>
      </c>
      <c r="Z2053" s="16" t="s">
        <v>66</v>
      </c>
      <c r="AA2053" s="7">
        <v>43682</v>
      </c>
    </row>
    <row r="2054" spans="1:28">
      <c r="A2054" s="285"/>
      <c r="C2054" s="25">
        <v>135</v>
      </c>
      <c r="D2054" s="2">
        <v>24236</v>
      </c>
      <c r="E2054" s="2" t="s">
        <v>4715</v>
      </c>
      <c r="F2054" s="3">
        <v>29411270103935</v>
      </c>
      <c r="G2054" s="2" t="s">
        <v>3970</v>
      </c>
      <c r="H2054" s="2" t="s">
        <v>4716</v>
      </c>
      <c r="I2054" s="2" t="s">
        <v>4315</v>
      </c>
      <c r="J2054" s="4">
        <v>43639</v>
      </c>
      <c r="K2054" s="2" t="s">
        <v>8</v>
      </c>
      <c r="L2054" s="2" t="s">
        <v>12</v>
      </c>
      <c r="M2054" s="2" t="s">
        <v>623</v>
      </c>
      <c r="R2054" s="77">
        <v>3</v>
      </c>
      <c r="S2054" s="77">
        <v>3</v>
      </c>
      <c r="T2054" s="77">
        <v>2.5</v>
      </c>
      <c r="U2054" s="77">
        <v>2.5</v>
      </c>
      <c r="V2054" s="77">
        <v>3</v>
      </c>
      <c r="W2054" s="16" t="s">
        <v>60</v>
      </c>
      <c r="Y2054" s="7">
        <v>43663</v>
      </c>
      <c r="Z2054" s="16" t="s">
        <v>66</v>
      </c>
      <c r="AA2054" s="7">
        <v>43667</v>
      </c>
      <c r="AB2054" s="25"/>
    </row>
    <row r="2055" spans="1:28" ht="15" customHeight="1">
      <c r="A2055" s="285"/>
      <c r="C2055" s="25">
        <v>135</v>
      </c>
      <c r="D2055" s="2">
        <v>24237</v>
      </c>
      <c r="E2055" s="2" t="s">
        <v>4717</v>
      </c>
      <c r="F2055" s="3">
        <v>29804252502425</v>
      </c>
      <c r="G2055" s="2" t="s">
        <v>3970</v>
      </c>
      <c r="H2055" s="2" t="s">
        <v>4718</v>
      </c>
      <c r="I2055" s="2" t="s">
        <v>4315</v>
      </c>
      <c r="J2055" s="4">
        <v>43639</v>
      </c>
      <c r="K2055" s="2" t="s">
        <v>8</v>
      </c>
      <c r="L2055" s="2" t="s">
        <v>12</v>
      </c>
      <c r="M2055" s="2" t="s">
        <v>4257</v>
      </c>
      <c r="R2055" s="77">
        <v>3</v>
      </c>
      <c r="S2055" s="77">
        <v>3</v>
      </c>
      <c r="T2055" s="77">
        <v>2.5</v>
      </c>
      <c r="U2055" s="77">
        <v>2</v>
      </c>
      <c r="V2055" s="77">
        <v>3</v>
      </c>
      <c r="W2055" s="16" t="s">
        <v>60</v>
      </c>
      <c r="X2055" s="2" t="s">
        <v>66</v>
      </c>
      <c r="Y2055" s="7">
        <v>43683</v>
      </c>
      <c r="Z2055" s="16" t="s">
        <v>66</v>
      </c>
      <c r="AA2055" s="7">
        <v>43682</v>
      </c>
    </row>
    <row r="2056" spans="1:28" ht="15" customHeight="1">
      <c r="A2056" s="285"/>
      <c r="C2056" s="25">
        <v>135</v>
      </c>
      <c r="D2056" s="2">
        <v>24238</v>
      </c>
      <c r="E2056" s="2" t="s">
        <v>4719</v>
      </c>
      <c r="F2056" s="3">
        <v>29804262102115</v>
      </c>
      <c r="G2056" s="2" t="s">
        <v>3970</v>
      </c>
      <c r="H2056" s="2" t="s">
        <v>4720</v>
      </c>
      <c r="I2056" s="2" t="s">
        <v>4315</v>
      </c>
      <c r="J2056" s="4">
        <v>43639</v>
      </c>
      <c r="K2056" s="2" t="s">
        <v>8</v>
      </c>
      <c r="L2056" s="2" t="s">
        <v>12</v>
      </c>
      <c r="M2056" s="2" t="s">
        <v>551</v>
      </c>
      <c r="W2056" s="16" t="s">
        <v>64</v>
      </c>
      <c r="Z2056" s="16" t="s">
        <v>67</v>
      </c>
    </row>
    <row r="2057" spans="1:28" ht="15" customHeight="1">
      <c r="A2057" s="285"/>
      <c r="C2057" s="25">
        <v>135</v>
      </c>
      <c r="D2057" s="2">
        <v>24239</v>
      </c>
      <c r="E2057" s="2" t="s">
        <v>4721</v>
      </c>
      <c r="F2057" s="3">
        <v>29512120101277</v>
      </c>
      <c r="G2057" s="103" t="s">
        <v>129</v>
      </c>
      <c r="H2057" s="2" t="s">
        <v>4722</v>
      </c>
      <c r="I2057" s="2" t="s">
        <v>4315</v>
      </c>
      <c r="J2057" s="4">
        <v>43639</v>
      </c>
      <c r="K2057" s="2" t="s">
        <v>8</v>
      </c>
      <c r="L2057" s="2" t="s">
        <v>12</v>
      </c>
      <c r="M2057" s="2" t="s">
        <v>103</v>
      </c>
      <c r="W2057" s="103" t="s">
        <v>64</v>
      </c>
      <c r="Z2057" s="16" t="s">
        <v>67</v>
      </c>
    </row>
    <row r="2058" spans="1:28">
      <c r="A2058" s="285"/>
      <c r="C2058" s="25">
        <v>135</v>
      </c>
      <c r="D2058" s="2">
        <v>24240</v>
      </c>
      <c r="E2058" s="2" t="s">
        <v>4723</v>
      </c>
      <c r="F2058" s="3">
        <v>29910301500799</v>
      </c>
      <c r="G2058" s="2" t="s">
        <v>3970</v>
      </c>
      <c r="H2058" s="8" t="s">
        <v>4936</v>
      </c>
      <c r="I2058" s="2" t="s">
        <v>4315</v>
      </c>
      <c r="J2058" s="4">
        <v>43639</v>
      </c>
      <c r="K2058" s="2" t="s">
        <v>8</v>
      </c>
      <c r="L2058" s="2" t="s">
        <v>12</v>
      </c>
      <c r="M2058" s="2" t="s">
        <v>293</v>
      </c>
      <c r="R2058" s="77">
        <v>3</v>
      </c>
      <c r="S2058" s="77">
        <v>2.5</v>
      </c>
      <c r="T2058" s="77">
        <v>3</v>
      </c>
      <c r="U2058" s="77">
        <v>2.5</v>
      </c>
      <c r="V2058" s="77">
        <v>3</v>
      </c>
      <c r="W2058" s="16" t="s">
        <v>170</v>
      </c>
      <c r="Y2058" s="7">
        <v>43663</v>
      </c>
      <c r="Z2058" s="16" t="s">
        <v>66</v>
      </c>
      <c r="AA2058" s="7">
        <v>43667</v>
      </c>
      <c r="AB2058" s="25"/>
    </row>
    <row r="2059" spans="1:28" ht="15.75" thickBot="1">
      <c r="A2059" s="286"/>
      <c r="C2059" s="28">
        <v>135</v>
      </c>
      <c r="D2059" s="28">
        <v>24241</v>
      </c>
      <c r="E2059" s="28" t="s">
        <v>4724</v>
      </c>
      <c r="F2059" s="29">
        <v>29803082603691</v>
      </c>
      <c r="G2059" s="28" t="s">
        <v>3970</v>
      </c>
      <c r="H2059" s="28" t="s">
        <v>4725</v>
      </c>
      <c r="I2059" s="28" t="s">
        <v>4315</v>
      </c>
      <c r="J2059" s="30">
        <v>43639</v>
      </c>
      <c r="K2059" s="28" t="s">
        <v>8</v>
      </c>
      <c r="L2059" s="28" t="s">
        <v>12</v>
      </c>
      <c r="M2059" s="28" t="s">
        <v>551</v>
      </c>
      <c r="N2059" s="28"/>
      <c r="O2059" s="226"/>
      <c r="P2059" s="28"/>
      <c r="Q2059" s="226"/>
      <c r="R2059" s="37">
        <v>3</v>
      </c>
      <c r="S2059" s="37">
        <v>2.5</v>
      </c>
      <c r="T2059" s="37">
        <v>2</v>
      </c>
      <c r="U2059" s="37">
        <v>2</v>
      </c>
      <c r="V2059" s="37">
        <v>3</v>
      </c>
      <c r="W2059" s="28" t="s">
        <v>62</v>
      </c>
      <c r="X2059" s="28"/>
      <c r="Y2059" s="30">
        <v>43663</v>
      </c>
      <c r="Z2059" s="28" t="s">
        <v>66</v>
      </c>
      <c r="AA2059" s="30">
        <v>43673</v>
      </c>
      <c r="AB2059" s="28"/>
    </row>
    <row r="2060" spans="1:28" ht="15.75" customHeight="1" thickTop="1">
      <c r="A2060" s="284" t="s">
        <v>3129</v>
      </c>
      <c r="C2060" s="25">
        <v>136</v>
      </c>
      <c r="D2060" s="25">
        <v>24257</v>
      </c>
      <c r="E2060" s="25" t="s">
        <v>4728</v>
      </c>
      <c r="F2060" s="26">
        <v>30105218800808</v>
      </c>
      <c r="G2060" s="25" t="s">
        <v>3970</v>
      </c>
      <c r="H2060" s="25" t="s">
        <v>4729</v>
      </c>
      <c r="I2060" s="25" t="s">
        <v>4315</v>
      </c>
      <c r="J2060" s="27">
        <v>43648</v>
      </c>
      <c r="K2060" s="25" t="s">
        <v>8</v>
      </c>
      <c r="L2060" s="25" t="s">
        <v>12</v>
      </c>
      <c r="M2060" s="25" t="s">
        <v>4432</v>
      </c>
      <c r="N2060" s="25"/>
      <c r="O2060" s="224"/>
      <c r="P2060" s="25"/>
      <c r="Q2060" s="224"/>
      <c r="R2060" s="25"/>
      <c r="S2060" s="25"/>
      <c r="T2060" s="25"/>
      <c r="U2060" s="25"/>
      <c r="V2060" s="25"/>
      <c r="W2060" s="25" t="s">
        <v>64</v>
      </c>
      <c r="X2060" s="25"/>
      <c r="Y2060" s="27"/>
      <c r="Z2060" s="25" t="s">
        <v>67</v>
      </c>
      <c r="AA2060" s="27"/>
      <c r="AB2060" s="25"/>
    </row>
    <row r="2061" spans="1:28">
      <c r="A2061" s="285"/>
      <c r="C2061" s="25">
        <v>136</v>
      </c>
      <c r="D2061" s="2">
        <v>24258</v>
      </c>
      <c r="E2061" s="2" t="s">
        <v>4730</v>
      </c>
      <c r="F2061" s="3">
        <v>29810088800436</v>
      </c>
      <c r="G2061" s="2" t="s">
        <v>3970</v>
      </c>
      <c r="H2061" s="2" t="s">
        <v>4731</v>
      </c>
      <c r="I2061" s="2" t="s">
        <v>4315</v>
      </c>
      <c r="J2061" s="4">
        <v>43648</v>
      </c>
      <c r="K2061" s="2" t="s">
        <v>8</v>
      </c>
      <c r="L2061" s="2" t="s">
        <v>12</v>
      </c>
      <c r="M2061" s="2" t="s">
        <v>4257</v>
      </c>
      <c r="R2061" s="77">
        <v>3</v>
      </c>
      <c r="S2061" s="77">
        <v>2.5</v>
      </c>
      <c r="T2061" s="77">
        <v>2.5</v>
      </c>
      <c r="U2061" s="77">
        <v>2</v>
      </c>
      <c r="V2061" s="77">
        <v>3</v>
      </c>
      <c r="W2061" s="16" t="s">
        <v>170</v>
      </c>
      <c r="Y2061" s="7">
        <v>43675</v>
      </c>
      <c r="Z2061" s="16" t="s">
        <v>66</v>
      </c>
      <c r="AA2061" s="7">
        <v>43682</v>
      </c>
    </row>
    <row r="2062" spans="1:28" ht="15" customHeight="1">
      <c r="A2062" s="285"/>
      <c r="C2062" s="25">
        <v>136</v>
      </c>
      <c r="D2062" s="2">
        <v>24259</v>
      </c>
      <c r="E2062" s="2" t="s">
        <v>4732</v>
      </c>
      <c r="F2062" s="3">
        <v>29709242104119</v>
      </c>
      <c r="G2062" s="2" t="s">
        <v>3970</v>
      </c>
      <c r="H2062" s="2" t="s">
        <v>4733</v>
      </c>
      <c r="I2062" s="2" t="s">
        <v>4315</v>
      </c>
      <c r="J2062" s="4">
        <v>43648</v>
      </c>
      <c r="K2062" s="2" t="s">
        <v>8</v>
      </c>
      <c r="L2062" s="2" t="s">
        <v>12</v>
      </c>
      <c r="M2062" s="2" t="s">
        <v>380</v>
      </c>
      <c r="R2062" s="77">
        <v>3</v>
      </c>
      <c r="S2062" s="77">
        <v>3</v>
      </c>
      <c r="T2062" s="77">
        <v>2.5</v>
      </c>
      <c r="U2062" s="77">
        <v>2</v>
      </c>
      <c r="V2062" s="77">
        <v>3</v>
      </c>
      <c r="W2062" s="16" t="s">
        <v>170</v>
      </c>
      <c r="Y2062" s="45">
        <v>43675</v>
      </c>
      <c r="Z2062" s="16" t="s">
        <v>66</v>
      </c>
      <c r="AA2062" s="7">
        <v>43717</v>
      </c>
    </row>
    <row r="2063" spans="1:28" ht="15" customHeight="1">
      <c r="A2063" s="285"/>
      <c r="C2063" s="25">
        <v>136</v>
      </c>
      <c r="D2063" s="2">
        <v>24260</v>
      </c>
      <c r="E2063" s="2" t="s">
        <v>4734</v>
      </c>
      <c r="F2063" s="3">
        <v>29709290106891</v>
      </c>
      <c r="G2063" s="2" t="s">
        <v>3970</v>
      </c>
      <c r="H2063" s="2" t="s">
        <v>4735</v>
      </c>
      <c r="I2063" s="2" t="s">
        <v>4315</v>
      </c>
      <c r="J2063" s="4">
        <v>43648</v>
      </c>
      <c r="K2063" s="2" t="s">
        <v>8</v>
      </c>
      <c r="L2063" s="2" t="s">
        <v>12</v>
      </c>
      <c r="M2063" s="2" t="s">
        <v>4706</v>
      </c>
      <c r="R2063" s="77">
        <v>3</v>
      </c>
      <c r="S2063" s="77">
        <v>3</v>
      </c>
      <c r="T2063" s="77">
        <v>2</v>
      </c>
      <c r="U2063" s="77">
        <v>2.5</v>
      </c>
      <c r="V2063" s="77">
        <v>3</v>
      </c>
      <c r="W2063" s="103" t="s">
        <v>171</v>
      </c>
      <c r="X2063" s="2" t="s">
        <v>66</v>
      </c>
      <c r="Y2063" s="45">
        <v>43706</v>
      </c>
      <c r="Z2063" s="16" t="s">
        <v>66</v>
      </c>
      <c r="AA2063" s="7">
        <v>43730</v>
      </c>
    </row>
    <row r="2064" spans="1:28">
      <c r="A2064" s="285"/>
      <c r="C2064" s="25">
        <v>136</v>
      </c>
      <c r="D2064" s="2">
        <v>24261</v>
      </c>
      <c r="E2064" s="2" t="s">
        <v>4736</v>
      </c>
      <c r="F2064" s="3">
        <v>29704300100241</v>
      </c>
      <c r="G2064" s="2" t="s">
        <v>129</v>
      </c>
      <c r="H2064" s="2" t="s">
        <v>4737</v>
      </c>
      <c r="I2064" s="2" t="s">
        <v>4315</v>
      </c>
      <c r="J2064" s="4">
        <v>43648</v>
      </c>
      <c r="K2064" s="2" t="s">
        <v>8</v>
      </c>
      <c r="L2064" s="2" t="s">
        <v>12</v>
      </c>
      <c r="M2064" s="2" t="s">
        <v>4706</v>
      </c>
      <c r="R2064" s="77">
        <v>3</v>
      </c>
      <c r="S2064" s="77">
        <v>2.5</v>
      </c>
      <c r="T2064" s="77">
        <v>2</v>
      </c>
      <c r="U2064" s="77">
        <v>2</v>
      </c>
      <c r="V2064" s="77">
        <v>3</v>
      </c>
      <c r="W2064" s="16" t="s">
        <v>62</v>
      </c>
      <c r="Y2064" s="45">
        <v>43675</v>
      </c>
      <c r="Z2064" s="16" t="s">
        <v>66</v>
      </c>
      <c r="AA2064" s="7">
        <v>43682</v>
      </c>
    </row>
    <row r="2065" spans="1:28">
      <c r="A2065" s="285"/>
      <c r="C2065" s="25">
        <v>136</v>
      </c>
      <c r="D2065" s="2">
        <v>24262</v>
      </c>
      <c r="E2065" s="2" t="s">
        <v>4738</v>
      </c>
      <c r="F2065" s="3">
        <v>29405210101275</v>
      </c>
      <c r="G2065" s="2" t="s">
        <v>129</v>
      </c>
      <c r="H2065" s="2" t="s">
        <v>4739</v>
      </c>
      <c r="I2065" s="2" t="s">
        <v>4315</v>
      </c>
      <c r="J2065" s="4">
        <v>43648</v>
      </c>
      <c r="K2065" s="2" t="s">
        <v>8</v>
      </c>
      <c r="L2065" s="2" t="s">
        <v>12</v>
      </c>
      <c r="M2065" s="2" t="s">
        <v>4257</v>
      </c>
      <c r="R2065" s="77">
        <v>3</v>
      </c>
      <c r="S2065" s="77">
        <v>3</v>
      </c>
      <c r="T2065" s="77">
        <v>1.5</v>
      </c>
      <c r="U2065" s="77">
        <v>1.5</v>
      </c>
      <c r="V2065" s="77">
        <v>3</v>
      </c>
      <c r="W2065" s="16" t="s">
        <v>62</v>
      </c>
      <c r="Y2065" s="45">
        <v>43675</v>
      </c>
      <c r="Z2065" s="16" t="s">
        <v>66</v>
      </c>
      <c r="AA2065" s="45">
        <v>43682</v>
      </c>
    </row>
    <row r="2066" spans="1:28" ht="15" customHeight="1">
      <c r="A2066" s="285"/>
      <c r="C2066" s="25">
        <v>136</v>
      </c>
      <c r="D2066" s="2">
        <v>24263</v>
      </c>
      <c r="E2066" s="2" t="s">
        <v>4740</v>
      </c>
      <c r="F2066" s="3">
        <v>29902152102863</v>
      </c>
      <c r="G2066" s="2" t="s">
        <v>3970</v>
      </c>
      <c r="H2066" s="2" t="s">
        <v>4741</v>
      </c>
      <c r="I2066" s="2" t="s">
        <v>4315</v>
      </c>
      <c r="J2066" s="4">
        <v>43648</v>
      </c>
      <c r="K2066" s="2" t="s">
        <v>8</v>
      </c>
      <c r="L2066" s="2" t="s">
        <v>12</v>
      </c>
      <c r="M2066" s="2" t="s">
        <v>4257</v>
      </c>
      <c r="R2066" s="77">
        <v>3</v>
      </c>
      <c r="S2066" s="77">
        <v>3</v>
      </c>
      <c r="T2066" s="77">
        <v>2.5</v>
      </c>
      <c r="U2066" s="77">
        <v>2.5</v>
      </c>
      <c r="V2066" s="77">
        <v>3</v>
      </c>
      <c r="W2066" s="16" t="s">
        <v>150</v>
      </c>
      <c r="X2066" s="2" t="s">
        <v>66</v>
      </c>
      <c r="Y2066" s="45">
        <v>43706</v>
      </c>
      <c r="Z2066" s="16" t="s">
        <v>66</v>
      </c>
      <c r="AA2066" s="7">
        <v>43709</v>
      </c>
    </row>
    <row r="2067" spans="1:28">
      <c r="A2067" s="285"/>
      <c r="C2067" s="25">
        <v>136</v>
      </c>
      <c r="D2067" s="2">
        <v>24264</v>
      </c>
      <c r="E2067" s="2" t="s">
        <v>4742</v>
      </c>
      <c r="F2067" s="3">
        <v>29705142400866</v>
      </c>
      <c r="G2067" s="2" t="s">
        <v>3970</v>
      </c>
      <c r="H2067" s="2" t="s">
        <v>4743</v>
      </c>
      <c r="I2067" s="2" t="s">
        <v>4315</v>
      </c>
      <c r="J2067" s="4">
        <v>43648</v>
      </c>
      <c r="K2067" s="2" t="s">
        <v>8</v>
      </c>
      <c r="L2067" s="2" t="s">
        <v>12</v>
      </c>
      <c r="M2067" s="2" t="s">
        <v>4257</v>
      </c>
      <c r="R2067" s="77">
        <v>3</v>
      </c>
      <c r="S2067" s="77">
        <v>2.5</v>
      </c>
      <c r="T2067" s="77">
        <v>2</v>
      </c>
      <c r="U2067" s="77">
        <v>2.5</v>
      </c>
      <c r="V2067" s="77">
        <v>3</v>
      </c>
      <c r="W2067" s="16" t="s">
        <v>171</v>
      </c>
      <c r="Y2067" s="45">
        <v>43675</v>
      </c>
      <c r="Z2067" s="16" t="s">
        <v>66</v>
      </c>
      <c r="AA2067" s="7">
        <v>43681</v>
      </c>
    </row>
    <row r="2068" spans="1:28">
      <c r="A2068" s="285"/>
      <c r="C2068" s="25">
        <v>136</v>
      </c>
      <c r="D2068" s="2">
        <v>24265</v>
      </c>
      <c r="E2068" s="2" t="s">
        <v>4744</v>
      </c>
      <c r="F2068" s="3">
        <v>29901242603709</v>
      </c>
      <c r="G2068" s="2" t="s">
        <v>3970</v>
      </c>
      <c r="H2068" s="2" t="s">
        <v>4745</v>
      </c>
      <c r="I2068" s="2" t="s">
        <v>4315</v>
      </c>
      <c r="J2068" s="4">
        <v>43648</v>
      </c>
      <c r="K2068" s="2" t="s">
        <v>8</v>
      </c>
      <c r="L2068" s="2" t="s">
        <v>12</v>
      </c>
      <c r="M2068" s="2" t="s">
        <v>4706</v>
      </c>
      <c r="R2068" s="77">
        <v>3</v>
      </c>
      <c r="S2068" s="77">
        <v>2.5</v>
      </c>
      <c r="T2068" s="77">
        <v>2</v>
      </c>
      <c r="U2068" s="77">
        <v>2.5</v>
      </c>
      <c r="V2068" s="77">
        <v>3</v>
      </c>
      <c r="W2068" s="16" t="s">
        <v>171</v>
      </c>
      <c r="Y2068" s="45">
        <v>43675</v>
      </c>
      <c r="Z2068" s="16" t="s">
        <v>66</v>
      </c>
      <c r="AA2068" s="7">
        <v>43681</v>
      </c>
    </row>
    <row r="2069" spans="1:28" ht="15" customHeight="1">
      <c r="A2069" s="285"/>
      <c r="C2069" s="25">
        <v>136</v>
      </c>
      <c r="D2069" s="2">
        <v>24266</v>
      </c>
      <c r="E2069" s="2" t="s">
        <v>4746</v>
      </c>
      <c r="F2069" s="3">
        <v>29609290104274</v>
      </c>
      <c r="G2069" s="2" t="s">
        <v>3970</v>
      </c>
      <c r="H2069" s="2" t="s">
        <v>4747</v>
      </c>
      <c r="I2069" s="2" t="s">
        <v>4315</v>
      </c>
      <c r="J2069" s="4">
        <v>43648</v>
      </c>
      <c r="K2069" s="2" t="s">
        <v>8</v>
      </c>
      <c r="L2069" s="2" t="s">
        <v>12</v>
      </c>
      <c r="M2069" s="2" t="s">
        <v>4432</v>
      </c>
      <c r="R2069" s="77">
        <v>3</v>
      </c>
      <c r="S2069" s="77">
        <v>2.5</v>
      </c>
      <c r="T2069" s="77">
        <v>2</v>
      </c>
      <c r="U2069" s="77">
        <v>2.5</v>
      </c>
      <c r="V2069" s="77">
        <v>3</v>
      </c>
      <c r="W2069" s="16" t="s">
        <v>61</v>
      </c>
      <c r="X2069" s="2" t="s">
        <v>66</v>
      </c>
      <c r="Y2069" s="45">
        <v>43706</v>
      </c>
      <c r="Z2069" s="16" t="s">
        <v>66</v>
      </c>
      <c r="AA2069" s="7">
        <v>43730</v>
      </c>
    </row>
    <row r="2070" spans="1:28">
      <c r="A2070" s="285"/>
      <c r="C2070" s="25">
        <v>136</v>
      </c>
      <c r="D2070" s="2">
        <v>19593</v>
      </c>
      <c r="E2070" s="2" t="s">
        <v>4748</v>
      </c>
      <c r="F2070" s="3">
        <v>29310108800044</v>
      </c>
      <c r="G2070" s="2" t="s">
        <v>129</v>
      </c>
      <c r="H2070" s="2" t="s">
        <v>2203</v>
      </c>
      <c r="I2070" s="2" t="s">
        <v>4305</v>
      </c>
      <c r="J2070" s="4">
        <v>43648</v>
      </c>
      <c r="K2070" s="2" t="s">
        <v>8</v>
      </c>
      <c r="L2070" s="2" t="s">
        <v>12</v>
      </c>
      <c r="M2070" s="2" t="s">
        <v>293</v>
      </c>
      <c r="R2070" s="77">
        <v>3</v>
      </c>
      <c r="S2070" s="77">
        <v>3</v>
      </c>
      <c r="T2070" s="77">
        <v>2.5</v>
      </c>
      <c r="U2070" s="77">
        <v>2</v>
      </c>
      <c r="V2070" s="77">
        <v>3</v>
      </c>
      <c r="W2070" s="16" t="s">
        <v>170</v>
      </c>
      <c r="Y2070" s="7">
        <v>43675</v>
      </c>
      <c r="Z2070" s="16" t="s">
        <v>66</v>
      </c>
      <c r="AA2070" s="7">
        <v>43683</v>
      </c>
    </row>
    <row r="2071" spans="1:28">
      <c r="A2071" s="285"/>
      <c r="C2071" s="25">
        <v>136</v>
      </c>
      <c r="D2071" s="2">
        <v>24281</v>
      </c>
      <c r="E2071" s="2" t="s">
        <v>4749</v>
      </c>
      <c r="F2071" s="3">
        <v>29809302105297</v>
      </c>
      <c r="G2071" s="2" t="s">
        <v>3970</v>
      </c>
      <c r="H2071" s="2" t="s">
        <v>4750</v>
      </c>
      <c r="I2071" s="2" t="s">
        <v>4315</v>
      </c>
      <c r="J2071" s="4">
        <v>43648</v>
      </c>
      <c r="K2071" s="2" t="s">
        <v>8</v>
      </c>
      <c r="L2071" s="2" t="s">
        <v>12</v>
      </c>
      <c r="M2071" s="2" t="s">
        <v>103</v>
      </c>
      <c r="R2071" s="77">
        <v>3</v>
      </c>
      <c r="S2071" s="77">
        <v>2.5</v>
      </c>
      <c r="T2071" s="77">
        <v>2</v>
      </c>
      <c r="U2071" s="77">
        <v>2</v>
      </c>
      <c r="V2071" s="77">
        <v>3</v>
      </c>
      <c r="W2071" s="16" t="s">
        <v>62</v>
      </c>
      <c r="Y2071" s="7">
        <v>43675</v>
      </c>
      <c r="Z2071" s="16" t="s">
        <v>66</v>
      </c>
      <c r="AA2071" s="7">
        <v>43682</v>
      </c>
    </row>
    <row r="2072" spans="1:28" ht="15" customHeight="1">
      <c r="A2072" s="285"/>
      <c r="C2072" s="25">
        <v>136</v>
      </c>
      <c r="D2072" s="2">
        <v>24282</v>
      </c>
      <c r="E2072" s="2" t="s">
        <v>4751</v>
      </c>
      <c r="F2072" s="3">
        <v>29811110103511</v>
      </c>
      <c r="G2072" s="2" t="s">
        <v>4373</v>
      </c>
      <c r="H2072" s="2" t="s">
        <v>4752</v>
      </c>
      <c r="I2072" s="2" t="s">
        <v>4315</v>
      </c>
      <c r="J2072" s="4">
        <v>43648</v>
      </c>
      <c r="K2072" s="2" t="s">
        <v>8</v>
      </c>
      <c r="L2072" s="2" t="s">
        <v>12</v>
      </c>
      <c r="M2072" s="2" t="s">
        <v>4753</v>
      </c>
      <c r="R2072" s="77">
        <v>3</v>
      </c>
      <c r="S2072" s="77">
        <v>2</v>
      </c>
      <c r="T2072" s="77">
        <v>2</v>
      </c>
      <c r="U2072" s="77">
        <v>2.5</v>
      </c>
      <c r="V2072" s="77">
        <v>3</v>
      </c>
      <c r="W2072" s="103" t="s">
        <v>62</v>
      </c>
      <c r="Y2072" s="7">
        <v>43675</v>
      </c>
      <c r="Z2072" s="16" t="s">
        <v>66</v>
      </c>
      <c r="AA2072" s="7">
        <v>43702</v>
      </c>
      <c r="AB2072" s="2" t="s">
        <v>3967</v>
      </c>
    </row>
    <row r="2073" spans="1:28" ht="15" customHeight="1">
      <c r="A2073" s="285"/>
      <c r="C2073" s="25">
        <v>136</v>
      </c>
      <c r="D2073" s="2">
        <v>24283</v>
      </c>
      <c r="E2073" s="2" t="s">
        <v>4754</v>
      </c>
      <c r="F2073" s="3">
        <v>28706260103356</v>
      </c>
      <c r="G2073" s="2" t="s">
        <v>129</v>
      </c>
      <c r="H2073" s="2" t="s">
        <v>4755</v>
      </c>
      <c r="I2073" s="2" t="s">
        <v>4315</v>
      </c>
      <c r="J2073" s="4">
        <v>43648</v>
      </c>
      <c r="K2073" s="2" t="s">
        <v>8</v>
      </c>
      <c r="L2073" s="2" t="s">
        <v>12</v>
      </c>
      <c r="M2073" s="2" t="s">
        <v>105</v>
      </c>
      <c r="R2073" s="77">
        <v>3</v>
      </c>
      <c r="S2073" s="77">
        <v>2.5</v>
      </c>
      <c r="T2073" s="77">
        <v>2.5</v>
      </c>
      <c r="U2073" s="77">
        <v>2.5</v>
      </c>
      <c r="V2073" s="77">
        <v>3</v>
      </c>
      <c r="W2073" s="16" t="s">
        <v>170</v>
      </c>
      <c r="Y2073" s="7">
        <v>43675</v>
      </c>
      <c r="Z2073" s="16" t="s">
        <v>66</v>
      </c>
      <c r="AB2073" s="2" t="s">
        <v>3894</v>
      </c>
    </row>
    <row r="2074" spans="1:28" ht="15.75" thickBot="1">
      <c r="A2074" s="286"/>
      <c r="C2074" s="28">
        <v>136</v>
      </c>
      <c r="D2074" s="28">
        <v>24284</v>
      </c>
      <c r="E2074" s="28" t="s">
        <v>4756</v>
      </c>
      <c r="F2074" s="29">
        <v>29608020101561</v>
      </c>
      <c r="G2074" s="28" t="s">
        <v>129</v>
      </c>
      <c r="H2074" s="28" t="s">
        <v>4757</v>
      </c>
      <c r="I2074" s="28" t="s">
        <v>4315</v>
      </c>
      <c r="J2074" s="30">
        <v>43648</v>
      </c>
      <c r="K2074" s="28" t="s">
        <v>8</v>
      </c>
      <c r="L2074" s="28" t="s">
        <v>12</v>
      </c>
      <c r="M2074" s="28" t="s">
        <v>4257</v>
      </c>
      <c r="N2074" s="28"/>
      <c r="O2074" s="226"/>
      <c r="P2074" s="28"/>
      <c r="Q2074" s="226"/>
      <c r="R2074" s="37">
        <v>3</v>
      </c>
      <c r="S2074" s="37">
        <v>2.5</v>
      </c>
      <c r="T2074" s="37">
        <v>2</v>
      </c>
      <c r="U2074" s="37">
        <v>2.5</v>
      </c>
      <c r="V2074" s="37">
        <v>3</v>
      </c>
      <c r="W2074" s="28" t="s">
        <v>61</v>
      </c>
      <c r="X2074" s="28"/>
      <c r="Y2074" s="30">
        <v>43675</v>
      </c>
      <c r="Z2074" s="28" t="s">
        <v>66</v>
      </c>
      <c r="AA2074" s="30">
        <v>43681</v>
      </c>
      <c r="AB2074" s="28"/>
    </row>
    <row r="2075" spans="1:28" ht="15.75" customHeight="1" thickTop="1">
      <c r="A2075" s="284" t="s">
        <v>3120</v>
      </c>
      <c r="C2075" s="25" t="s">
        <v>4789</v>
      </c>
      <c r="D2075" s="25">
        <v>24267</v>
      </c>
      <c r="E2075" s="25" t="s">
        <v>4758</v>
      </c>
      <c r="F2075" s="26">
        <v>29907210103699</v>
      </c>
      <c r="G2075" s="25" t="s">
        <v>3970</v>
      </c>
      <c r="H2075" s="25" t="s">
        <v>4759</v>
      </c>
      <c r="I2075" s="25" t="s">
        <v>4315</v>
      </c>
      <c r="J2075" s="27">
        <v>43645</v>
      </c>
      <c r="K2075" s="25" t="s">
        <v>798</v>
      </c>
      <c r="L2075" s="25" t="s">
        <v>12</v>
      </c>
      <c r="M2075" s="25" t="s">
        <v>108</v>
      </c>
      <c r="N2075" s="25"/>
      <c r="O2075" s="224"/>
      <c r="P2075" s="25"/>
      <c r="Q2075" s="224"/>
      <c r="R2075" s="25"/>
      <c r="S2075" s="25"/>
      <c r="T2075" s="25"/>
      <c r="U2075" s="25"/>
      <c r="V2075" s="25"/>
      <c r="W2075" s="25" t="s">
        <v>63</v>
      </c>
      <c r="X2075" s="25"/>
      <c r="Y2075" s="27"/>
      <c r="Z2075" s="25" t="s">
        <v>67</v>
      </c>
      <c r="AA2075" s="27"/>
      <c r="AB2075" s="25"/>
    </row>
    <row r="2076" spans="1:28">
      <c r="A2076" s="285"/>
      <c r="C2076" s="25" t="s">
        <v>4789</v>
      </c>
      <c r="D2076" s="2">
        <v>24268</v>
      </c>
      <c r="E2076" s="2" t="s">
        <v>4760</v>
      </c>
      <c r="F2076" s="3">
        <v>29901162100498</v>
      </c>
      <c r="G2076" s="2" t="s">
        <v>3970</v>
      </c>
      <c r="H2076" s="2" t="s">
        <v>4761</v>
      </c>
      <c r="I2076" s="2" t="s">
        <v>4315</v>
      </c>
      <c r="J2076" s="4">
        <v>43645</v>
      </c>
      <c r="K2076" s="2" t="s">
        <v>798</v>
      </c>
      <c r="L2076" s="2" t="s">
        <v>12</v>
      </c>
      <c r="M2076" s="2" t="s">
        <v>4706</v>
      </c>
      <c r="W2076" s="16" t="s">
        <v>60</v>
      </c>
      <c r="Y2076" s="7">
        <v>43671</v>
      </c>
      <c r="Z2076" s="16" t="s">
        <v>66</v>
      </c>
      <c r="AA2076" s="7">
        <v>43682</v>
      </c>
    </row>
    <row r="2077" spans="1:28">
      <c r="A2077" s="285"/>
      <c r="C2077" s="25" t="s">
        <v>4789</v>
      </c>
      <c r="D2077" s="2">
        <v>24269</v>
      </c>
      <c r="E2077" s="2" t="s">
        <v>4762</v>
      </c>
      <c r="F2077" s="3">
        <v>29202222101698</v>
      </c>
      <c r="G2077" s="2" t="s">
        <v>34</v>
      </c>
      <c r="H2077" s="2" t="s">
        <v>4763</v>
      </c>
      <c r="I2077" s="2" t="s">
        <v>4315</v>
      </c>
      <c r="J2077" s="4">
        <v>43645</v>
      </c>
      <c r="K2077" s="2" t="s">
        <v>798</v>
      </c>
      <c r="L2077" s="2" t="s">
        <v>12</v>
      </c>
      <c r="M2077" s="2" t="s">
        <v>103</v>
      </c>
      <c r="W2077" s="16" t="s">
        <v>3321</v>
      </c>
      <c r="Y2077" s="7">
        <v>43671</v>
      </c>
      <c r="Z2077" s="16" t="s">
        <v>66</v>
      </c>
      <c r="AA2077" s="7">
        <v>43682</v>
      </c>
    </row>
    <row r="2078" spans="1:28" ht="15" customHeight="1">
      <c r="A2078" s="285"/>
      <c r="C2078" s="25" t="s">
        <v>4789</v>
      </c>
      <c r="D2078" s="2">
        <v>24270</v>
      </c>
      <c r="E2078" s="2" t="s">
        <v>4764</v>
      </c>
      <c r="F2078" s="3">
        <v>29601010136639</v>
      </c>
      <c r="G2078" s="2" t="s">
        <v>129</v>
      </c>
      <c r="H2078" s="2" t="s">
        <v>4765</v>
      </c>
      <c r="I2078" s="2" t="s">
        <v>4315</v>
      </c>
      <c r="J2078" s="4">
        <v>43645</v>
      </c>
      <c r="K2078" s="2" t="s">
        <v>798</v>
      </c>
      <c r="L2078" s="2" t="s">
        <v>12</v>
      </c>
      <c r="M2078" s="2" t="s">
        <v>4257</v>
      </c>
      <c r="W2078" s="103" t="s">
        <v>3244</v>
      </c>
    </row>
    <row r="2079" spans="1:28" ht="15" customHeight="1">
      <c r="A2079" s="285"/>
      <c r="C2079" s="25" t="s">
        <v>4789</v>
      </c>
      <c r="D2079" s="2">
        <v>24271</v>
      </c>
      <c r="E2079" s="2" t="s">
        <v>4766</v>
      </c>
      <c r="F2079" s="3">
        <v>30005122100282</v>
      </c>
      <c r="G2079" s="2" t="s">
        <v>3970</v>
      </c>
      <c r="H2079" s="2" t="s">
        <v>4767</v>
      </c>
      <c r="I2079" s="2" t="s">
        <v>4315</v>
      </c>
      <c r="J2079" s="4">
        <v>43645</v>
      </c>
      <c r="K2079" s="2" t="s">
        <v>798</v>
      </c>
      <c r="L2079" s="2" t="s">
        <v>12</v>
      </c>
      <c r="M2079" s="2" t="s">
        <v>1249</v>
      </c>
      <c r="W2079" s="103" t="s">
        <v>3244</v>
      </c>
    </row>
    <row r="2080" spans="1:28" ht="15" customHeight="1">
      <c r="A2080" s="285"/>
      <c r="C2080" s="25" t="s">
        <v>4789</v>
      </c>
      <c r="D2080" s="2">
        <v>24272</v>
      </c>
      <c r="E2080" s="2" t="s">
        <v>4768</v>
      </c>
      <c r="F2080" s="3">
        <v>29903050103152</v>
      </c>
      <c r="G2080" s="2" t="s">
        <v>3970</v>
      </c>
      <c r="H2080" s="2" t="s">
        <v>4769</v>
      </c>
      <c r="I2080" s="2" t="s">
        <v>4315</v>
      </c>
      <c r="J2080" s="4">
        <v>43645</v>
      </c>
      <c r="K2080" s="2" t="s">
        <v>798</v>
      </c>
      <c r="L2080" s="2" t="s">
        <v>12</v>
      </c>
      <c r="M2080" s="2" t="s">
        <v>3214</v>
      </c>
      <c r="W2080" s="103" t="s">
        <v>3244</v>
      </c>
    </row>
    <row r="2081" spans="1:28">
      <c r="A2081" s="285"/>
      <c r="C2081" s="25" t="s">
        <v>4789</v>
      </c>
      <c r="D2081" s="2">
        <v>24273</v>
      </c>
      <c r="E2081" s="2" t="s">
        <v>4770</v>
      </c>
      <c r="F2081" s="3">
        <v>29603222101218</v>
      </c>
      <c r="G2081" s="2" t="s">
        <v>3970</v>
      </c>
      <c r="H2081" s="2" t="s">
        <v>4771</v>
      </c>
      <c r="I2081" s="2" t="s">
        <v>4315</v>
      </c>
      <c r="J2081" s="4">
        <v>43645</v>
      </c>
      <c r="K2081" s="2" t="s">
        <v>798</v>
      </c>
      <c r="L2081" s="2" t="s">
        <v>12</v>
      </c>
      <c r="M2081" s="2" t="s">
        <v>4706</v>
      </c>
      <c r="W2081" s="16" t="s">
        <v>111</v>
      </c>
      <c r="Y2081" s="7">
        <v>43671</v>
      </c>
      <c r="Z2081" s="16" t="s">
        <v>66</v>
      </c>
      <c r="AA2081" s="7">
        <v>43682</v>
      </c>
    </row>
    <row r="2082" spans="1:28">
      <c r="A2082" s="285"/>
      <c r="C2082" s="25" t="s">
        <v>4789</v>
      </c>
      <c r="D2082" s="2">
        <v>24274</v>
      </c>
      <c r="E2082" s="2" t="s">
        <v>4772</v>
      </c>
      <c r="F2082" s="3">
        <v>29504192102097</v>
      </c>
      <c r="G2082" s="2" t="s">
        <v>3970</v>
      </c>
      <c r="H2082" s="2" t="s">
        <v>4773</v>
      </c>
      <c r="I2082" s="2" t="s">
        <v>4315</v>
      </c>
      <c r="J2082" s="4">
        <v>43645</v>
      </c>
      <c r="K2082" s="2" t="s">
        <v>798</v>
      </c>
      <c r="L2082" s="2" t="s">
        <v>12</v>
      </c>
      <c r="M2082" s="2" t="s">
        <v>4706</v>
      </c>
      <c r="W2082" s="16" t="s">
        <v>111</v>
      </c>
      <c r="Y2082" s="7">
        <v>43671</v>
      </c>
      <c r="Z2082" s="16" t="s">
        <v>66</v>
      </c>
      <c r="AA2082" s="45">
        <v>43682</v>
      </c>
    </row>
    <row r="2083" spans="1:28" ht="15" customHeight="1">
      <c r="A2083" s="285"/>
      <c r="C2083" s="25" t="s">
        <v>4789</v>
      </c>
      <c r="D2083" s="2">
        <v>24275</v>
      </c>
      <c r="E2083" s="2" t="s">
        <v>4774</v>
      </c>
      <c r="F2083" s="3">
        <v>30001018801192</v>
      </c>
      <c r="G2083" s="2" t="s">
        <v>3970</v>
      </c>
      <c r="H2083" s="2" t="s">
        <v>4775</v>
      </c>
      <c r="I2083" s="2" t="s">
        <v>4315</v>
      </c>
      <c r="J2083" s="4">
        <v>43645</v>
      </c>
      <c r="K2083" s="2" t="s">
        <v>798</v>
      </c>
      <c r="L2083" s="2" t="s">
        <v>12</v>
      </c>
      <c r="M2083" s="2" t="s">
        <v>4776</v>
      </c>
      <c r="W2083" s="16" t="s">
        <v>111</v>
      </c>
      <c r="Y2083" s="7">
        <v>43671</v>
      </c>
      <c r="Z2083" s="16" t="s">
        <v>66</v>
      </c>
      <c r="AA2083" s="7">
        <v>43682</v>
      </c>
    </row>
    <row r="2084" spans="1:28" ht="15" customHeight="1">
      <c r="A2084" s="285"/>
      <c r="C2084" s="25" t="s">
        <v>4789</v>
      </c>
      <c r="D2084" s="2">
        <v>24276</v>
      </c>
      <c r="E2084" s="2" t="s">
        <v>4777</v>
      </c>
      <c r="F2084" s="3">
        <v>29709290100036</v>
      </c>
      <c r="G2084" s="2" t="s">
        <v>4</v>
      </c>
      <c r="H2084" s="2" t="s">
        <v>4778</v>
      </c>
      <c r="I2084" s="2" t="s">
        <v>4315</v>
      </c>
      <c r="J2084" s="4">
        <v>43645</v>
      </c>
      <c r="K2084" s="2" t="s">
        <v>798</v>
      </c>
      <c r="L2084" s="2" t="s">
        <v>12</v>
      </c>
      <c r="M2084" s="2" t="s">
        <v>105</v>
      </c>
      <c r="W2084" s="103" t="s">
        <v>3244</v>
      </c>
    </row>
    <row r="2085" spans="1:28" ht="15" customHeight="1">
      <c r="A2085" s="285"/>
      <c r="C2085" s="25" t="s">
        <v>4789</v>
      </c>
      <c r="D2085" s="2">
        <v>24277</v>
      </c>
      <c r="E2085" s="2" t="s">
        <v>4779</v>
      </c>
      <c r="F2085" s="3">
        <v>29803032103078</v>
      </c>
      <c r="G2085" s="2" t="s">
        <v>3970</v>
      </c>
      <c r="H2085" s="2" t="s">
        <v>4780</v>
      </c>
      <c r="I2085" s="2" t="s">
        <v>4315</v>
      </c>
      <c r="J2085" s="4">
        <v>43645</v>
      </c>
      <c r="K2085" s="2" t="s">
        <v>798</v>
      </c>
      <c r="L2085" s="2" t="s">
        <v>12</v>
      </c>
      <c r="M2085" s="2" t="s">
        <v>4257</v>
      </c>
      <c r="W2085" s="103" t="s">
        <v>3244</v>
      </c>
    </row>
    <row r="2086" spans="1:28">
      <c r="A2086" s="285"/>
      <c r="C2086" s="25" t="s">
        <v>4789</v>
      </c>
      <c r="D2086" s="2">
        <v>24278</v>
      </c>
      <c r="E2086" s="2" t="s">
        <v>4781</v>
      </c>
      <c r="F2086" s="3">
        <v>29308050101332</v>
      </c>
      <c r="G2086" s="2" t="s">
        <v>3970</v>
      </c>
      <c r="H2086" s="2" t="s">
        <v>4782</v>
      </c>
      <c r="I2086" s="2" t="s">
        <v>4315</v>
      </c>
      <c r="J2086" s="4">
        <v>43645</v>
      </c>
      <c r="K2086" s="2" t="s">
        <v>798</v>
      </c>
      <c r="L2086" s="2" t="s">
        <v>12</v>
      </c>
      <c r="M2086" s="2" t="s">
        <v>16</v>
      </c>
      <c r="W2086" s="16" t="s">
        <v>111</v>
      </c>
      <c r="Y2086" s="7">
        <v>43671</v>
      </c>
      <c r="Z2086" s="16" t="s">
        <v>66</v>
      </c>
      <c r="AA2086" s="7">
        <v>43682</v>
      </c>
      <c r="AB2086" s="2" t="s">
        <v>5140</v>
      </c>
    </row>
    <row r="2087" spans="1:28" ht="15" customHeight="1">
      <c r="A2087" s="285"/>
      <c r="C2087" s="25" t="s">
        <v>4789</v>
      </c>
      <c r="D2087" s="2">
        <v>24279</v>
      </c>
      <c r="E2087" s="2" t="s">
        <v>4783</v>
      </c>
      <c r="F2087" s="3">
        <v>29311281401143</v>
      </c>
      <c r="G2087" s="2" t="s">
        <v>34</v>
      </c>
      <c r="H2087" s="2" t="s">
        <v>4784</v>
      </c>
      <c r="I2087" s="2" t="s">
        <v>4315</v>
      </c>
      <c r="J2087" s="4">
        <v>43645</v>
      </c>
      <c r="K2087" s="2" t="s">
        <v>798</v>
      </c>
      <c r="L2087" s="2" t="s">
        <v>12</v>
      </c>
      <c r="M2087" s="2" t="s">
        <v>293</v>
      </c>
      <c r="W2087" s="16" t="s">
        <v>340</v>
      </c>
      <c r="Y2087" s="7">
        <v>43671</v>
      </c>
    </row>
    <row r="2088" spans="1:28">
      <c r="A2088" s="285"/>
      <c r="C2088" s="25" t="s">
        <v>4789</v>
      </c>
      <c r="D2088" s="2">
        <v>24280</v>
      </c>
      <c r="E2088" s="2" t="s">
        <v>4785</v>
      </c>
      <c r="F2088" s="3">
        <v>29001010113453</v>
      </c>
      <c r="G2088" s="2" t="s">
        <v>34</v>
      </c>
      <c r="H2088" s="2" t="s">
        <v>4786</v>
      </c>
      <c r="I2088" s="2" t="s">
        <v>4315</v>
      </c>
      <c r="J2088" s="4">
        <v>43645</v>
      </c>
      <c r="K2088" s="2" t="s">
        <v>798</v>
      </c>
      <c r="L2088" s="2" t="s">
        <v>12</v>
      </c>
      <c r="M2088" s="2" t="s">
        <v>3890</v>
      </c>
      <c r="W2088" s="16" t="s">
        <v>111</v>
      </c>
      <c r="Y2088" s="7">
        <v>43671</v>
      </c>
      <c r="Z2088" s="16" t="s">
        <v>66</v>
      </c>
      <c r="AA2088" s="7">
        <v>43682</v>
      </c>
    </row>
    <row r="2089" spans="1:28" ht="15.75" customHeight="1" thickBot="1">
      <c r="A2089" s="286"/>
      <c r="C2089" s="28" t="s">
        <v>4789</v>
      </c>
      <c r="D2089" s="28">
        <v>20139</v>
      </c>
      <c r="E2089" s="28" t="s">
        <v>4787</v>
      </c>
      <c r="F2089" s="29">
        <v>28706090101345</v>
      </c>
      <c r="G2089" s="28" t="s">
        <v>34</v>
      </c>
      <c r="H2089" s="28" t="s">
        <v>4788</v>
      </c>
      <c r="I2089" s="28" t="s">
        <v>4305</v>
      </c>
      <c r="J2089" s="30">
        <v>43645</v>
      </c>
      <c r="K2089" s="28" t="s">
        <v>798</v>
      </c>
      <c r="L2089" s="28" t="s">
        <v>12</v>
      </c>
      <c r="M2089" s="28" t="s">
        <v>103</v>
      </c>
      <c r="N2089" s="28"/>
      <c r="O2089" s="226"/>
      <c r="P2089" s="28"/>
      <c r="Q2089" s="226"/>
      <c r="R2089" s="28"/>
      <c r="S2089" s="28"/>
      <c r="T2089" s="28"/>
      <c r="U2089" s="28"/>
      <c r="V2089" s="28"/>
      <c r="W2089" s="28" t="s">
        <v>3321</v>
      </c>
      <c r="X2089" s="28"/>
      <c r="Y2089" s="30">
        <v>43671</v>
      </c>
      <c r="Z2089" s="28" t="s">
        <v>67</v>
      </c>
      <c r="AA2089" s="30"/>
      <c r="AB2089" s="28" t="s">
        <v>4438</v>
      </c>
    </row>
    <row r="2090" spans="1:28" ht="15.75" customHeight="1" thickTop="1">
      <c r="A2090" s="284" t="s">
        <v>4077</v>
      </c>
      <c r="C2090" s="25">
        <v>137</v>
      </c>
      <c r="D2090" s="25">
        <v>24536</v>
      </c>
      <c r="E2090" s="25" t="s">
        <v>4792</v>
      </c>
      <c r="F2090" s="26">
        <v>29701252102164</v>
      </c>
      <c r="G2090" s="103" t="s">
        <v>34</v>
      </c>
      <c r="H2090" s="25" t="s">
        <v>4793</v>
      </c>
      <c r="I2090" s="25" t="s">
        <v>4315</v>
      </c>
      <c r="J2090" s="27">
        <v>43654</v>
      </c>
      <c r="K2090" s="25" t="s">
        <v>8</v>
      </c>
      <c r="L2090" s="25" t="s">
        <v>12</v>
      </c>
      <c r="M2090" s="25" t="s">
        <v>103</v>
      </c>
      <c r="N2090" s="25"/>
      <c r="O2090" s="224"/>
      <c r="P2090" s="25"/>
      <c r="Q2090" s="224"/>
      <c r="R2090" s="77">
        <v>3</v>
      </c>
      <c r="S2090" s="77">
        <v>3</v>
      </c>
      <c r="T2090" s="77">
        <v>2.5</v>
      </c>
      <c r="U2090" s="77">
        <v>2</v>
      </c>
      <c r="V2090" s="77">
        <v>3</v>
      </c>
      <c r="W2090" s="25" t="s">
        <v>60</v>
      </c>
      <c r="X2090" s="25"/>
      <c r="Y2090" s="27">
        <v>43678</v>
      </c>
      <c r="Z2090" s="25" t="s">
        <v>66</v>
      </c>
      <c r="AA2090" s="27">
        <v>43683</v>
      </c>
      <c r="AB2090" s="25"/>
    </row>
    <row r="2091" spans="1:28" ht="15" customHeight="1">
      <c r="A2091" s="285"/>
      <c r="C2091" s="25">
        <v>137</v>
      </c>
      <c r="D2091" s="2">
        <v>24537</v>
      </c>
      <c r="E2091" s="2" t="s">
        <v>4794</v>
      </c>
      <c r="F2091" s="3">
        <v>29709292106481</v>
      </c>
      <c r="G2091" s="2" t="s">
        <v>4025</v>
      </c>
      <c r="H2091" s="2" t="s">
        <v>4795</v>
      </c>
      <c r="I2091" s="2" t="s">
        <v>4315</v>
      </c>
      <c r="J2091" s="4">
        <v>43654</v>
      </c>
      <c r="K2091" s="2" t="s">
        <v>8</v>
      </c>
      <c r="L2091" s="2" t="s">
        <v>12</v>
      </c>
      <c r="M2091" s="2" t="s">
        <v>3173</v>
      </c>
      <c r="R2091" s="77">
        <v>3</v>
      </c>
      <c r="S2091" s="77">
        <v>2.5</v>
      </c>
      <c r="T2091" s="77">
        <v>2</v>
      </c>
      <c r="U2091" s="77">
        <v>2.5</v>
      </c>
      <c r="V2091" s="77">
        <v>3</v>
      </c>
      <c r="W2091" s="16" t="s">
        <v>61</v>
      </c>
      <c r="Y2091" s="7">
        <v>43678</v>
      </c>
      <c r="Z2091" s="16" t="s">
        <v>66</v>
      </c>
      <c r="AA2091" s="7">
        <v>43681</v>
      </c>
    </row>
    <row r="2092" spans="1:28" ht="15" customHeight="1">
      <c r="A2092" s="285"/>
      <c r="C2092" s="25">
        <v>137</v>
      </c>
      <c r="D2092" s="2">
        <v>24538</v>
      </c>
      <c r="E2092" s="2" t="s">
        <v>4796</v>
      </c>
      <c r="F2092" s="3">
        <v>30001200104537</v>
      </c>
      <c r="G2092" s="2" t="s">
        <v>4025</v>
      </c>
      <c r="H2092" s="2" t="s">
        <v>4797</v>
      </c>
      <c r="I2092" s="2" t="s">
        <v>4315</v>
      </c>
      <c r="J2092" s="4">
        <v>43654</v>
      </c>
      <c r="K2092" s="2" t="s">
        <v>8</v>
      </c>
      <c r="L2092" s="2" t="s">
        <v>12</v>
      </c>
      <c r="M2092" s="2" t="s">
        <v>696</v>
      </c>
      <c r="R2092" s="77">
        <v>3</v>
      </c>
      <c r="S2092" s="77">
        <v>2.5</v>
      </c>
      <c r="T2092" s="77">
        <v>2.5</v>
      </c>
      <c r="U2092" s="77">
        <v>2.5</v>
      </c>
      <c r="V2092" s="77">
        <v>3</v>
      </c>
      <c r="W2092" s="16" t="s">
        <v>60</v>
      </c>
      <c r="X2092" s="2" t="s">
        <v>66</v>
      </c>
      <c r="Y2092" s="45">
        <v>43706</v>
      </c>
      <c r="Z2092" s="16" t="s">
        <v>66</v>
      </c>
      <c r="AA2092" s="7">
        <v>43717</v>
      </c>
    </row>
    <row r="2093" spans="1:28" ht="15" customHeight="1">
      <c r="A2093" s="285"/>
      <c r="C2093" s="25">
        <v>137</v>
      </c>
      <c r="D2093" s="2">
        <v>24539</v>
      </c>
      <c r="E2093" s="2" t="s">
        <v>4798</v>
      </c>
      <c r="F2093" s="3">
        <v>29907080103519</v>
      </c>
      <c r="G2093" s="2" t="s">
        <v>4025</v>
      </c>
      <c r="H2093" s="2" t="s">
        <v>4799</v>
      </c>
      <c r="I2093" s="2" t="s">
        <v>4315</v>
      </c>
      <c r="J2093" s="4">
        <v>43654</v>
      </c>
      <c r="K2093" s="2" t="s">
        <v>8</v>
      </c>
      <c r="L2093" s="2" t="s">
        <v>12</v>
      </c>
      <c r="M2093" s="2" t="s">
        <v>4800</v>
      </c>
      <c r="R2093" s="77">
        <v>3</v>
      </c>
      <c r="S2093" s="77">
        <v>2.5</v>
      </c>
      <c r="T2093" s="77">
        <v>2</v>
      </c>
      <c r="U2093" s="77">
        <v>2.5</v>
      </c>
      <c r="V2093" s="77">
        <v>3</v>
      </c>
      <c r="W2093" s="16" t="s">
        <v>171</v>
      </c>
      <c r="X2093" s="2" t="s">
        <v>66</v>
      </c>
      <c r="Y2093" s="45">
        <v>43706</v>
      </c>
      <c r="Z2093" s="16" t="s">
        <v>66</v>
      </c>
      <c r="AB2093" s="2" t="s">
        <v>3894</v>
      </c>
    </row>
    <row r="2094" spans="1:28" ht="15" customHeight="1">
      <c r="A2094" s="285"/>
      <c r="C2094" s="25">
        <v>137</v>
      </c>
      <c r="D2094" s="2">
        <v>24540</v>
      </c>
      <c r="E2094" s="2" t="s">
        <v>4801</v>
      </c>
      <c r="F2094" s="3">
        <v>29710011717493</v>
      </c>
      <c r="G2094" s="2" t="s">
        <v>34</v>
      </c>
      <c r="H2094" s="2" t="s">
        <v>4802</v>
      </c>
      <c r="I2094" s="2" t="s">
        <v>4315</v>
      </c>
      <c r="J2094" s="4">
        <v>43654</v>
      </c>
      <c r="K2094" s="2" t="s">
        <v>8</v>
      </c>
      <c r="L2094" s="2" t="s">
        <v>12</v>
      </c>
      <c r="M2094" s="2" t="s">
        <v>4257</v>
      </c>
      <c r="R2094" s="77">
        <v>3</v>
      </c>
      <c r="S2094" s="77">
        <v>2.5</v>
      </c>
      <c r="T2094" s="77">
        <v>2.5</v>
      </c>
      <c r="U2094" s="77">
        <v>2.5</v>
      </c>
      <c r="V2094" s="77">
        <v>3</v>
      </c>
      <c r="W2094" s="16" t="s">
        <v>170</v>
      </c>
      <c r="Y2094" s="7">
        <v>43678</v>
      </c>
      <c r="Z2094" s="16" t="s">
        <v>66</v>
      </c>
      <c r="AA2094" s="7">
        <v>43683</v>
      </c>
    </row>
    <row r="2095" spans="1:28" ht="15" customHeight="1">
      <c r="A2095" s="285"/>
      <c r="C2095" s="25">
        <v>137</v>
      </c>
      <c r="D2095" s="2">
        <v>24541</v>
      </c>
      <c r="E2095" s="2" t="s">
        <v>4803</v>
      </c>
      <c r="F2095" s="3">
        <v>29712160101058</v>
      </c>
      <c r="G2095" s="2" t="s">
        <v>34</v>
      </c>
      <c r="H2095" s="2" t="s">
        <v>4804</v>
      </c>
      <c r="I2095" s="2" t="s">
        <v>4315</v>
      </c>
      <c r="J2095" s="4">
        <v>43654</v>
      </c>
      <c r="K2095" s="2" t="s">
        <v>8</v>
      </c>
      <c r="L2095" s="2" t="s">
        <v>12</v>
      </c>
      <c r="M2095" s="2" t="s">
        <v>3890</v>
      </c>
      <c r="R2095" s="77">
        <v>3</v>
      </c>
      <c r="S2095" s="77">
        <v>2.5</v>
      </c>
      <c r="T2095" s="77">
        <v>2</v>
      </c>
      <c r="U2095" s="77">
        <v>2</v>
      </c>
      <c r="V2095" s="77">
        <v>3</v>
      </c>
      <c r="W2095" s="103" t="s">
        <v>61</v>
      </c>
      <c r="X2095" s="2" t="s">
        <v>66</v>
      </c>
      <c r="Y2095" s="45">
        <v>43706</v>
      </c>
      <c r="Z2095" s="16" t="s">
        <v>66</v>
      </c>
      <c r="AA2095" s="7">
        <v>43730</v>
      </c>
      <c r="AB2095" s="2" t="s">
        <v>5184</v>
      </c>
    </row>
    <row r="2096" spans="1:28" ht="15" customHeight="1">
      <c r="A2096" s="285"/>
      <c r="C2096" s="25">
        <v>137</v>
      </c>
      <c r="D2096" s="2">
        <v>24542</v>
      </c>
      <c r="E2096" s="2" t="s">
        <v>4805</v>
      </c>
      <c r="F2096" s="3">
        <v>29902010110826</v>
      </c>
      <c r="G2096" s="2" t="s">
        <v>4025</v>
      </c>
      <c r="H2096" s="2" t="s">
        <v>4806</v>
      </c>
      <c r="I2096" s="2" t="s">
        <v>4315</v>
      </c>
      <c r="J2096" s="4">
        <v>43654</v>
      </c>
      <c r="K2096" s="2" t="s">
        <v>8</v>
      </c>
      <c r="L2096" s="2" t="s">
        <v>12</v>
      </c>
      <c r="M2096" s="2" t="s">
        <v>4800</v>
      </c>
      <c r="R2096" s="77">
        <v>3</v>
      </c>
      <c r="S2096" s="77">
        <v>2.5</v>
      </c>
      <c r="T2096" s="77">
        <v>2.5</v>
      </c>
      <c r="U2096" s="77">
        <v>2.5</v>
      </c>
      <c r="V2096" s="77">
        <v>3</v>
      </c>
      <c r="W2096" s="16" t="s">
        <v>61</v>
      </c>
      <c r="Y2096" s="7">
        <v>43678</v>
      </c>
      <c r="Z2096" s="16" t="s">
        <v>66</v>
      </c>
      <c r="AA2096" s="7">
        <v>43681</v>
      </c>
    </row>
    <row r="2097" spans="1:28" ht="15" customHeight="1">
      <c r="A2097" s="285"/>
      <c r="C2097" s="25">
        <v>137</v>
      </c>
      <c r="D2097" s="2">
        <v>24543</v>
      </c>
      <c r="E2097" s="2" t="s">
        <v>4807</v>
      </c>
      <c r="F2097" s="3">
        <v>29601290102921</v>
      </c>
      <c r="G2097" s="2" t="s">
        <v>34</v>
      </c>
      <c r="H2097" s="2" t="s">
        <v>4808</v>
      </c>
      <c r="I2097" s="2" t="s">
        <v>4315</v>
      </c>
      <c r="J2097" s="4">
        <v>43654</v>
      </c>
      <c r="K2097" s="2" t="s">
        <v>8</v>
      </c>
      <c r="L2097" s="2" t="s">
        <v>12</v>
      </c>
      <c r="M2097" s="2" t="s">
        <v>103</v>
      </c>
      <c r="R2097" s="77">
        <v>3</v>
      </c>
      <c r="S2097" s="77">
        <v>2.5</v>
      </c>
      <c r="T2097" s="77">
        <v>2</v>
      </c>
      <c r="U2097" s="77">
        <v>2</v>
      </c>
      <c r="V2097" s="77">
        <v>3</v>
      </c>
      <c r="W2097" s="16" t="s">
        <v>62</v>
      </c>
      <c r="Y2097" s="7">
        <v>43678</v>
      </c>
      <c r="Z2097" s="16" t="s">
        <v>66</v>
      </c>
      <c r="AB2097" s="2" t="s">
        <v>5198</v>
      </c>
    </row>
    <row r="2098" spans="1:28" ht="15" customHeight="1">
      <c r="A2098" s="285"/>
      <c r="C2098" s="25">
        <v>137</v>
      </c>
      <c r="D2098" s="2">
        <v>24544</v>
      </c>
      <c r="E2098" s="2" t="s">
        <v>4809</v>
      </c>
      <c r="F2098" s="3">
        <v>29706191701541</v>
      </c>
      <c r="G2098" s="2" t="s">
        <v>34</v>
      </c>
      <c r="H2098" s="2" t="s">
        <v>4810</v>
      </c>
      <c r="I2098" s="2" t="s">
        <v>4315</v>
      </c>
      <c r="J2098" s="4">
        <v>43654</v>
      </c>
      <c r="K2098" s="2" t="s">
        <v>8</v>
      </c>
      <c r="L2098" s="2" t="s">
        <v>12</v>
      </c>
      <c r="M2098" s="2" t="s">
        <v>4257</v>
      </c>
      <c r="R2098" s="77">
        <v>3</v>
      </c>
      <c r="S2098" s="77">
        <v>2.5</v>
      </c>
      <c r="T2098" s="77">
        <v>2.5</v>
      </c>
      <c r="U2098" s="77">
        <v>2</v>
      </c>
      <c r="V2098" s="77">
        <v>3</v>
      </c>
      <c r="W2098" s="16" t="s">
        <v>170</v>
      </c>
      <c r="Y2098" s="7">
        <v>43678</v>
      </c>
      <c r="Z2098" s="16" t="s">
        <v>66</v>
      </c>
      <c r="AA2098" s="7">
        <v>43709</v>
      </c>
    </row>
    <row r="2099" spans="1:28" ht="15" customHeight="1">
      <c r="A2099" s="285"/>
      <c r="C2099" s="25">
        <v>137</v>
      </c>
      <c r="D2099" s="2">
        <v>24545</v>
      </c>
      <c r="E2099" s="2" t="s">
        <v>4811</v>
      </c>
      <c r="F2099" s="3">
        <v>29208230102804</v>
      </c>
      <c r="G2099" s="2" t="s">
        <v>34</v>
      </c>
      <c r="H2099" s="2" t="s">
        <v>4812</v>
      </c>
      <c r="I2099" s="2" t="s">
        <v>4315</v>
      </c>
      <c r="J2099" s="4">
        <v>43654</v>
      </c>
      <c r="K2099" s="2" t="s">
        <v>8</v>
      </c>
      <c r="L2099" s="2" t="s">
        <v>12</v>
      </c>
      <c r="M2099" s="2" t="s">
        <v>55</v>
      </c>
      <c r="R2099" s="77">
        <v>3</v>
      </c>
      <c r="S2099" s="77">
        <v>2.5</v>
      </c>
      <c r="T2099" s="77">
        <v>2</v>
      </c>
      <c r="U2099" s="77">
        <v>2</v>
      </c>
      <c r="V2099" s="77">
        <v>3</v>
      </c>
      <c r="W2099" s="16" t="s">
        <v>62</v>
      </c>
      <c r="Y2099" s="7">
        <v>43678</v>
      </c>
      <c r="Z2099" s="16" t="s">
        <v>66</v>
      </c>
      <c r="AA2099" s="7">
        <v>43682</v>
      </c>
    </row>
    <row r="2100" spans="1:28" ht="15" customHeight="1">
      <c r="A2100" s="285"/>
      <c r="C2100" s="25">
        <v>137</v>
      </c>
      <c r="D2100" s="2">
        <v>24546</v>
      </c>
      <c r="E2100" s="2" t="s">
        <v>4813</v>
      </c>
      <c r="F2100" s="3" t="s">
        <v>4814</v>
      </c>
      <c r="G2100" s="2" t="s">
        <v>34</v>
      </c>
      <c r="H2100" s="2" t="s">
        <v>4815</v>
      </c>
      <c r="I2100" s="2" t="s">
        <v>4315</v>
      </c>
      <c r="J2100" s="4">
        <v>43654</v>
      </c>
      <c r="K2100" s="2" t="s">
        <v>8</v>
      </c>
      <c r="L2100" s="2" t="s">
        <v>12</v>
      </c>
      <c r="M2100" s="2" t="s">
        <v>105</v>
      </c>
      <c r="R2100" s="77">
        <v>3</v>
      </c>
      <c r="S2100" s="77">
        <v>2.5</v>
      </c>
      <c r="T2100" s="77">
        <v>1.5</v>
      </c>
      <c r="U2100" s="77">
        <v>2</v>
      </c>
      <c r="V2100" s="77">
        <v>3</v>
      </c>
      <c r="W2100" s="16" t="s">
        <v>3321</v>
      </c>
      <c r="Y2100" s="7">
        <v>43678</v>
      </c>
      <c r="Z2100" s="16" t="s">
        <v>67</v>
      </c>
      <c r="AB2100" s="2" t="s">
        <v>4937</v>
      </c>
    </row>
    <row r="2101" spans="1:28" ht="15" customHeight="1">
      <c r="A2101" s="285"/>
      <c r="C2101" s="25">
        <v>137</v>
      </c>
      <c r="D2101" s="2">
        <v>24216</v>
      </c>
      <c r="E2101" s="2" t="s">
        <v>4665</v>
      </c>
      <c r="F2101" s="3">
        <v>29811080101071</v>
      </c>
      <c r="G2101" s="103" t="s">
        <v>4025</v>
      </c>
      <c r="H2101" s="2" t="s">
        <v>4666</v>
      </c>
      <c r="R2101" s="77">
        <v>3</v>
      </c>
      <c r="S2101" s="77">
        <v>2.5</v>
      </c>
      <c r="T2101" s="77">
        <v>2.5</v>
      </c>
      <c r="U2101" s="77">
        <v>2</v>
      </c>
      <c r="V2101" s="77">
        <v>3</v>
      </c>
      <c r="W2101" s="16" t="s">
        <v>170</v>
      </c>
      <c r="Y2101" s="7">
        <v>43678</v>
      </c>
      <c r="Z2101" s="16" t="s">
        <v>66</v>
      </c>
      <c r="AA2101" s="7">
        <v>43682</v>
      </c>
    </row>
    <row r="2102" spans="1:28" ht="15" customHeight="1">
      <c r="A2102" s="285"/>
      <c r="C2102" s="25">
        <v>137</v>
      </c>
      <c r="D2102" s="2">
        <v>24215</v>
      </c>
      <c r="E2102" s="2" t="s">
        <v>4664</v>
      </c>
      <c r="F2102" s="3">
        <v>29708300101277</v>
      </c>
      <c r="G2102" s="103" t="s">
        <v>129</v>
      </c>
      <c r="H2102" s="8" t="s">
        <v>4894</v>
      </c>
      <c r="R2102" s="77">
        <v>3</v>
      </c>
      <c r="S2102" s="77">
        <v>2.5</v>
      </c>
      <c r="T2102" s="77">
        <v>2.5</v>
      </c>
      <c r="U2102" s="77">
        <v>2.5</v>
      </c>
      <c r="V2102" s="77">
        <v>3</v>
      </c>
      <c r="W2102" s="16" t="s">
        <v>170</v>
      </c>
      <c r="Y2102" s="7">
        <v>43678</v>
      </c>
      <c r="Z2102" s="16" t="s">
        <v>66</v>
      </c>
      <c r="AA2102" s="7">
        <v>43682</v>
      </c>
    </row>
    <row r="2103" spans="1:28" ht="15" customHeight="1">
      <c r="A2103" s="285"/>
      <c r="C2103" s="25">
        <v>137</v>
      </c>
      <c r="D2103" s="2">
        <v>24014</v>
      </c>
      <c r="E2103" s="2" t="s">
        <v>4561</v>
      </c>
      <c r="F2103" s="3">
        <v>29603032102447</v>
      </c>
      <c r="G2103" s="103" t="s">
        <v>4025</v>
      </c>
      <c r="H2103" s="2" t="s">
        <v>4562</v>
      </c>
      <c r="R2103" s="77">
        <v>3</v>
      </c>
      <c r="S2103" s="77">
        <v>3</v>
      </c>
      <c r="T2103" s="77">
        <v>2</v>
      </c>
      <c r="U2103" s="77">
        <v>2</v>
      </c>
      <c r="V2103" s="77">
        <v>3</v>
      </c>
      <c r="W2103" s="16" t="s">
        <v>62</v>
      </c>
      <c r="Y2103" s="7">
        <v>43678</v>
      </c>
      <c r="Z2103" s="16" t="s">
        <v>67</v>
      </c>
      <c r="AB2103" s="2" t="s">
        <v>5523</v>
      </c>
    </row>
    <row r="2104" spans="1:28" ht="15.75" customHeight="1" thickBot="1">
      <c r="A2104" s="286"/>
      <c r="C2104" s="28">
        <v>137</v>
      </c>
      <c r="D2104" s="28">
        <v>24192</v>
      </c>
      <c r="E2104" s="28" t="s">
        <v>4576</v>
      </c>
      <c r="F2104" s="29">
        <v>29204072603951</v>
      </c>
      <c r="G2104" s="28" t="s">
        <v>4025</v>
      </c>
      <c r="H2104" s="78" t="s">
        <v>4816</v>
      </c>
      <c r="I2104" s="28"/>
      <c r="J2104" s="30"/>
      <c r="K2104" s="28"/>
      <c r="L2104" s="28"/>
      <c r="M2104" s="28"/>
      <c r="N2104" s="28"/>
      <c r="O2104" s="226"/>
      <c r="P2104" s="28"/>
      <c r="Q2104" s="226"/>
      <c r="R2104" s="37">
        <v>3</v>
      </c>
      <c r="S2104" s="37">
        <v>2.5</v>
      </c>
      <c r="T2104" s="37">
        <v>2</v>
      </c>
      <c r="U2104" s="37">
        <v>2.5</v>
      </c>
      <c r="V2104" s="37">
        <v>3</v>
      </c>
      <c r="W2104" s="28" t="s">
        <v>171</v>
      </c>
      <c r="X2104" s="28"/>
      <c r="Y2104" s="30">
        <v>43678</v>
      </c>
      <c r="Z2104" s="28" t="s">
        <v>66</v>
      </c>
      <c r="AA2104" s="30">
        <v>43703</v>
      </c>
      <c r="AB2104" s="28"/>
    </row>
    <row r="2105" spans="1:28" ht="15.75" customHeight="1" thickTop="1">
      <c r="A2105" s="284" t="s">
        <v>4519</v>
      </c>
      <c r="C2105" s="25">
        <v>138</v>
      </c>
      <c r="D2105" s="25">
        <v>24547</v>
      </c>
      <c r="E2105" s="25" t="s">
        <v>4827</v>
      </c>
      <c r="F2105" s="26">
        <v>30107082401451</v>
      </c>
      <c r="G2105" s="25" t="s">
        <v>34</v>
      </c>
      <c r="H2105" s="34" t="s">
        <v>4845</v>
      </c>
      <c r="I2105" s="25" t="s">
        <v>4315</v>
      </c>
      <c r="J2105" s="27">
        <v>43660</v>
      </c>
      <c r="K2105" s="25" t="s">
        <v>8</v>
      </c>
      <c r="L2105" s="25" t="s">
        <v>12</v>
      </c>
      <c r="M2105" s="25" t="s">
        <v>4623</v>
      </c>
      <c r="N2105" s="25"/>
      <c r="O2105" s="224"/>
      <c r="P2105" s="25"/>
      <c r="Q2105" s="224"/>
      <c r="R2105" s="77">
        <v>3</v>
      </c>
      <c r="S2105" s="77">
        <v>3</v>
      </c>
      <c r="T2105" s="77">
        <v>2.5</v>
      </c>
      <c r="U2105" s="77">
        <v>2</v>
      </c>
      <c r="V2105" s="77">
        <v>3</v>
      </c>
      <c r="W2105" s="103" t="s">
        <v>170</v>
      </c>
      <c r="X2105" s="103" t="s">
        <v>66</v>
      </c>
      <c r="Y2105" s="45">
        <v>43706</v>
      </c>
      <c r="Z2105" s="25" t="s">
        <v>66</v>
      </c>
      <c r="AA2105" s="27">
        <v>43717</v>
      </c>
      <c r="AB2105" s="25"/>
    </row>
    <row r="2106" spans="1:28" ht="15" customHeight="1">
      <c r="A2106" s="285"/>
      <c r="C2106" s="25">
        <v>138</v>
      </c>
      <c r="D2106" s="2">
        <v>24548</v>
      </c>
      <c r="E2106" s="2" t="s">
        <v>4828</v>
      </c>
      <c r="F2106" s="3">
        <v>29702068800726</v>
      </c>
      <c r="G2106" s="2" t="s">
        <v>3892</v>
      </c>
      <c r="H2106" s="8" t="s">
        <v>4846</v>
      </c>
      <c r="I2106" s="2" t="s">
        <v>4315</v>
      </c>
      <c r="J2106" s="4">
        <v>43660</v>
      </c>
      <c r="K2106" s="2" t="s">
        <v>8</v>
      </c>
      <c r="L2106" s="2" t="s">
        <v>12</v>
      </c>
      <c r="M2106" s="2" t="s">
        <v>551</v>
      </c>
      <c r="R2106" s="77">
        <v>3</v>
      </c>
      <c r="S2106" s="77">
        <v>2.5</v>
      </c>
      <c r="T2106" s="77">
        <v>2.5</v>
      </c>
      <c r="U2106" s="77">
        <v>2.5</v>
      </c>
      <c r="V2106" s="77">
        <v>3</v>
      </c>
      <c r="W2106" s="16" t="s">
        <v>171</v>
      </c>
      <c r="Y2106" s="7">
        <v>43685</v>
      </c>
      <c r="Z2106" s="16" t="s">
        <v>66</v>
      </c>
      <c r="AA2106" s="7">
        <v>43703</v>
      </c>
    </row>
    <row r="2107" spans="1:28" ht="15" customHeight="1">
      <c r="A2107" s="285"/>
      <c r="C2107" s="25">
        <v>138</v>
      </c>
      <c r="D2107" s="2">
        <v>24549</v>
      </c>
      <c r="E2107" s="2" t="s">
        <v>4829</v>
      </c>
      <c r="F2107" s="3">
        <v>29103171303373</v>
      </c>
      <c r="G2107" s="25" t="s">
        <v>34</v>
      </c>
      <c r="H2107" s="8" t="s">
        <v>4847</v>
      </c>
      <c r="I2107" s="2" t="s">
        <v>4315</v>
      </c>
      <c r="J2107" s="4">
        <v>43660</v>
      </c>
      <c r="K2107" s="2" t="s">
        <v>8</v>
      </c>
      <c r="L2107" s="2" t="s">
        <v>12</v>
      </c>
      <c r="M2107" s="2" t="s">
        <v>4830</v>
      </c>
      <c r="R2107" s="77">
        <v>3</v>
      </c>
      <c r="S2107" s="77">
        <v>2</v>
      </c>
      <c r="T2107" s="77">
        <v>2</v>
      </c>
      <c r="U2107" s="77">
        <v>2</v>
      </c>
      <c r="V2107" s="77">
        <v>3</v>
      </c>
      <c r="W2107" s="16" t="s">
        <v>62</v>
      </c>
      <c r="Y2107" s="7">
        <v>43685</v>
      </c>
      <c r="Z2107" s="16" t="s">
        <v>66</v>
      </c>
      <c r="AA2107" s="7">
        <v>43695</v>
      </c>
      <c r="AB2107" s="2" t="s">
        <v>3967</v>
      </c>
    </row>
    <row r="2108" spans="1:28" ht="15" customHeight="1">
      <c r="A2108" s="285"/>
      <c r="C2108" s="25">
        <v>138</v>
      </c>
      <c r="D2108" s="2">
        <v>24550</v>
      </c>
      <c r="E2108" s="2" t="s">
        <v>4831</v>
      </c>
      <c r="F2108" s="3">
        <v>28611180105357</v>
      </c>
      <c r="G2108" s="25" t="s">
        <v>34</v>
      </c>
      <c r="H2108" s="8" t="s">
        <v>4848</v>
      </c>
      <c r="I2108" s="2" t="s">
        <v>4315</v>
      </c>
      <c r="J2108" s="4">
        <v>43660</v>
      </c>
      <c r="K2108" s="2" t="s">
        <v>8</v>
      </c>
      <c r="L2108" s="2" t="s">
        <v>12</v>
      </c>
      <c r="M2108" s="2" t="s">
        <v>103</v>
      </c>
      <c r="R2108" s="77">
        <v>3</v>
      </c>
      <c r="S2108" s="77">
        <v>2.5</v>
      </c>
      <c r="T2108" s="77">
        <v>2</v>
      </c>
      <c r="U2108" s="77">
        <v>2</v>
      </c>
      <c r="V2108" s="77">
        <v>3</v>
      </c>
      <c r="W2108" s="103" t="s">
        <v>62</v>
      </c>
      <c r="X2108" s="103" t="s">
        <v>66</v>
      </c>
      <c r="Y2108" s="45">
        <v>43706</v>
      </c>
      <c r="Z2108" s="16" t="s">
        <v>66</v>
      </c>
      <c r="AA2108" s="7">
        <v>43723</v>
      </c>
      <c r="AB2108" s="2" t="s">
        <v>5143</v>
      </c>
    </row>
    <row r="2109" spans="1:28" ht="15" customHeight="1">
      <c r="A2109" s="285"/>
      <c r="C2109" s="25">
        <v>138</v>
      </c>
      <c r="D2109" s="2">
        <v>24551</v>
      </c>
      <c r="E2109" s="2" t="s">
        <v>4832</v>
      </c>
      <c r="F2109" s="3" t="s">
        <v>4833</v>
      </c>
      <c r="G2109" s="2" t="s">
        <v>3892</v>
      </c>
      <c r="H2109" s="8" t="s">
        <v>4849</v>
      </c>
      <c r="I2109" s="2" t="s">
        <v>4315</v>
      </c>
      <c r="J2109" s="4">
        <v>43660</v>
      </c>
      <c r="K2109" s="2" t="s">
        <v>8</v>
      </c>
      <c r="L2109" s="2" t="s">
        <v>12</v>
      </c>
      <c r="M2109" s="2" t="s">
        <v>4493</v>
      </c>
      <c r="R2109" s="77">
        <v>3</v>
      </c>
      <c r="S2109" s="77">
        <v>3</v>
      </c>
      <c r="T2109" s="77">
        <v>2.5</v>
      </c>
      <c r="U2109" s="77">
        <v>2</v>
      </c>
      <c r="V2109" s="77">
        <v>3</v>
      </c>
      <c r="W2109" s="16" t="s">
        <v>60</v>
      </c>
      <c r="Y2109" s="45">
        <v>43685</v>
      </c>
      <c r="Z2109" s="16" t="s">
        <v>66</v>
      </c>
      <c r="AB2109" s="2" t="s">
        <v>3894</v>
      </c>
    </row>
    <row r="2110" spans="1:28" ht="15" customHeight="1">
      <c r="A2110" s="285"/>
      <c r="C2110" s="25">
        <v>138</v>
      </c>
      <c r="D2110" s="2">
        <v>24552</v>
      </c>
      <c r="E2110" s="2" t="s">
        <v>4834</v>
      </c>
      <c r="F2110" s="3">
        <v>29602200106082</v>
      </c>
      <c r="G2110" s="25" t="s">
        <v>34</v>
      </c>
      <c r="H2110" s="8" t="s">
        <v>4850</v>
      </c>
      <c r="I2110" s="2" t="s">
        <v>4315</v>
      </c>
      <c r="J2110" s="4">
        <v>43660</v>
      </c>
      <c r="K2110" s="2" t="s">
        <v>8</v>
      </c>
      <c r="L2110" s="2" t="s">
        <v>12</v>
      </c>
      <c r="M2110" s="2" t="s">
        <v>4432</v>
      </c>
      <c r="R2110" s="77">
        <v>3</v>
      </c>
      <c r="S2110" s="77">
        <v>2.5</v>
      </c>
      <c r="T2110" s="77">
        <v>2</v>
      </c>
      <c r="U2110" s="77">
        <v>2</v>
      </c>
      <c r="V2110" s="77">
        <v>3</v>
      </c>
      <c r="W2110" s="103" t="s">
        <v>61</v>
      </c>
      <c r="X2110" s="103" t="s">
        <v>66</v>
      </c>
      <c r="Y2110" s="45">
        <v>43706</v>
      </c>
      <c r="Z2110" s="16" t="s">
        <v>66</v>
      </c>
      <c r="AA2110" s="7">
        <v>43730</v>
      </c>
      <c r="AB2110" s="2" t="s">
        <v>5184</v>
      </c>
    </row>
    <row r="2111" spans="1:28" ht="15" customHeight="1">
      <c r="A2111" s="285"/>
      <c r="C2111" s="25">
        <v>138</v>
      </c>
      <c r="D2111" s="2">
        <v>24553</v>
      </c>
      <c r="E2111" s="2" t="s">
        <v>4835</v>
      </c>
      <c r="F2111" s="3">
        <v>29508070101401</v>
      </c>
      <c r="G2111" s="25" t="s">
        <v>34</v>
      </c>
      <c r="H2111" s="8" t="s">
        <v>4851</v>
      </c>
      <c r="I2111" s="2" t="s">
        <v>4315</v>
      </c>
      <c r="J2111" s="4">
        <v>43660</v>
      </c>
      <c r="K2111" s="2" t="s">
        <v>8</v>
      </c>
      <c r="L2111" s="2" t="s">
        <v>12</v>
      </c>
      <c r="M2111" s="2" t="s">
        <v>4257</v>
      </c>
      <c r="W2111" s="103" t="s">
        <v>63</v>
      </c>
      <c r="Z2111" s="16" t="s">
        <v>67</v>
      </c>
    </row>
    <row r="2112" spans="1:28" ht="15" customHeight="1">
      <c r="A2112" s="285"/>
      <c r="C2112" s="25">
        <v>138</v>
      </c>
      <c r="D2112" s="2">
        <v>24554</v>
      </c>
      <c r="E2112" s="2" t="s">
        <v>4836</v>
      </c>
      <c r="F2112" s="3">
        <v>29803060100921</v>
      </c>
      <c r="G2112" s="25" t="s">
        <v>34</v>
      </c>
      <c r="H2112" s="8" t="s">
        <v>4852</v>
      </c>
      <c r="I2112" s="2" t="s">
        <v>4315</v>
      </c>
      <c r="J2112" s="4">
        <v>43660</v>
      </c>
      <c r="K2112" s="2" t="s">
        <v>8</v>
      </c>
      <c r="L2112" s="2" t="s">
        <v>12</v>
      </c>
      <c r="M2112" s="2" t="s">
        <v>103</v>
      </c>
      <c r="R2112" s="77">
        <v>3</v>
      </c>
      <c r="S2112" s="77">
        <v>2.5</v>
      </c>
      <c r="T2112" s="77">
        <v>2.5</v>
      </c>
      <c r="U2112" s="77">
        <v>2</v>
      </c>
      <c r="V2112" s="77">
        <v>3</v>
      </c>
      <c r="W2112" s="103" t="s">
        <v>170</v>
      </c>
      <c r="X2112" s="103" t="s">
        <v>66</v>
      </c>
      <c r="Y2112" s="45">
        <v>43706</v>
      </c>
      <c r="Z2112" s="16" t="s">
        <v>66</v>
      </c>
      <c r="AA2112" s="7">
        <v>43724</v>
      </c>
      <c r="AB2112" s="2" t="s">
        <v>5142</v>
      </c>
    </row>
    <row r="2113" spans="1:28" ht="15" customHeight="1">
      <c r="A2113" s="285"/>
      <c r="C2113" s="25">
        <v>138</v>
      </c>
      <c r="D2113" s="2">
        <v>24555</v>
      </c>
      <c r="E2113" s="2" t="s">
        <v>4837</v>
      </c>
      <c r="F2113" s="3">
        <v>29708052103551</v>
      </c>
      <c r="G2113" s="2" t="s">
        <v>4131</v>
      </c>
      <c r="H2113" s="8" t="s">
        <v>4853</v>
      </c>
      <c r="I2113" s="2" t="s">
        <v>4315</v>
      </c>
      <c r="J2113" s="4">
        <v>43660</v>
      </c>
      <c r="K2113" s="2" t="s">
        <v>8</v>
      </c>
      <c r="L2113" s="2" t="s">
        <v>12</v>
      </c>
      <c r="M2113" s="2" t="s">
        <v>4432</v>
      </c>
      <c r="W2113" s="16" t="s">
        <v>63</v>
      </c>
      <c r="Z2113" s="103" t="s">
        <v>67</v>
      </c>
    </row>
    <row r="2114" spans="1:28" ht="15" customHeight="1">
      <c r="A2114" s="285"/>
      <c r="C2114" s="25">
        <v>138</v>
      </c>
      <c r="D2114" s="2">
        <v>24556</v>
      </c>
      <c r="E2114" s="2" t="s">
        <v>4838</v>
      </c>
      <c r="F2114" s="3" t="s">
        <v>4839</v>
      </c>
      <c r="G2114" s="2" t="s">
        <v>3892</v>
      </c>
      <c r="H2114" s="8" t="s">
        <v>4854</v>
      </c>
      <c r="I2114" s="2" t="s">
        <v>4315</v>
      </c>
      <c r="J2114" s="4">
        <v>43660</v>
      </c>
      <c r="K2114" s="2" t="s">
        <v>8</v>
      </c>
      <c r="L2114" s="2" t="s">
        <v>12</v>
      </c>
      <c r="M2114" s="2" t="s">
        <v>4493</v>
      </c>
      <c r="R2114" s="77">
        <v>3</v>
      </c>
      <c r="S2114" s="77">
        <v>2.5</v>
      </c>
      <c r="T2114" s="77">
        <v>2</v>
      </c>
      <c r="U2114" s="77">
        <v>2</v>
      </c>
      <c r="V2114" s="77">
        <v>3</v>
      </c>
      <c r="W2114" s="103" t="s">
        <v>62</v>
      </c>
      <c r="X2114" s="103" t="s">
        <v>66</v>
      </c>
      <c r="Y2114" s="45">
        <v>43706</v>
      </c>
      <c r="Z2114" s="16" t="s">
        <v>66</v>
      </c>
      <c r="AA2114" s="7">
        <v>43746</v>
      </c>
      <c r="AB2114" s="2" t="s">
        <v>5466</v>
      </c>
    </row>
    <row r="2115" spans="1:28" ht="15" customHeight="1">
      <c r="A2115" s="285"/>
      <c r="C2115" s="25">
        <v>138</v>
      </c>
      <c r="D2115" s="103" t="s">
        <v>4842</v>
      </c>
      <c r="E2115" s="103" t="s">
        <v>4660</v>
      </c>
      <c r="F2115" s="3">
        <v>29604010100684</v>
      </c>
      <c r="G2115" s="25" t="s">
        <v>34</v>
      </c>
      <c r="H2115" s="8" t="s">
        <v>4661</v>
      </c>
      <c r="I2115" s="2" t="s">
        <v>4315</v>
      </c>
      <c r="J2115" s="4">
        <v>43660</v>
      </c>
      <c r="K2115" s="2" t="s">
        <v>8</v>
      </c>
      <c r="L2115" s="2" t="s">
        <v>12</v>
      </c>
      <c r="M2115" s="2" t="s">
        <v>4257</v>
      </c>
      <c r="R2115" s="77">
        <v>3</v>
      </c>
      <c r="S2115" s="77">
        <v>2.5</v>
      </c>
      <c r="T2115" s="77">
        <v>2.5</v>
      </c>
      <c r="U2115" s="77">
        <v>2.5</v>
      </c>
      <c r="V2115" s="77">
        <v>3</v>
      </c>
      <c r="W2115" s="16" t="s">
        <v>170</v>
      </c>
      <c r="Y2115" s="45">
        <v>43685</v>
      </c>
      <c r="Z2115" s="16" t="s">
        <v>66</v>
      </c>
      <c r="AA2115" s="7">
        <v>43703</v>
      </c>
      <c r="AB2115" s="2" t="s">
        <v>5566</v>
      </c>
    </row>
    <row r="2116" spans="1:28" ht="15" customHeight="1">
      <c r="A2116" s="285"/>
      <c r="C2116" s="25">
        <v>138</v>
      </c>
      <c r="D2116" s="103" t="s">
        <v>4843</v>
      </c>
      <c r="E2116" s="103" t="s">
        <v>4678</v>
      </c>
      <c r="F2116" s="3">
        <v>29805010107021</v>
      </c>
      <c r="G2116" s="103" t="s">
        <v>4025</v>
      </c>
      <c r="H2116" s="103" t="s">
        <v>4679</v>
      </c>
      <c r="I2116" s="2" t="s">
        <v>4315</v>
      </c>
      <c r="J2116" s="4">
        <v>43660</v>
      </c>
      <c r="K2116" s="2" t="s">
        <v>8</v>
      </c>
      <c r="L2116" s="2" t="s">
        <v>12</v>
      </c>
      <c r="M2116" s="2" t="s">
        <v>4257</v>
      </c>
      <c r="R2116" s="77">
        <v>3</v>
      </c>
      <c r="S2116" s="77">
        <v>2.5</v>
      </c>
      <c r="T2116" s="77">
        <v>3</v>
      </c>
      <c r="U2116" s="77">
        <v>2</v>
      </c>
      <c r="V2116" s="77">
        <v>3</v>
      </c>
      <c r="W2116" s="16" t="s">
        <v>60</v>
      </c>
      <c r="Y2116" s="45">
        <v>43685</v>
      </c>
      <c r="Z2116" s="16" t="s">
        <v>66</v>
      </c>
      <c r="AA2116" s="7">
        <v>43717</v>
      </c>
    </row>
    <row r="2117" spans="1:28" ht="15" customHeight="1">
      <c r="A2117" s="285"/>
      <c r="C2117" s="25">
        <v>138</v>
      </c>
      <c r="D2117" s="103" t="s">
        <v>4844</v>
      </c>
      <c r="E2117" s="103" t="s">
        <v>4682</v>
      </c>
      <c r="F2117" s="3">
        <v>29709252106985</v>
      </c>
      <c r="G2117" s="103" t="s">
        <v>34</v>
      </c>
      <c r="H2117" s="103" t="s">
        <v>4683</v>
      </c>
      <c r="R2117" s="77">
        <v>3</v>
      </c>
      <c r="S2117" s="77">
        <v>2</v>
      </c>
      <c r="T2117" s="77">
        <v>2</v>
      </c>
      <c r="U2117" s="77">
        <v>2</v>
      </c>
      <c r="V2117" s="77">
        <v>3</v>
      </c>
      <c r="W2117" s="16" t="s">
        <v>62</v>
      </c>
      <c r="Y2117" s="45">
        <v>43685</v>
      </c>
      <c r="Z2117" s="16" t="s">
        <v>66</v>
      </c>
      <c r="AA2117" s="7">
        <v>43695</v>
      </c>
      <c r="AB2117" s="2" t="s">
        <v>3967</v>
      </c>
    </row>
    <row r="2118" spans="1:28" ht="15.75" customHeight="1" thickBot="1">
      <c r="A2118" s="286"/>
      <c r="C2118" s="28">
        <v>138</v>
      </c>
      <c r="D2118" s="28">
        <v>24574</v>
      </c>
      <c r="E2118" s="28" t="s">
        <v>4840</v>
      </c>
      <c r="F2118" s="29">
        <v>29711280103147</v>
      </c>
      <c r="G2118" s="28" t="s">
        <v>34</v>
      </c>
      <c r="H2118" s="78" t="s">
        <v>4855</v>
      </c>
      <c r="I2118" s="28"/>
      <c r="J2118" s="30"/>
      <c r="K2118" s="28"/>
      <c r="L2118" s="28"/>
      <c r="M2118" s="28"/>
      <c r="N2118" s="28"/>
      <c r="O2118" s="226"/>
      <c r="P2118" s="28"/>
      <c r="Q2118" s="226"/>
      <c r="R2118" s="37">
        <v>3</v>
      </c>
      <c r="S2118" s="37">
        <v>2.5</v>
      </c>
      <c r="T2118" s="37">
        <v>2</v>
      </c>
      <c r="U2118" s="37">
        <v>2</v>
      </c>
      <c r="V2118" s="37">
        <v>3</v>
      </c>
      <c r="W2118" s="28" t="s">
        <v>62</v>
      </c>
      <c r="X2118" s="28"/>
      <c r="Y2118" s="30">
        <v>43685</v>
      </c>
      <c r="Z2118" s="28" t="s">
        <v>66</v>
      </c>
      <c r="AA2118" s="30">
        <v>43695</v>
      </c>
      <c r="AB2118" s="28" t="s">
        <v>3967</v>
      </c>
    </row>
    <row r="2119" spans="1:28" ht="17.25" customHeight="1" thickTop="1" thickBot="1">
      <c r="A2119" s="110" t="s">
        <v>3118</v>
      </c>
      <c r="C2119" s="111" t="s">
        <v>4518</v>
      </c>
      <c r="D2119" s="111">
        <v>24575</v>
      </c>
      <c r="E2119" s="111" t="s">
        <v>4841</v>
      </c>
      <c r="F2119" s="112">
        <v>29703252104381</v>
      </c>
      <c r="G2119" s="111" t="s">
        <v>34</v>
      </c>
      <c r="H2119" s="111" t="s">
        <v>4856</v>
      </c>
      <c r="I2119" s="111" t="s">
        <v>4315</v>
      </c>
      <c r="J2119" s="113">
        <v>43660</v>
      </c>
      <c r="K2119" s="111" t="s">
        <v>8</v>
      </c>
      <c r="L2119" s="111" t="s">
        <v>12</v>
      </c>
      <c r="M2119" s="111" t="s">
        <v>4257</v>
      </c>
      <c r="N2119" s="111"/>
      <c r="O2119" s="231"/>
      <c r="P2119" s="111"/>
      <c r="Q2119" s="231"/>
      <c r="R2119" s="114">
        <v>3</v>
      </c>
      <c r="S2119" s="114">
        <v>2.5</v>
      </c>
      <c r="T2119" s="114">
        <v>2.5</v>
      </c>
      <c r="U2119" s="114">
        <v>2.5</v>
      </c>
      <c r="V2119" s="114">
        <v>3</v>
      </c>
      <c r="W2119" s="111" t="s">
        <v>170</v>
      </c>
      <c r="X2119" s="111"/>
      <c r="Y2119" s="113">
        <v>43683</v>
      </c>
      <c r="Z2119" s="111" t="s">
        <v>66</v>
      </c>
      <c r="AA2119" s="113">
        <v>43683</v>
      </c>
      <c r="AB2119" s="111"/>
    </row>
    <row r="2120" spans="1:28" ht="15.75" customHeight="1" thickTop="1">
      <c r="A2120" s="284" t="s">
        <v>3120</v>
      </c>
      <c r="C2120" s="25" t="s">
        <v>4888</v>
      </c>
      <c r="D2120" s="25">
        <v>24557</v>
      </c>
      <c r="E2120" s="25" t="s">
        <v>4857</v>
      </c>
      <c r="F2120" s="26">
        <v>29603138800291</v>
      </c>
      <c r="G2120" s="25" t="s">
        <v>935</v>
      </c>
      <c r="H2120" s="25" t="s">
        <v>4858</v>
      </c>
      <c r="I2120" s="25" t="s">
        <v>4315</v>
      </c>
      <c r="J2120" s="27">
        <v>43662</v>
      </c>
      <c r="K2120" s="25" t="s">
        <v>798</v>
      </c>
      <c r="L2120" s="25" t="s">
        <v>12</v>
      </c>
      <c r="M2120" s="25" t="s">
        <v>105</v>
      </c>
      <c r="N2120" s="25"/>
      <c r="O2120" s="224"/>
      <c r="P2120" s="25"/>
      <c r="Q2120" s="224"/>
      <c r="R2120" s="25"/>
      <c r="S2120" s="25"/>
      <c r="T2120" s="25"/>
      <c r="U2120" s="25"/>
      <c r="V2120" s="25"/>
      <c r="W2120" s="25" t="s">
        <v>111</v>
      </c>
      <c r="X2120" s="25"/>
      <c r="Y2120" s="27">
        <v>43685</v>
      </c>
      <c r="Z2120" s="25" t="s">
        <v>67</v>
      </c>
      <c r="AA2120" s="27"/>
      <c r="AB2120" s="25" t="s">
        <v>4438</v>
      </c>
    </row>
    <row r="2121" spans="1:28" ht="15" customHeight="1">
      <c r="A2121" s="285"/>
      <c r="C2121" s="25" t="s">
        <v>4888</v>
      </c>
      <c r="D2121" s="2">
        <v>24558</v>
      </c>
      <c r="E2121" s="2" t="s">
        <v>4859</v>
      </c>
      <c r="F2121" s="3">
        <v>29503120104986</v>
      </c>
      <c r="G2121" s="2" t="s">
        <v>34</v>
      </c>
      <c r="H2121" s="103" t="s">
        <v>4860</v>
      </c>
      <c r="I2121" s="2" t="s">
        <v>4315</v>
      </c>
      <c r="J2121" s="4">
        <v>43662</v>
      </c>
      <c r="K2121" s="2" t="s">
        <v>798</v>
      </c>
      <c r="L2121" s="2" t="s">
        <v>12</v>
      </c>
      <c r="M2121" s="2" t="s">
        <v>4686</v>
      </c>
      <c r="W2121" s="103" t="s">
        <v>111</v>
      </c>
      <c r="Y2121" s="7">
        <v>43685</v>
      </c>
      <c r="AB2121" s="2" t="s">
        <v>5107</v>
      </c>
    </row>
    <row r="2122" spans="1:28" ht="15" customHeight="1">
      <c r="A2122" s="285"/>
      <c r="C2122" s="25" t="s">
        <v>4888</v>
      </c>
      <c r="D2122" s="2">
        <v>24559</v>
      </c>
      <c r="E2122" s="2" t="s">
        <v>4861</v>
      </c>
      <c r="F2122" s="3">
        <v>29509112100627</v>
      </c>
      <c r="G2122" s="2" t="s">
        <v>34</v>
      </c>
      <c r="H2122" s="103" t="s">
        <v>4862</v>
      </c>
      <c r="I2122" s="2" t="s">
        <v>4315</v>
      </c>
      <c r="J2122" s="4">
        <v>43662</v>
      </c>
      <c r="K2122" s="2" t="s">
        <v>798</v>
      </c>
      <c r="L2122" s="2" t="s">
        <v>12</v>
      </c>
      <c r="M2122" s="2" t="s">
        <v>4863</v>
      </c>
      <c r="W2122" s="103" t="s">
        <v>3818</v>
      </c>
      <c r="Y2122" s="7">
        <v>43685</v>
      </c>
    </row>
    <row r="2123" spans="1:28" ht="15" customHeight="1">
      <c r="A2123" s="285"/>
      <c r="C2123" s="25" t="s">
        <v>4888</v>
      </c>
      <c r="D2123" s="2">
        <v>24560</v>
      </c>
      <c r="E2123" s="2" t="s">
        <v>4864</v>
      </c>
      <c r="F2123" s="3">
        <v>29610010123773</v>
      </c>
      <c r="G2123" s="2" t="s">
        <v>34</v>
      </c>
      <c r="H2123" s="103" t="s">
        <v>4865</v>
      </c>
      <c r="I2123" s="2" t="s">
        <v>4315</v>
      </c>
      <c r="J2123" s="4">
        <v>43662</v>
      </c>
      <c r="K2123" s="2" t="s">
        <v>798</v>
      </c>
      <c r="L2123" s="2" t="s">
        <v>12</v>
      </c>
      <c r="M2123" s="2" t="s">
        <v>3696</v>
      </c>
      <c r="W2123" s="103" t="s">
        <v>3244</v>
      </c>
    </row>
    <row r="2124" spans="1:28" ht="15" customHeight="1">
      <c r="A2124" s="285"/>
      <c r="C2124" s="25" t="s">
        <v>4888</v>
      </c>
      <c r="D2124" s="103">
        <v>24561</v>
      </c>
      <c r="E2124" s="103" t="s">
        <v>4866</v>
      </c>
      <c r="F2124" s="3">
        <v>29706150101572</v>
      </c>
      <c r="G2124" s="103" t="s">
        <v>34</v>
      </c>
      <c r="H2124" s="103" t="s">
        <v>4867</v>
      </c>
      <c r="I2124" s="2" t="s">
        <v>4315</v>
      </c>
      <c r="J2124" s="4">
        <v>43662</v>
      </c>
      <c r="K2124" s="2" t="s">
        <v>798</v>
      </c>
      <c r="L2124" s="2" t="s">
        <v>12</v>
      </c>
      <c r="M2124" s="2" t="s">
        <v>4432</v>
      </c>
      <c r="W2124" s="16" t="s">
        <v>63</v>
      </c>
      <c r="Z2124" s="16" t="s">
        <v>67</v>
      </c>
    </row>
    <row r="2125" spans="1:28" ht="15" customHeight="1">
      <c r="A2125" s="285"/>
      <c r="C2125" s="25" t="s">
        <v>4888</v>
      </c>
      <c r="D2125" s="103">
        <v>24562</v>
      </c>
      <c r="E2125" s="103" t="s">
        <v>4868</v>
      </c>
      <c r="F2125" s="3">
        <v>29609292106703</v>
      </c>
      <c r="G2125" s="103" t="s">
        <v>34</v>
      </c>
      <c r="H2125" s="103" t="s">
        <v>4869</v>
      </c>
      <c r="I2125" s="2" t="s">
        <v>4315</v>
      </c>
      <c r="J2125" s="4">
        <v>43662</v>
      </c>
      <c r="K2125" s="2" t="s">
        <v>798</v>
      </c>
      <c r="L2125" s="2" t="s">
        <v>12</v>
      </c>
      <c r="M2125" s="2" t="s">
        <v>4830</v>
      </c>
      <c r="W2125" s="103" t="s">
        <v>111</v>
      </c>
      <c r="Y2125" s="7">
        <v>43685</v>
      </c>
      <c r="AB2125" s="103" t="s">
        <v>5107</v>
      </c>
    </row>
    <row r="2126" spans="1:28" ht="15" customHeight="1">
      <c r="A2126" s="285"/>
      <c r="C2126" s="25" t="s">
        <v>4888</v>
      </c>
      <c r="D2126" s="103">
        <v>24563</v>
      </c>
      <c r="E2126" s="103" t="s">
        <v>4870</v>
      </c>
      <c r="F2126" s="3">
        <v>29708171400661</v>
      </c>
      <c r="G2126" s="103" t="s">
        <v>34</v>
      </c>
      <c r="H2126" s="103" t="s">
        <v>4871</v>
      </c>
      <c r="I2126" s="2" t="s">
        <v>4315</v>
      </c>
      <c r="J2126" s="4">
        <v>43662</v>
      </c>
      <c r="K2126" s="2" t="s">
        <v>798</v>
      </c>
      <c r="L2126" s="2" t="s">
        <v>12</v>
      </c>
      <c r="M2126" s="2" t="s">
        <v>3173</v>
      </c>
      <c r="W2126" s="103" t="s">
        <v>111</v>
      </c>
      <c r="Y2126" s="7">
        <v>43685</v>
      </c>
      <c r="AB2126" s="103" t="s">
        <v>5107</v>
      </c>
    </row>
    <row r="2127" spans="1:28" ht="15" customHeight="1">
      <c r="A2127" s="285"/>
      <c r="C2127" s="25" t="s">
        <v>4888</v>
      </c>
      <c r="D2127" s="103">
        <v>24564</v>
      </c>
      <c r="E2127" s="103" t="s">
        <v>4872</v>
      </c>
      <c r="F2127" s="3">
        <v>29306232501392</v>
      </c>
      <c r="G2127" s="103" t="s">
        <v>34</v>
      </c>
      <c r="H2127" s="103" t="s">
        <v>4873</v>
      </c>
      <c r="I2127" s="2" t="s">
        <v>4315</v>
      </c>
      <c r="J2127" s="4">
        <v>43662</v>
      </c>
      <c r="K2127" s="2" t="s">
        <v>798</v>
      </c>
      <c r="L2127" s="2" t="s">
        <v>12</v>
      </c>
      <c r="M2127" s="2" t="s">
        <v>4830</v>
      </c>
      <c r="W2127" s="103" t="s">
        <v>111</v>
      </c>
      <c r="Y2127" s="7">
        <v>43685</v>
      </c>
      <c r="AB2127" s="103" t="s">
        <v>5107</v>
      </c>
    </row>
    <row r="2128" spans="1:28" ht="15" customHeight="1">
      <c r="A2128" s="285"/>
      <c r="C2128" s="25" t="s">
        <v>4888</v>
      </c>
      <c r="D2128" s="2">
        <v>24565</v>
      </c>
      <c r="E2128" s="2" t="s">
        <v>4874</v>
      </c>
      <c r="F2128" s="3">
        <v>28906231401789</v>
      </c>
      <c r="G2128" s="2" t="s">
        <v>34</v>
      </c>
      <c r="H2128" s="103" t="s">
        <v>4875</v>
      </c>
      <c r="I2128" s="2" t="s">
        <v>4315</v>
      </c>
      <c r="J2128" s="4">
        <v>43662</v>
      </c>
      <c r="K2128" s="2" t="s">
        <v>798</v>
      </c>
      <c r="L2128" s="2" t="s">
        <v>12</v>
      </c>
      <c r="M2128" s="2" t="s">
        <v>4669</v>
      </c>
      <c r="W2128" s="103" t="s">
        <v>111</v>
      </c>
      <c r="Y2128" s="7">
        <v>43685</v>
      </c>
      <c r="Z2128" s="16" t="s">
        <v>66</v>
      </c>
      <c r="AA2128" s="45">
        <v>43702</v>
      </c>
      <c r="AB2128" s="103" t="s">
        <v>5971</v>
      </c>
    </row>
    <row r="2129" spans="1:28" ht="15" customHeight="1">
      <c r="A2129" s="285"/>
      <c r="C2129" s="25" t="s">
        <v>4888</v>
      </c>
      <c r="D2129" s="2">
        <v>24566</v>
      </c>
      <c r="E2129" s="2" t="s">
        <v>4876</v>
      </c>
      <c r="F2129" s="3">
        <v>29712162102736</v>
      </c>
      <c r="G2129" s="2" t="s">
        <v>3970</v>
      </c>
      <c r="H2129" s="103" t="s">
        <v>4877</v>
      </c>
      <c r="I2129" s="2" t="s">
        <v>4315</v>
      </c>
      <c r="J2129" s="4">
        <v>43662</v>
      </c>
      <c r="K2129" s="2" t="s">
        <v>798</v>
      </c>
      <c r="L2129" s="2" t="s">
        <v>12</v>
      </c>
      <c r="M2129" s="2" t="s">
        <v>4776</v>
      </c>
      <c r="W2129" s="103" t="s">
        <v>3244</v>
      </c>
    </row>
    <row r="2130" spans="1:28" ht="15" customHeight="1">
      <c r="A2130" s="285"/>
      <c r="C2130" s="25" t="s">
        <v>4888</v>
      </c>
      <c r="D2130" s="2">
        <v>24567</v>
      </c>
      <c r="E2130" s="2" t="s">
        <v>4878</v>
      </c>
      <c r="F2130" s="3">
        <v>29307142101863</v>
      </c>
      <c r="G2130" s="2" t="s">
        <v>34</v>
      </c>
      <c r="H2130" s="103" t="s">
        <v>4879</v>
      </c>
      <c r="I2130" s="2" t="s">
        <v>4315</v>
      </c>
      <c r="J2130" s="4">
        <v>43662</v>
      </c>
      <c r="K2130" s="2" t="s">
        <v>798</v>
      </c>
      <c r="L2130" s="2" t="s">
        <v>12</v>
      </c>
      <c r="M2130" s="2" t="s">
        <v>105</v>
      </c>
      <c r="W2130" s="103" t="s">
        <v>4585</v>
      </c>
      <c r="Y2130" s="7">
        <v>43685</v>
      </c>
    </row>
    <row r="2131" spans="1:28" ht="15" customHeight="1">
      <c r="A2131" s="285"/>
      <c r="C2131" s="25" t="s">
        <v>4888</v>
      </c>
      <c r="D2131" s="2">
        <v>24568</v>
      </c>
      <c r="E2131" s="2" t="s">
        <v>4880</v>
      </c>
      <c r="F2131" s="3">
        <v>29405181401493</v>
      </c>
      <c r="G2131" s="2" t="s">
        <v>34</v>
      </c>
      <c r="H2131" s="2" t="s">
        <v>4881</v>
      </c>
      <c r="I2131" s="2" t="s">
        <v>4315</v>
      </c>
      <c r="J2131" s="4">
        <v>43662</v>
      </c>
      <c r="K2131" s="2" t="s">
        <v>798</v>
      </c>
      <c r="L2131" s="2" t="s">
        <v>12</v>
      </c>
      <c r="M2131" s="2" t="s">
        <v>4425</v>
      </c>
      <c r="W2131" s="103" t="s">
        <v>111</v>
      </c>
      <c r="Y2131" s="7">
        <v>43685</v>
      </c>
      <c r="Z2131" s="16" t="s">
        <v>66</v>
      </c>
      <c r="AA2131" s="7">
        <v>43702</v>
      </c>
      <c r="AB2131" s="103" t="s">
        <v>6385</v>
      </c>
    </row>
    <row r="2132" spans="1:28" ht="15" customHeight="1">
      <c r="A2132" s="285"/>
      <c r="C2132" s="25" t="s">
        <v>4888</v>
      </c>
      <c r="D2132" s="2">
        <v>24569</v>
      </c>
      <c r="E2132" s="2" t="s">
        <v>4882</v>
      </c>
      <c r="F2132" s="3">
        <v>28903270102676</v>
      </c>
      <c r="G2132" s="2" t="s">
        <v>34</v>
      </c>
      <c r="H2132" s="2" t="s">
        <v>4883</v>
      </c>
      <c r="I2132" s="2" t="s">
        <v>4315</v>
      </c>
      <c r="J2132" s="4">
        <v>43662</v>
      </c>
      <c r="K2132" s="2" t="s">
        <v>798</v>
      </c>
      <c r="L2132" s="2" t="s">
        <v>12</v>
      </c>
      <c r="M2132" s="2" t="s">
        <v>147</v>
      </c>
      <c r="W2132" s="103" t="s">
        <v>111</v>
      </c>
      <c r="Y2132" s="7">
        <v>43685</v>
      </c>
      <c r="Z2132" s="16" t="s">
        <v>66</v>
      </c>
      <c r="AA2132" s="45">
        <v>43702</v>
      </c>
      <c r="AB2132" s="103" t="s">
        <v>3967</v>
      </c>
    </row>
    <row r="2133" spans="1:28" ht="15" customHeight="1">
      <c r="A2133" s="285"/>
      <c r="C2133" s="25" t="s">
        <v>4888</v>
      </c>
      <c r="D2133" s="2">
        <v>24570</v>
      </c>
      <c r="E2133" s="2" t="s">
        <v>4884</v>
      </c>
      <c r="F2133" s="3">
        <v>29912060104822</v>
      </c>
      <c r="G2133" s="2" t="s">
        <v>4131</v>
      </c>
      <c r="H2133" s="2" t="s">
        <v>4885</v>
      </c>
      <c r="I2133" s="2" t="s">
        <v>4315</v>
      </c>
      <c r="J2133" s="4">
        <v>43662</v>
      </c>
      <c r="K2133" s="2" t="s">
        <v>798</v>
      </c>
      <c r="L2133" s="2" t="s">
        <v>12</v>
      </c>
      <c r="M2133" s="2" t="s">
        <v>438</v>
      </c>
      <c r="W2133" s="103" t="s">
        <v>111</v>
      </c>
      <c r="Y2133" s="7">
        <v>43685</v>
      </c>
      <c r="Z2133" s="16" t="s">
        <v>66</v>
      </c>
      <c r="AA2133" s="45">
        <v>43702</v>
      </c>
      <c r="AB2133" s="2" t="s">
        <v>3967</v>
      </c>
    </row>
    <row r="2134" spans="1:28" ht="15" customHeight="1">
      <c r="A2134" s="285"/>
      <c r="C2134" s="39" t="s">
        <v>4888</v>
      </c>
      <c r="D2134" s="39">
        <v>24571</v>
      </c>
      <c r="E2134" s="39" t="s">
        <v>4886</v>
      </c>
      <c r="F2134" s="40">
        <v>29801240104328</v>
      </c>
      <c r="G2134" s="39" t="s">
        <v>34</v>
      </c>
      <c r="H2134" s="39" t="s">
        <v>4887</v>
      </c>
      <c r="I2134" s="39" t="s">
        <v>4315</v>
      </c>
      <c r="J2134" s="41">
        <v>43662</v>
      </c>
      <c r="K2134" s="39" t="s">
        <v>798</v>
      </c>
      <c r="L2134" s="39" t="s">
        <v>12</v>
      </c>
      <c r="M2134" s="39" t="s">
        <v>4627</v>
      </c>
      <c r="N2134" s="39"/>
      <c r="O2134" s="230"/>
      <c r="P2134" s="39"/>
      <c r="Q2134" s="230"/>
      <c r="R2134" s="39"/>
      <c r="S2134" s="39"/>
      <c r="T2134" s="39"/>
      <c r="U2134" s="39"/>
      <c r="V2134" s="39"/>
      <c r="W2134" s="39" t="s">
        <v>3244</v>
      </c>
      <c r="X2134" s="39"/>
      <c r="Y2134" s="41"/>
      <c r="Z2134" s="39"/>
      <c r="AA2134" s="41"/>
      <c r="AB2134" s="103" t="s">
        <v>5107</v>
      </c>
    </row>
    <row r="2135" spans="1:28" ht="15.75" customHeight="1" thickBot="1">
      <c r="A2135" s="285"/>
      <c r="C2135" s="28" t="s">
        <v>4888</v>
      </c>
      <c r="D2135" s="28">
        <v>14982</v>
      </c>
      <c r="E2135" s="28" t="s">
        <v>4889</v>
      </c>
      <c r="F2135" s="29">
        <v>29711080102499</v>
      </c>
      <c r="G2135" s="28" t="s">
        <v>34</v>
      </c>
      <c r="H2135" s="78" t="s">
        <v>4890</v>
      </c>
      <c r="I2135" s="28" t="s">
        <v>4305</v>
      </c>
      <c r="J2135" s="30">
        <v>43662</v>
      </c>
      <c r="K2135" s="28" t="s">
        <v>798</v>
      </c>
      <c r="L2135" s="28" t="s">
        <v>12</v>
      </c>
      <c r="M2135" s="28" t="s">
        <v>4776</v>
      </c>
      <c r="N2135" s="28"/>
      <c r="O2135" s="226"/>
      <c r="P2135" s="28"/>
      <c r="Q2135" s="226"/>
      <c r="R2135" s="28"/>
      <c r="S2135" s="28"/>
      <c r="T2135" s="28"/>
      <c r="U2135" s="28"/>
      <c r="V2135" s="28"/>
      <c r="W2135" s="28" t="s">
        <v>111</v>
      </c>
      <c r="X2135" s="28"/>
      <c r="Y2135" s="30">
        <v>43685</v>
      </c>
      <c r="Z2135" s="28"/>
      <c r="AA2135" s="30"/>
      <c r="AB2135" s="28"/>
    </row>
    <row r="2136" spans="1:28" ht="15.75" thickTop="1">
      <c r="A2136" s="289" t="s">
        <v>4517</v>
      </c>
      <c r="C2136" s="25" t="s">
        <v>4931</v>
      </c>
      <c r="D2136" s="25">
        <v>24576</v>
      </c>
      <c r="E2136" s="25" t="s">
        <v>4896</v>
      </c>
      <c r="F2136" s="26">
        <v>29709190103038</v>
      </c>
      <c r="G2136" s="25" t="s">
        <v>3892</v>
      </c>
      <c r="H2136" s="25" t="s">
        <v>4897</v>
      </c>
      <c r="I2136" s="25" t="s">
        <v>4315</v>
      </c>
      <c r="J2136" s="27">
        <v>43669</v>
      </c>
      <c r="K2136" s="25" t="s">
        <v>798</v>
      </c>
      <c r="L2136" s="25" t="s">
        <v>12</v>
      </c>
      <c r="M2136" s="25" t="s">
        <v>147</v>
      </c>
      <c r="N2136" s="25"/>
      <c r="O2136" s="224"/>
      <c r="P2136" s="25"/>
      <c r="Q2136" s="224"/>
      <c r="R2136" s="25"/>
      <c r="S2136" s="25"/>
      <c r="T2136" s="25"/>
      <c r="U2136" s="25"/>
      <c r="V2136" s="25"/>
      <c r="W2136" s="25" t="s">
        <v>64</v>
      </c>
      <c r="X2136" s="25"/>
      <c r="Y2136" s="27"/>
      <c r="Z2136" s="25" t="s">
        <v>67</v>
      </c>
      <c r="AA2136" s="27"/>
      <c r="AB2136" s="25"/>
    </row>
    <row r="2137" spans="1:28">
      <c r="A2137" s="290"/>
      <c r="C2137" s="25" t="s">
        <v>4931</v>
      </c>
      <c r="D2137" s="2">
        <v>24577</v>
      </c>
      <c r="E2137" s="2" t="s">
        <v>4898</v>
      </c>
      <c r="F2137" s="3">
        <v>28806222500494</v>
      </c>
      <c r="G2137" s="2" t="s">
        <v>34</v>
      </c>
      <c r="H2137" s="103" t="s">
        <v>4899</v>
      </c>
      <c r="I2137" s="2" t="s">
        <v>4315</v>
      </c>
      <c r="J2137" s="4">
        <v>43669</v>
      </c>
      <c r="K2137" s="2" t="s">
        <v>798</v>
      </c>
      <c r="L2137" s="2" t="s">
        <v>12</v>
      </c>
      <c r="M2137" s="2" t="s">
        <v>4830</v>
      </c>
      <c r="W2137" s="103" t="s">
        <v>62</v>
      </c>
      <c r="Y2137" s="7">
        <v>43696</v>
      </c>
      <c r="Z2137" s="16" t="s">
        <v>67</v>
      </c>
      <c r="AB2137" s="2" t="s">
        <v>4438</v>
      </c>
    </row>
    <row r="2138" spans="1:28">
      <c r="A2138" s="290"/>
      <c r="C2138" s="25" t="s">
        <v>4931</v>
      </c>
      <c r="D2138" s="2">
        <v>24578</v>
      </c>
      <c r="E2138" s="2" t="s">
        <v>4900</v>
      </c>
      <c r="F2138" s="3">
        <v>30106012109293</v>
      </c>
      <c r="G2138" s="2" t="s">
        <v>4025</v>
      </c>
      <c r="H2138" s="2" t="s">
        <v>4901</v>
      </c>
      <c r="I2138" s="2" t="s">
        <v>4315</v>
      </c>
      <c r="J2138" s="4">
        <v>43669</v>
      </c>
      <c r="K2138" s="2" t="s">
        <v>798</v>
      </c>
      <c r="L2138" s="2" t="s">
        <v>12</v>
      </c>
      <c r="M2138" s="2" t="s">
        <v>103</v>
      </c>
      <c r="W2138" s="103" t="s">
        <v>3818</v>
      </c>
      <c r="Y2138" s="7">
        <v>43696</v>
      </c>
    </row>
    <row r="2139" spans="1:28">
      <c r="A2139" s="290"/>
      <c r="C2139" s="25" t="s">
        <v>4931</v>
      </c>
      <c r="D2139" s="2">
        <v>24579</v>
      </c>
      <c r="E2139" s="2" t="s">
        <v>4902</v>
      </c>
      <c r="F2139" s="3">
        <v>29505050104901</v>
      </c>
      <c r="G2139" s="2" t="s">
        <v>34</v>
      </c>
      <c r="H2139" s="2" t="s">
        <v>4903</v>
      </c>
      <c r="I2139" s="2" t="s">
        <v>4315</v>
      </c>
      <c r="J2139" s="4">
        <v>43669</v>
      </c>
      <c r="K2139" s="2" t="s">
        <v>798</v>
      </c>
      <c r="L2139" s="2" t="s">
        <v>12</v>
      </c>
      <c r="M2139" s="2" t="s">
        <v>3696</v>
      </c>
      <c r="W2139" s="103" t="s">
        <v>3321</v>
      </c>
      <c r="Y2139" s="7">
        <v>43696</v>
      </c>
      <c r="Z2139" s="16" t="s">
        <v>66</v>
      </c>
      <c r="AB2139" s="2" t="s">
        <v>5097</v>
      </c>
    </row>
    <row r="2140" spans="1:28">
      <c r="A2140" s="290"/>
      <c r="C2140" s="25" t="s">
        <v>4931</v>
      </c>
      <c r="D2140" s="2">
        <v>24580</v>
      </c>
      <c r="E2140" s="2" t="s">
        <v>4904</v>
      </c>
      <c r="F2140" s="3">
        <v>30104280100093</v>
      </c>
      <c r="G2140" s="2" t="s">
        <v>4025</v>
      </c>
      <c r="H2140" s="2" t="s">
        <v>4905</v>
      </c>
      <c r="I2140" s="2" t="s">
        <v>4315</v>
      </c>
      <c r="J2140" s="4">
        <v>43669</v>
      </c>
      <c r="K2140" s="2" t="s">
        <v>798</v>
      </c>
      <c r="L2140" s="2" t="s">
        <v>12</v>
      </c>
      <c r="M2140" s="2" t="s">
        <v>4906</v>
      </c>
      <c r="W2140" s="103" t="s">
        <v>61</v>
      </c>
      <c r="Y2140" s="7">
        <v>43696</v>
      </c>
      <c r="Z2140" s="16" t="s">
        <v>66</v>
      </c>
      <c r="AA2140" s="7">
        <v>43703</v>
      </c>
    </row>
    <row r="2141" spans="1:28">
      <c r="A2141" s="290"/>
      <c r="C2141" s="25" t="s">
        <v>4931</v>
      </c>
      <c r="D2141" s="2">
        <v>24581</v>
      </c>
      <c r="E2141" s="2" t="s">
        <v>4907</v>
      </c>
      <c r="F2141" s="3">
        <v>28002102103694</v>
      </c>
      <c r="G2141" s="2" t="s">
        <v>34</v>
      </c>
      <c r="H2141" s="2" t="s">
        <v>4908</v>
      </c>
      <c r="I2141" s="2" t="s">
        <v>4315</v>
      </c>
      <c r="J2141" s="4">
        <v>43669</v>
      </c>
      <c r="K2141" s="2" t="s">
        <v>798</v>
      </c>
      <c r="L2141" s="2" t="s">
        <v>12</v>
      </c>
      <c r="M2141" s="2" t="s">
        <v>696</v>
      </c>
      <c r="W2141" s="16" t="s">
        <v>64</v>
      </c>
      <c r="Z2141" s="16" t="s">
        <v>67</v>
      </c>
    </row>
    <row r="2142" spans="1:28">
      <c r="A2142" s="290"/>
      <c r="C2142" s="25" t="s">
        <v>4931</v>
      </c>
      <c r="D2142" s="2">
        <v>24582</v>
      </c>
      <c r="E2142" s="2" t="s">
        <v>4909</v>
      </c>
      <c r="F2142" s="3">
        <v>29401310101226</v>
      </c>
      <c r="G2142" s="2" t="s">
        <v>34</v>
      </c>
      <c r="H2142" s="2" t="s">
        <v>4910</v>
      </c>
      <c r="I2142" s="2" t="s">
        <v>4315</v>
      </c>
      <c r="J2142" s="4">
        <v>43669</v>
      </c>
      <c r="K2142" s="2" t="s">
        <v>798</v>
      </c>
      <c r="L2142" s="2" t="s">
        <v>12</v>
      </c>
      <c r="M2142" s="2" t="s">
        <v>3174</v>
      </c>
      <c r="W2142" s="103" t="s">
        <v>3818</v>
      </c>
      <c r="Y2142" s="7">
        <v>43696</v>
      </c>
    </row>
    <row r="2143" spans="1:28">
      <c r="A2143" s="290"/>
      <c r="C2143" s="25" t="s">
        <v>4931</v>
      </c>
      <c r="D2143" s="2">
        <v>24583</v>
      </c>
      <c r="E2143" s="2" t="s">
        <v>4911</v>
      </c>
      <c r="F2143" s="3">
        <v>29805260103676</v>
      </c>
      <c r="G2143" s="2" t="s">
        <v>4025</v>
      </c>
      <c r="H2143" s="2" t="s">
        <v>4912</v>
      </c>
      <c r="I2143" s="2" t="s">
        <v>4315</v>
      </c>
      <c r="J2143" s="4">
        <v>43669</v>
      </c>
      <c r="K2143" s="2" t="s">
        <v>798</v>
      </c>
      <c r="L2143" s="2" t="s">
        <v>12</v>
      </c>
      <c r="M2143" s="2" t="s">
        <v>103</v>
      </c>
      <c r="W2143" s="103" t="s">
        <v>3244</v>
      </c>
      <c r="Y2143" s="7">
        <v>43696</v>
      </c>
    </row>
    <row r="2144" spans="1:28">
      <c r="A2144" s="290"/>
      <c r="C2144" s="25" t="s">
        <v>4931</v>
      </c>
      <c r="D2144" s="2">
        <v>24584</v>
      </c>
      <c r="E2144" s="2" t="s">
        <v>4913</v>
      </c>
      <c r="F2144" s="3">
        <v>29509192502313</v>
      </c>
      <c r="G2144" s="2" t="s">
        <v>34</v>
      </c>
      <c r="H2144" s="2" t="s">
        <v>4914</v>
      </c>
      <c r="I2144" s="2" t="s">
        <v>4315</v>
      </c>
      <c r="J2144" s="4">
        <v>43669</v>
      </c>
      <c r="K2144" s="2" t="s">
        <v>798</v>
      </c>
      <c r="L2144" s="2" t="s">
        <v>12</v>
      </c>
      <c r="M2144" s="2" t="s">
        <v>4800</v>
      </c>
      <c r="W2144" s="103" t="s">
        <v>64</v>
      </c>
      <c r="Z2144" s="16" t="s">
        <v>67</v>
      </c>
    </row>
    <row r="2145" spans="1:28">
      <c r="A2145" s="290"/>
      <c r="C2145" s="25" t="s">
        <v>4931</v>
      </c>
      <c r="D2145" s="2">
        <v>24585</v>
      </c>
      <c r="E2145" s="2" t="s">
        <v>4915</v>
      </c>
      <c r="F2145" s="3">
        <v>29702010300189</v>
      </c>
      <c r="G2145" s="2" t="s">
        <v>34</v>
      </c>
      <c r="H2145" s="2" t="s">
        <v>4916</v>
      </c>
      <c r="I2145" s="2" t="s">
        <v>4315</v>
      </c>
      <c r="J2145" s="4">
        <v>43669</v>
      </c>
      <c r="K2145" s="2" t="s">
        <v>798</v>
      </c>
      <c r="L2145" s="2" t="s">
        <v>12</v>
      </c>
      <c r="M2145" s="2" t="s">
        <v>4627</v>
      </c>
      <c r="W2145" s="103" t="s">
        <v>60</v>
      </c>
      <c r="Y2145" s="7">
        <v>43696</v>
      </c>
      <c r="Z2145" s="16" t="s">
        <v>66</v>
      </c>
      <c r="AA2145" s="45">
        <v>43703</v>
      </c>
    </row>
    <row r="2146" spans="1:28">
      <c r="A2146" s="290"/>
      <c r="C2146" s="25" t="s">
        <v>4931</v>
      </c>
      <c r="D2146" s="2">
        <v>24586</v>
      </c>
      <c r="E2146" s="2" t="s">
        <v>4917</v>
      </c>
      <c r="F2146" s="3">
        <v>29508010113639</v>
      </c>
      <c r="G2146" s="2" t="s">
        <v>34</v>
      </c>
      <c r="H2146" s="2" t="s">
        <v>4918</v>
      </c>
      <c r="I2146" s="2" t="s">
        <v>4315</v>
      </c>
      <c r="J2146" s="4">
        <v>43669</v>
      </c>
      <c r="K2146" s="2" t="s">
        <v>798</v>
      </c>
      <c r="L2146" s="2" t="s">
        <v>12</v>
      </c>
      <c r="M2146" s="2" t="s">
        <v>4800</v>
      </c>
      <c r="W2146" s="103" t="s">
        <v>62</v>
      </c>
      <c r="Y2146" s="7">
        <v>43696</v>
      </c>
      <c r="Z2146" s="16" t="s">
        <v>66</v>
      </c>
      <c r="AA2146" s="7">
        <v>43702</v>
      </c>
      <c r="AB2146" s="2" t="s">
        <v>3967</v>
      </c>
    </row>
    <row r="2147" spans="1:28">
      <c r="A2147" s="290"/>
      <c r="C2147" s="25" t="s">
        <v>4931</v>
      </c>
      <c r="D2147" s="2">
        <v>24587</v>
      </c>
      <c r="E2147" s="2" t="s">
        <v>4919</v>
      </c>
      <c r="F2147" s="3">
        <v>29407310100171</v>
      </c>
      <c r="G2147" s="2" t="s">
        <v>34</v>
      </c>
      <c r="H2147" s="2" t="s">
        <v>4920</v>
      </c>
      <c r="I2147" s="2" t="s">
        <v>4315</v>
      </c>
      <c r="J2147" s="4">
        <v>43669</v>
      </c>
      <c r="K2147" s="2" t="s">
        <v>798</v>
      </c>
      <c r="L2147" s="2" t="s">
        <v>12</v>
      </c>
      <c r="M2147" s="2" t="s">
        <v>103</v>
      </c>
      <c r="W2147" s="103" t="s">
        <v>64</v>
      </c>
      <c r="Z2147" s="16" t="s">
        <v>67</v>
      </c>
    </row>
    <row r="2148" spans="1:28">
      <c r="A2148" s="290"/>
      <c r="C2148" s="25" t="s">
        <v>4931</v>
      </c>
      <c r="D2148" s="2">
        <v>24588</v>
      </c>
      <c r="E2148" s="2" t="s">
        <v>4921</v>
      </c>
      <c r="F2148" s="3">
        <v>29608240104901</v>
      </c>
      <c r="G2148" s="2" t="s">
        <v>34</v>
      </c>
      <c r="H2148" s="2" t="s">
        <v>4922</v>
      </c>
      <c r="I2148" s="2" t="s">
        <v>4315</v>
      </c>
      <c r="J2148" s="4">
        <v>43669</v>
      </c>
      <c r="K2148" s="2" t="s">
        <v>798</v>
      </c>
      <c r="L2148" s="2" t="s">
        <v>12</v>
      </c>
      <c r="M2148" s="2" t="s">
        <v>4923</v>
      </c>
      <c r="W2148" s="103" t="s">
        <v>62</v>
      </c>
      <c r="Y2148" s="7">
        <v>43696</v>
      </c>
      <c r="Z2148" s="16" t="s">
        <v>66</v>
      </c>
      <c r="AA2148" s="45">
        <v>43702</v>
      </c>
      <c r="AB2148" s="2" t="s">
        <v>3967</v>
      </c>
    </row>
    <row r="2149" spans="1:28">
      <c r="A2149" s="290"/>
      <c r="C2149" s="25" t="s">
        <v>4931</v>
      </c>
      <c r="D2149" s="2">
        <v>24589</v>
      </c>
      <c r="E2149" s="2" t="s">
        <v>4924</v>
      </c>
      <c r="F2149" s="3">
        <v>29410170102102</v>
      </c>
      <c r="G2149" s="2" t="s">
        <v>34</v>
      </c>
      <c r="H2149" s="2" t="s">
        <v>4925</v>
      </c>
      <c r="I2149" s="2" t="s">
        <v>4315</v>
      </c>
      <c r="J2149" s="4">
        <v>43669</v>
      </c>
      <c r="K2149" s="2" t="s">
        <v>798</v>
      </c>
      <c r="L2149" s="2" t="s">
        <v>12</v>
      </c>
      <c r="M2149" s="2" t="s">
        <v>4800</v>
      </c>
      <c r="W2149" s="103" t="s">
        <v>3321</v>
      </c>
      <c r="Y2149" s="7">
        <v>43696</v>
      </c>
      <c r="Z2149" s="16" t="s">
        <v>66</v>
      </c>
      <c r="AA2149" s="45">
        <v>43702</v>
      </c>
      <c r="AB2149" s="103" t="s">
        <v>3967</v>
      </c>
    </row>
    <row r="2150" spans="1:28">
      <c r="A2150" s="290"/>
      <c r="C2150" s="25" t="s">
        <v>4931</v>
      </c>
      <c r="D2150" s="2">
        <v>24590</v>
      </c>
      <c r="E2150" s="2" t="s">
        <v>4926</v>
      </c>
      <c r="F2150" s="3">
        <v>29606260100607</v>
      </c>
      <c r="G2150" s="2" t="s">
        <v>34</v>
      </c>
      <c r="H2150" s="2" t="s">
        <v>4927</v>
      </c>
      <c r="I2150" s="2" t="s">
        <v>4315</v>
      </c>
      <c r="J2150" s="4">
        <v>43669</v>
      </c>
      <c r="K2150" s="2" t="s">
        <v>798</v>
      </c>
      <c r="L2150" s="2" t="s">
        <v>12</v>
      </c>
      <c r="M2150" s="2" t="s">
        <v>438</v>
      </c>
      <c r="W2150" s="103" t="s">
        <v>62</v>
      </c>
      <c r="Y2150" s="7">
        <v>43696</v>
      </c>
      <c r="Z2150" s="16" t="s">
        <v>66</v>
      </c>
      <c r="AB2150" s="2" t="s">
        <v>5098</v>
      </c>
    </row>
    <row r="2151" spans="1:28" ht="15.75" thickBot="1">
      <c r="A2151" s="291"/>
      <c r="C2151" s="28" t="s">
        <v>4931</v>
      </c>
      <c r="D2151" s="28">
        <v>24591</v>
      </c>
      <c r="E2151" s="28" t="s">
        <v>4928</v>
      </c>
      <c r="F2151" s="29" t="s">
        <v>4929</v>
      </c>
      <c r="G2151" s="28" t="s">
        <v>3892</v>
      </c>
      <c r="H2151" s="28" t="s">
        <v>4930</v>
      </c>
      <c r="I2151" s="28" t="s">
        <v>4315</v>
      </c>
      <c r="J2151" s="30">
        <v>43669</v>
      </c>
      <c r="K2151" s="28" t="s">
        <v>798</v>
      </c>
      <c r="L2151" s="28" t="s">
        <v>12</v>
      </c>
      <c r="M2151" s="28" t="s">
        <v>103</v>
      </c>
      <c r="N2151" s="28"/>
      <c r="O2151" s="226"/>
      <c r="P2151" s="28"/>
      <c r="Q2151" s="226"/>
      <c r="R2151" s="28"/>
      <c r="S2151" s="28"/>
      <c r="T2151" s="28"/>
      <c r="U2151" s="28"/>
      <c r="V2151" s="28"/>
      <c r="W2151" s="28" t="s">
        <v>62</v>
      </c>
      <c r="X2151" s="28"/>
      <c r="Y2151" s="30">
        <v>43696</v>
      </c>
      <c r="Z2151" s="28" t="s">
        <v>66</v>
      </c>
      <c r="AA2151" s="30">
        <v>43717</v>
      </c>
      <c r="AB2151" s="28" t="s">
        <v>6592</v>
      </c>
    </row>
    <row r="2152" spans="1:28" ht="15.75" thickTop="1">
      <c r="A2152" s="284" t="s">
        <v>3120</v>
      </c>
      <c r="C2152" s="25" t="s">
        <v>4969</v>
      </c>
      <c r="D2152" s="25">
        <v>24602</v>
      </c>
      <c r="E2152" s="25" t="s">
        <v>4938</v>
      </c>
      <c r="F2152" s="26">
        <v>29606020103391</v>
      </c>
      <c r="G2152" s="25" t="s">
        <v>34</v>
      </c>
      <c r="H2152" s="25" t="s">
        <v>4939</v>
      </c>
      <c r="I2152" s="25" t="s">
        <v>4315</v>
      </c>
      <c r="J2152" s="27">
        <v>43675</v>
      </c>
      <c r="K2152" s="25" t="s">
        <v>798</v>
      </c>
      <c r="L2152" s="25" t="s">
        <v>12</v>
      </c>
      <c r="M2152" s="25" t="s">
        <v>4940</v>
      </c>
      <c r="N2152" s="25"/>
      <c r="O2152" s="224"/>
      <c r="P2152" s="25"/>
      <c r="Q2152" s="224"/>
      <c r="R2152" s="77">
        <v>3</v>
      </c>
      <c r="S2152" s="77">
        <v>2.5</v>
      </c>
      <c r="T2152" s="77">
        <v>1.5</v>
      </c>
      <c r="U2152" s="77">
        <v>2</v>
      </c>
      <c r="V2152" s="77">
        <v>3</v>
      </c>
      <c r="W2152" s="25" t="s">
        <v>62</v>
      </c>
      <c r="X2152" s="25"/>
      <c r="Y2152" s="27">
        <v>43702</v>
      </c>
      <c r="Z2152" s="25" t="s">
        <v>66</v>
      </c>
      <c r="AA2152" s="27">
        <v>43709</v>
      </c>
      <c r="AB2152" s="25"/>
    </row>
    <row r="2153" spans="1:28">
      <c r="A2153" s="285"/>
      <c r="C2153" s="25" t="s">
        <v>4969</v>
      </c>
      <c r="D2153" s="2">
        <v>24603</v>
      </c>
      <c r="E2153" s="2" t="s">
        <v>4941</v>
      </c>
      <c r="F2153" s="3">
        <v>28703070100386</v>
      </c>
      <c r="G2153" s="2" t="s">
        <v>34</v>
      </c>
      <c r="H2153" s="2" t="s">
        <v>4942</v>
      </c>
      <c r="I2153" s="2" t="s">
        <v>4315</v>
      </c>
      <c r="J2153" s="4">
        <v>43675</v>
      </c>
      <c r="K2153" s="2" t="s">
        <v>798</v>
      </c>
      <c r="L2153" s="2" t="s">
        <v>12</v>
      </c>
      <c r="M2153" s="2" t="s">
        <v>4669</v>
      </c>
      <c r="W2153" s="16" t="s">
        <v>63</v>
      </c>
      <c r="Z2153" s="16" t="s">
        <v>67</v>
      </c>
    </row>
    <row r="2154" spans="1:28">
      <c r="A2154" s="285"/>
      <c r="C2154" s="25" t="s">
        <v>4969</v>
      </c>
      <c r="D2154" s="2">
        <v>24604</v>
      </c>
      <c r="E2154" s="2" t="s">
        <v>4943</v>
      </c>
      <c r="F2154" s="3">
        <v>29611140103533</v>
      </c>
      <c r="G2154" s="2" t="s">
        <v>34</v>
      </c>
      <c r="H2154" s="2" t="s">
        <v>4944</v>
      </c>
      <c r="I2154" s="2" t="s">
        <v>4315</v>
      </c>
      <c r="J2154" s="4">
        <v>43675</v>
      </c>
      <c r="K2154" s="2" t="s">
        <v>798</v>
      </c>
      <c r="L2154" s="2" t="s">
        <v>12</v>
      </c>
      <c r="M2154" s="2" t="s">
        <v>4800</v>
      </c>
      <c r="W2154" s="103" t="s">
        <v>63</v>
      </c>
      <c r="Z2154" s="16" t="s">
        <v>67</v>
      </c>
    </row>
    <row r="2155" spans="1:28">
      <c r="A2155" s="285"/>
      <c r="C2155" s="25" t="s">
        <v>4969</v>
      </c>
      <c r="D2155" s="2">
        <v>24605</v>
      </c>
      <c r="E2155" s="2" t="s">
        <v>4945</v>
      </c>
      <c r="F2155" s="3">
        <v>29507150100255</v>
      </c>
      <c r="G2155" s="2" t="s">
        <v>34</v>
      </c>
      <c r="H2155" s="2" t="s">
        <v>4946</v>
      </c>
      <c r="I2155" s="2" t="s">
        <v>4315</v>
      </c>
      <c r="J2155" s="4">
        <v>43675</v>
      </c>
      <c r="K2155" s="2" t="s">
        <v>798</v>
      </c>
      <c r="L2155" s="2" t="s">
        <v>12</v>
      </c>
      <c r="M2155" s="2" t="s">
        <v>105</v>
      </c>
      <c r="R2155" s="77">
        <v>3</v>
      </c>
      <c r="S2155" s="77">
        <v>2.5</v>
      </c>
      <c r="T2155" s="77">
        <v>2</v>
      </c>
      <c r="U2155" s="77">
        <v>1.5</v>
      </c>
      <c r="V2155" s="77">
        <v>3</v>
      </c>
      <c r="W2155" s="16" t="s">
        <v>62</v>
      </c>
      <c r="Y2155" s="7">
        <v>43702</v>
      </c>
      <c r="Z2155" s="16" t="s">
        <v>66</v>
      </c>
      <c r="AA2155" s="7">
        <v>43746</v>
      </c>
      <c r="AB2155" s="2" t="s">
        <v>6588</v>
      </c>
    </row>
    <row r="2156" spans="1:28">
      <c r="A2156" s="285"/>
      <c r="C2156" s="25" t="s">
        <v>4969</v>
      </c>
      <c r="D2156" s="2">
        <v>24606</v>
      </c>
      <c r="E2156" s="2" t="s">
        <v>4947</v>
      </c>
      <c r="F2156" s="3">
        <v>29004100102638</v>
      </c>
      <c r="G2156" s="2" t="s">
        <v>34</v>
      </c>
      <c r="H2156" s="2" t="s">
        <v>4948</v>
      </c>
      <c r="I2156" s="2" t="s">
        <v>4315</v>
      </c>
      <c r="J2156" s="4">
        <v>43675</v>
      </c>
      <c r="K2156" s="2" t="s">
        <v>798</v>
      </c>
      <c r="L2156" s="2" t="s">
        <v>12</v>
      </c>
      <c r="M2156" s="2" t="s">
        <v>4830</v>
      </c>
      <c r="R2156" s="77">
        <v>3</v>
      </c>
      <c r="S2156" s="77">
        <v>3</v>
      </c>
      <c r="T2156" s="77">
        <v>2</v>
      </c>
      <c r="U2156" s="77">
        <v>2</v>
      </c>
      <c r="V2156" s="77">
        <v>3</v>
      </c>
      <c r="W2156" s="16" t="s">
        <v>3244</v>
      </c>
      <c r="Y2156" s="7">
        <v>43702</v>
      </c>
    </row>
    <row r="2157" spans="1:28">
      <c r="A2157" s="285"/>
      <c r="C2157" s="25" t="s">
        <v>4969</v>
      </c>
      <c r="D2157" s="2">
        <v>24607</v>
      </c>
      <c r="E2157" s="2" t="s">
        <v>4949</v>
      </c>
      <c r="F2157" s="3">
        <v>29412190100184</v>
      </c>
      <c r="G2157" s="2" t="s">
        <v>34</v>
      </c>
      <c r="H2157" s="2" t="s">
        <v>4950</v>
      </c>
      <c r="I2157" s="2" t="s">
        <v>4315</v>
      </c>
      <c r="J2157" s="4">
        <v>43675</v>
      </c>
      <c r="K2157" s="2" t="s">
        <v>798</v>
      </c>
      <c r="L2157" s="2" t="s">
        <v>12</v>
      </c>
      <c r="M2157" s="2" t="s">
        <v>4753</v>
      </c>
      <c r="R2157" s="77">
        <v>3</v>
      </c>
      <c r="S2157" s="77">
        <v>3</v>
      </c>
      <c r="T2157" s="77">
        <v>2</v>
      </c>
      <c r="U2157" s="77">
        <v>2</v>
      </c>
      <c r="V2157" s="77">
        <v>3</v>
      </c>
      <c r="W2157" s="16" t="s">
        <v>3244</v>
      </c>
      <c r="Y2157" s="7">
        <v>43702</v>
      </c>
    </row>
    <row r="2158" spans="1:28">
      <c r="A2158" s="285"/>
      <c r="C2158" s="25" t="s">
        <v>4969</v>
      </c>
      <c r="D2158" s="2">
        <v>24608</v>
      </c>
      <c r="E2158" s="2" t="s">
        <v>4951</v>
      </c>
      <c r="F2158" s="3">
        <v>28602068800531</v>
      </c>
      <c r="G2158" s="2" t="s">
        <v>34</v>
      </c>
      <c r="H2158" s="2" t="s">
        <v>4952</v>
      </c>
      <c r="I2158" s="2" t="s">
        <v>4315</v>
      </c>
      <c r="J2158" s="4">
        <v>43675</v>
      </c>
      <c r="K2158" s="2" t="s">
        <v>798</v>
      </c>
      <c r="L2158" s="2" t="s">
        <v>12</v>
      </c>
      <c r="M2158" s="2" t="s">
        <v>623</v>
      </c>
      <c r="R2158" s="77">
        <v>2.5</v>
      </c>
      <c r="S2158" s="77">
        <v>2</v>
      </c>
      <c r="T2158" s="77">
        <v>1.5</v>
      </c>
      <c r="U2158" s="77">
        <v>1.5</v>
      </c>
      <c r="V2158" s="77">
        <v>2.5</v>
      </c>
      <c r="W2158" s="16" t="s">
        <v>3818</v>
      </c>
      <c r="Y2158" s="7">
        <v>43702</v>
      </c>
    </row>
    <row r="2159" spans="1:28">
      <c r="A2159" s="285"/>
      <c r="C2159" s="25" t="s">
        <v>4969</v>
      </c>
      <c r="D2159" s="2">
        <v>24609</v>
      </c>
      <c r="E2159" s="2" t="s">
        <v>4953</v>
      </c>
      <c r="F2159" s="3">
        <v>29708050101977</v>
      </c>
      <c r="G2159" s="2" t="s">
        <v>34</v>
      </c>
      <c r="H2159" s="2" t="s">
        <v>4954</v>
      </c>
      <c r="I2159" s="2" t="s">
        <v>4315</v>
      </c>
      <c r="J2159" s="4">
        <v>43675</v>
      </c>
      <c r="K2159" s="2" t="s">
        <v>798</v>
      </c>
      <c r="L2159" s="2" t="s">
        <v>12</v>
      </c>
      <c r="M2159" s="2" t="s">
        <v>768</v>
      </c>
      <c r="R2159" s="77">
        <v>3</v>
      </c>
      <c r="S2159" s="77">
        <v>2.5</v>
      </c>
      <c r="T2159" s="77">
        <v>2</v>
      </c>
      <c r="U2159" s="77">
        <v>1.5</v>
      </c>
      <c r="V2159" s="77">
        <v>3</v>
      </c>
      <c r="W2159" s="16" t="s">
        <v>3321</v>
      </c>
      <c r="Y2159" s="7">
        <v>43702</v>
      </c>
      <c r="Z2159" s="16" t="s">
        <v>66</v>
      </c>
      <c r="AA2159" s="7">
        <v>43746</v>
      </c>
      <c r="AB2159" s="103" t="s">
        <v>4821</v>
      </c>
    </row>
    <row r="2160" spans="1:28">
      <c r="A2160" s="285"/>
      <c r="C2160" s="25" t="s">
        <v>4969</v>
      </c>
      <c r="D2160" s="2">
        <v>24610</v>
      </c>
      <c r="E2160" s="2" t="s">
        <v>4955</v>
      </c>
      <c r="F2160" s="3">
        <v>29208230101565</v>
      </c>
      <c r="G2160" s="2" t="s">
        <v>34</v>
      </c>
      <c r="H2160" s="2" t="s">
        <v>4956</v>
      </c>
      <c r="I2160" s="2" t="s">
        <v>4315</v>
      </c>
      <c r="J2160" s="4">
        <v>43675</v>
      </c>
      <c r="K2160" s="2" t="s">
        <v>798</v>
      </c>
      <c r="L2160" s="2" t="s">
        <v>12</v>
      </c>
      <c r="M2160" s="2" t="s">
        <v>1249</v>
      </c>
      <c r="R2160" s="77">
        <v>3</v>
      </c>
      <c r="S2160" s="77">
        <v>3</v>
      </c>
      <c r="T2160" s="77">
        <v>2</v>
      </c>
      <c r="U2160" s="77">
        <v>2</v>
      </c>
      <c r="V2160" s="77">
        <v>3</v>
      </c>
      <c r="W2160" s="16" t="s">
        <v>3244</v>
      </c>
      <c r="Y2160" s="7">
        <v>43702</v>
      </c>
    </row>
    <row r="2161" spans="1:28">
      <c r="A2161" s="285"/>
      <c r="C2161" s="25" t="s">
        <v>4969</v>
      </c>
      <c r="D2161" s="2">
        <v>24611</v>
      </c>
      <c r="E2161" s="2" t="s">
        <v>4957</v>
      </c>
      <c r="F2161" s="3">
        <v>28602012113469</v>
      </c>
      <c r="G2161" s="2" t="s">
        <v>34</v>
      </c>
      <c r="H2161" s="2" t="s">
        <v>4958</v>
      </c>
      <c r="I2161" s="2" t="s">
        <v>4315</v>
      </c>
      <c r="J2161" s="4">
        <v>43675</v>
      </c>
      <c r="K2161" s="2" t="s">
        <v>798</v>
      </c>
      <c r="L2161" s="2" t="s">
        <v>12</v>
      </c>
      <c r="M2161" s="2" t="s">
        <v>4627</v>
      </c>
      <c r="R2161" s="77">
        <v>3</v>
      </c>
      <c r="S2161" s="77">
        <v>2.5</v>
      </c>
      <c r="T2161" s="77">
        <v>2</v>
      </c>
      <c r="U2161" s="77">
        <v>2</v>
      </c>
      <c r="V2161" s="77">
        <v>3</v>
      </c>
      <c r="W2161" s="16" t="s">
        <v>4970</v>
      </c>
      <c r="Y2161" s="7">
        <v>43702</v>
      </c>
    </row>
    <row r="2162" spans="1:28">
      <c r="A2162" s="285"/>
      <c r="C2162" s="25" t="s">
        <v>4969</v>
      </c>
      <c r="D2162" s="2">
        <v>24612</v>
      </c>
      <c r="E2162" s="2" t="s">
        <v>4959</v>
      </c>
      <c r="F2162" s="3">
        <v>30103090104398</v>
      </c>
      <c r="G2162" s="2" t="s">
        <v>4</v>
      </c>
      <c r="H2162" s="2" t="s">
        <v>4960</v>
      </c>
      <c r="I2162" s="2" t="s">
        <v>4315</v>
      </c>
      <c r="J2162" s="4">
        <v>43675</v>
      </c>
      <c r="K2162" s="2" t="s">
        <v>798</v>
      </c>
      <c r="L2162" s="2" t="s">
        <v>12</v>
      </c>
      <c r="M2162" s="2" t="s">
        <v>696</v>
      </c>
      <c r="R2162" s="77">
        <v>3</v>
      </c>
      <c r="S2162" s="77">
        <v>2.5</v>
      </c>
      <c r="T2162" s="77">
        <v>2</v>
      </c>
      <c r="U2162" s="77">
        <v>2.5</v>
      </c>
      <c r="V2162" s="77">
        <v>3</v>
      </c>
      <c r="W2162" s="16" t="s">
        <v>3244</v>
      </c>
      <c r="Y2162" s="7">
        <v>43702</v>
      </c>
    </row>
    <row r="2163" spans="1:28">
      <c r="A2163" s="285"/>
      <c r="C2163" s="25" t="s">
        <v>4969</v>
      </c>
      <c r="D2163" s="2">
        <v>24613</v>
      </c>
      <c r="E2163" s="2" t="s">
        <v>4961</v>
      </c>
      <c r="F2163" s="3">
        <v>29807142103559</v>
      </c>
      <c r="G2163" s="2" t="s">
        <v>4</v>
      </c>
      <c r="H2163" s="2" t="s">
        <v>4962</v>
      </c>
      <c r="I2163" s="2" t="s">
        <v>4315</v>
      </c>
      <c r="J2163" s="4">
        <v>43675</v>
      </c>
      <c r="K2163" s="2" t="s">
        <v>798</v>
      </c>
      <c r="L2163" s="2" t="s">
        <v>12</v>
      </c>
      <c r="M2163" s="2" t="s">
        <v>4830</v>
      </c>
      <c r="R2163" s="77">
        <v>3</v>
      </c>
      <c r="S2163" s="77">
        <v>2.5</v>
      </c>
      <c r="T2163" s="77">
        <v>2</v>
      </c>
      <c r="U2163" s="77">
        <v>2</v>
      </c>
      <c r="V2163" s="77">
        <v>3</v>
      </c>
      <c r="W2163" s="16" t="s">
        <v>4970</v>
      </c>
      <c r="Y2163" s="7">
        <v>43702</v>
      </c>
    </row>
    <row r="2164" spans="1:28">
      <c r="A2164" s="285"/>
      <c r="C2164" s="25" t="s">
        <v>4969</v>
      </c>
      <c r="D2164" s="2">
        <v>24614</v>
      </c>
      <c r="E2164" s="2" t="s">
        <v>4963</v>
      </c>
      <c r="F2164" s="3">
        <v>29708131700239</v>
      </c>
      <c r="G2164" s="2" t="s">
        <v>34</v>
      </c>
      <c r="H2164" s="2" t="s">
        <v>4964</v>
      </c>
      <c r="I2164" s="2" t="s">
        <v>4315</v>
      </c>
      <c r="J2164" s="4">
        <v>43675</v>
      </c>
      <c r="K2164" s="2" t="s">
        <v>798</v>
      </c>
      <c r="L2164" s="2" t="s">
        <v>12</v>
      </c>
      <c r="M2164" s="2" t="s">
        <v>4965</v>
      </c>
      <c r="R2164" s="77">
        <v>3</v>
      </c>
      <c r="S2164" s="77">
        <v>2</v>
      </c>
      <c r="T2164" s="77">
        <v>2</v>
      </c>
      <c r="U2164" s="77">
        <v>2</v>
      </c>
      <c r="V2164" s="77">
        <v>3</v>
      </c>
      <c r="W2164" s="16" t="s">
        <v>3818</v>
      </c>
      <c r="Y2164" s="7">
        <v>43702</v>
      </c>
    </row>
    <row r="2165" spans="1:28" ht="15.75" thickBot="1">
      <c r="A2165" s="286"/>
      <c r="C2165" s="28" t="s">
        <v>4969</v>
      </c>
      <c r="D2165" s="28">
        <v>24615</v>
      </c>
      <c r="E2165" s="28" t="s">
        <v>4966</v>
      </c>
      <c r="F2165" s="29">
        <v>29607251400661</v>
      </c>
      <c r="G2165" s="28" t="s">
        <v>34</v>
      </c>
      <c r="H2165" s="28" t="s">
        <v>4967</v>
      </c>
      <c r="I2165" s="28" t="s">
        <v>4315</v>
      </c>
      <c r="J2165" s="30">
        <v>43675</v>
      </c>
      <c r="K2165" s="28" t="s">
        <v>798</v>
      </c>
      <c r="L2165" s="28" t="s">
        <v>12</v>
      </c>
      <c r="M2165" s="28" t="s">
        <v>4968</v>
      </c>
      <c r="N2165" s="28"/>
      <c r="O2165" s="226"/>
      <c r="P2165" s="28"/>
      <c r="Q2165" s="226"/>
      <c r="R2165" s="37">
        <v>3</v>
      </c>
      <c r="S2165" s="37">
        <v>2.5</v>
      </c>
      <c r="T2165" s="37">
        <v>2</v>
      </c>
      <c r="U2165" s="37">
        <v>1.5</v>
      </c>
      <c r="V2165" s="37">
        <v>3</v>
      </c>
      <c r="W2165" s="28" t="s">
        <v>62</v>
      </c>
      <c r="X2165" s="28"/>
      <c r="Y2165" s="30">
        <v>43702</v>
      </c>
      <c r="Z2165" s="28"/>
      <c r="AA2165" s="30"/>
      <c r="AB2165" s="28" t="s">
        <v>5096</v>
      </c>
    </row>
    <row r="2166" spans="1:28" ht="15.75" thickTop="1">
      <c r="A2166" s="284" t="s">
        <v>3129</v>
      </c>
      <c r="C2166" s="25">
        <v>139</v>
      </c>
      <c r="D2166" s="25">
        <v>24592</v>
      </c>
      <c r="E2166" s="25" t="s">
        <v>4971</v>
      </c>
      <c r="F2166" s="26">
        <v>29507160102485</v>
      </c>
      <c r="G2166" s="25" t="s">
        <v>34</v>
      </c>
      <c r="H2166" s="25" t="s">
        <v>4985</v>
      </c>
      <c r="I2166" s="25" t="s">
        <v>4315</v>
      </c>
      <c r="J2166" s="27">
        <v>43675</v>
      </c>
      <c r="K2166" s="25" t="s">
        <v>8</v>
      </c>
      <c r="L2166" s="25" t="s">
        <v>12</v>
      </c>
      <c r="M2166" s="25" t="s">
        <v>551</v>
      </c>
      <c r="N2166" s="25"/>
      <c r="O2166" s="224"/>
      <c r="P2166" s="25"/>
      <c r="Q2166" s="224"/>
      <c r="R2166" s="77">
        <v>3</v>
      </c>
      <c r="S2166" s="77">
        <v>3</v>
      </c>
      <c r="T2166" s="77">
        <v>2.5</v>
      </c>
      <c r="U2166" s="77">
        <v>2.5</v>
      </c>
      <c r="V2166" s="77">
        <v>3</v>
      </c>
      <c r="W2166" s="25" t="s">
        <v>60</v>
      </c>
      <c r="X2166" s="25"/>
      <c r="Y2166" s="27">
        <v>43703</v>
      </c>
      <c r="Z2166" s="25" t="s">
        <v>66</v>
      </c>
      <c r="AA2166" s="27">
        <v>43703</v>
      </c>
      <c r="AB2166" s="25"/>
    </row>
    <row r="2167" spans="1:28">
      <c r="A2167" s="285"/>
      <c r="C2167" s="25">
        <v>139</v>
      </c>
      <c r="D2167" s="2">
        <v>24593</v>
      </c>
      <c r="E2167" s="2" t="s">
        <v>4972</v>
      </c>
      <c r="F2167" s="3">
        <v>29502230100416</v>
      </c>
      <c r="G2167" s="2" t="s">
        <v>34</v>
      </c>
      <c r="H2167" s="2" t="s">
        <v>4986</v>
      </c>
      <c r="I2167" s="2" t="s">
        <v>4315</v>
      </c>
      <c r="J2167" s="4">
        <v>43675</v>
      </c>
      <c r="K2167" s="2" t="s">
        <v>8</v>
      </c>
      <c r="L2167" s="2" t="s">
        <v>12</v>
      </c>
      <c r="M2167" s="2" t="s">
        <v>4800</v>
      </c>
      <c r="R2167" s="77">
        <v>3</v>
      </c>
      <c r="S2167" s="77">
        <v>2.5</v>
      </c>
      <c r="T2167" s="77">
        <v>2.5</v>
      </c>
      <c r="U2167" s="77">
        <v>2.5</v>
      </c>
      <c r="V2167" s="77">
        <v>3</v>
      </c>
      <c r="W2167" s="16" t="s">
        <v>170</v>
      </c>
      <c r="Y2167" s="7">
        <v>43703</v>
      </c>
      <c r="Z2167" s="16" t="s">
        <v>66</v>
      </c>
      <c r="AA2167" s="7">
        <v>43703</v>
      </c>
    </row>
    <row r="2168" spans="1:28">
      <c r="A2168" s="285"/>
      <c r="C2168" s="25">
        <v>139</v>
      </c>
      <c r="D2168" s="2">
        <v>24594</v>
      </c>
      <c r="E2168" s="2" t="s">
        <v>4973</v>
      </c>
      <c r="F2168" s="3">
        <v>29512170102711</v>
      </c>
      <c r="G2168" s="2" t="s">
        <v>34</v>
      </c>
      <c r="H2168" s="2" t="s">
        <v>4987</v>
      </c>
      <c r="I2168" s="2" t="s">
        <v>4315</v>
      </c>
      <c r="J2168" s="4">
        <v>43675</v>
      </c>
      <c r="K2168" s="2" t="s">
        <v>8</v>
      </c>
      <c r="L2168" s="2" t="s">
        <v>12</v>
      </c>
      <c r="M2168" s="2" t="s">
        <v>4493</v>
      </c>
      <c r="R2168" s="77">
        <v>3</v>
      </c>
      <c r="S2168" s="77">
        <v>2.5</v>
      </c>
      <c r="T2168" s="77">
        <v>2.5</v>
      </c>
      <c r="U2168" s="77">
        <v>2</v>
      </c>
      <c r="V2168" s="77">
        <v>3</v>
      </c>
      <c r="W2168" s="103" t="s">
        <v>170</v>
      </c>
      <c r="X2168" s="2" t="s">
        <v>66</v>
      </c>
      <c r="Y2168" s="45">
        <v>43726</v>
      </c>
      <c r="Z2168" s="16" t="s">
        <v>66</v>
      </c>
      <c r="AB2168" s="2" t="s">
        <v>3894</v>
      </c>
    </row>
    <row r="2169" spans="1:28">
      <c r="A2169" s="285"/>
      <c r="C2169" s="25">
        <v>139</v>
      </c>
      <c r="D2169" s="2">
        <v>24595</v>
      </c>
      <c r="E2169" s="2" t="s">
        <v>4974</v>
      </c>
      <c r="F2169" s="3">
        <v>29507201203224</v>
      </c>
      <c r="G2169" s="2" t="s">
        <v>34</v>
      </c>
      <c r="H2169" s="2" t="s">
        <v>4988</v>
      </c>
      <c r="I2169" s="2" t="s">
        <v>4315</v>
      </c>
      <c r="J2169" s="4">
        <v>43675</v>
      </c>
      <c r="K2169" s="2" t="s">
        <v>8</v>
      </c>
      <c r="L2169" s="2" t="s">
        <v>12</v>
      </c>
      <c r="M2169" s="2" t="s">
        <v>4432</v>
      </c>
      <c r="R2169" s="77">
        <v>3</v>
      </c>
      <c r="S2169" s="77">
        <v>2.5</v>
      </c>
      <c r="T2169" s="77">
        <v>2</v>
      </c>
      <c r="U2169" s="77">
        <v>2</v>
      </c>
      <c r="V2169" s="77">
        <v>3</v>
      </c>
      <c r="W2169" s="16" t="s">
        <v>61</v>
      </c>
      <c r="Y2169" s="45">
        <v>43703</v>
      </c>
      <c r="Z2169" s="16" t="s">
        <v>66</v>
      </c>
      <c r="AA2169" s="7">
        <v>43730</v>
      </c>
      <c r="AB2169" s="2" t="s">
        <v>5184</v>
      </c>
    </row>
    <row r="2170" spans="1:28">
      <c r="A2170" s="285"/>
      <c r="C2170" s="25">
        <v>139</v>
      </c>
      <c r="D2170" s="2">
        <v>24596</v>
      </c>
      <c r="E2170" s="2" t="s">
        <v>4975</v>
      </c>
      <c r="F2170" s="3">
        <v>29004012200107</v>
      </c>
      <c r="G2170" s="2" t="s">
        <v>34</v>
      </c>
      <c r="H2170" s="2" t="s">
        <v>4989</v>
      </c>
      <c r="I2170" s="2" t="s">
        <v>4315</v>
      </c>
      <c r="J2170" s="4">
        <v>43675</v>
      </c>
      <c r="K2170" s="2" t="s">
        <v>8</v>
      </c>
      <c r="L2170" s="2" t="s">
        <v>12</v>
      </c>
      <c r="M2170" s="2" t="s">
        <v>4257</v>
      </c>
      <c r="R2170" s="77">
        <v>3</v>
      </c>
      <c r="S2170" s="77">
        <v>2.5</v>
      </c>
      <c r="T2170" s="77">
        <v>2</v>
      </c>
      <c r="U2170" s="77">
        <v>2</v>
      </c>
      <c r="V2170" s="77">
        <v>3</v>
      </c>
      <c r="W2170" s="103" t="s">
        <v>62</v>
      </c>
      <c r="X2170" s="2" t="s">
        <v>66</v>
      </c>
      <c r="Y2170" s="45">
        <v>43726</v>
      </c>
      <c r="AB2170" s="2" t="s">
        <v>5096</v>
      </c>
    </row>
    <row r="2171" spans="1:28">
      <c r="A2171" s="285"/>
      <c r="C2171" s="25">
        <v>139</v>
      </c>
      <c r="D2171" s="2">
        <v>24597</v>
      </c>
      <c r="E2171" s="2" t="s">
        <v>4976</v>
      </c>
      <c r="F2171" s="3">
        <v>29912010100494</v>
      </c>
      <c r="G2171" s="2" t="s">
        <v>4977</v>
      </c>
      <c r="H2171" s="2" t="s">
        <v>4990</v>
      </c>
      <c r="I2171" s="2" t="s">
        <v>4315</v>
      </c>
      <c r="J2171" s="4">
        <v>43675</v>
      </c>
      <c r="K2171" s="2" t="s">
        <v>8</v>
      </c>
      <c r="L2171" s="2" t="s">
        <v>12</v>
      </c>
      <c r="M2171" s="2" t="s">
        <v>103</v>
      </c>
      <c r="R2171" s="77">
        <v>3</v>
      </c>
      <c r="S2171" s="77">
        <v>2.5</v>
      </c>
      <c r="T2171" s="77">
        <v>2.5</v>
      </c>
      <c r="U2171" s="77">
        <v>2</v>
      </c>
      <c r="V2171" s="77">
        <v>3</v>
      </c>
      <c r="W2171" s="16" t="s">
        <v>170</v>
      </c>
      <c r="Y2171" s="45">
        <v>43703</v>
      </c>
      <c r="Z2171" s="16" t="s">
        <v>66</v>
      </c>
      <c r="AA2171" s="7">
        <v>43731</v>
      </c>
      <c r="AB2171" s="2" t="s">
        <v>502</v>
      </c>
    </row>
    <row r="2172" spans="1:28">
      <c r="A2172" s="285"/>
      <c r="C2172" s="25">
        <v>139</v>
      </c>
      <c r="D2172" s="2">
        <v>24598</v>
      </c>
      <c r="E2172" s="2" t="s">
        <v>4978</v>
      </c>
      <c r="F2172" s="3">
        <v>29305242100055</v>
      </c>
      <c r="G2172" s="2" t="s">
        <v>34</v>
      </c>
      <c r="H2172" s="8" t="s">
        <v>4997</v>
      </c>
      <c r="I2172" s="2" t="s">
        <v>4315</v>
      </c>
      <c r="J2172" s="4">
        <v>43675</v>
      </c>
      <c r="K2172" s="2" t="s">
        <v>8</v>
      </c>
      <c r="L2172" s="2" t="s">
        <v>12</v>
      </c>
      <c r="M2172" s="2" t="s">
        <v>768</v>
      </c>
      <c r="W2172" s="16" t="s">
        <v>63</v>
      </c>
      <c r="Z2172" s="16" t="s">
        <v>67</v>
      </c>
    </row>
    <row r="2173" spans="1:28">
      <c r="A2173" s="285"/>
      <c r="C2173" s="25">
        <v>139</v>
      </c>
      <c r="D2173" s="2">
        <v>24599</v>
      </c>
      <c r="E2173" s="2" t="s">
        <v>4979</v>
      </c>
      <c r="F2173" s="3">
        <v>29409290100474</v>
      </c>
      <c r="G2173" s="2" t="s">
        <v>34</v>
      </c>
      <c r="H2173" s="2" t="s">
        <v>4991</v>
      </c>
      <c r="I2173" s="2" t="s">
        <v>4315</v>
      </c>
      <c r="J2173" s="4">
        <v>43675</v>
      </c>
      <c r="K2173" s="2" t="s">
        <v>8</v>
      </c>
      <c r="L2173" s="2" t="s">
        <v>12</v>
      </c>
      <c r="M2173" s="2" t="s">
        <v>293</v>
      </c>
      <c r="R2173" s="77">
        <v>3</v>
      </c>
      <c r="S2173" s="77">
        <v>2.5</v>
      </c>
      <c r="T2173" s="77">
        <v>2.5</v>
      </c>
      <c r="U2173" s="77">
        <v>2.5</v>
      </c>
      <c r="V2173" s="77">
        <v>3</v>
      </c>
      <c r="W2173" s="16" t="s">
        <v>60</v>
      </c>
      <c r="Y2173" s="45">
        <v>43703</v>
      </c>
      <c r="Z2173" s="16" t="s">
        <v>66</v>
      </c>
      <c r="AA2173" s="7">
        <v>43717</v>
      </c>
      <c r="AB2173" s="2" t="s">
        <v>3894</v>
      </c>
    </row>
    <row r="2174" spans="1:28">
      <c r="A2174" s="285"/>
      <c r="C2174" s="25">
        <v>139</v>
      </c>
      <c r="D2174" s="2">
        <v>24600</v>
      </c>
      <c r="E2174" s="2" t="s">
        <v>4980</v>
      </c>
      <c r="F2174" s="3">
        <v>29708011402277</v>
      </c>
      <c r="G2174" s="2" t="s">
        <v>4977</v>
      </c>
      <c r="H2174" s="2" t="s">
        <v>4992</v>
      </c>
      <c r="I2174" s="2" t="s">
        <v>4315</v>
      </c>
      <c r="J2174" s="4">
        <v>43675</v>
      </c>
      <c r="K2174" s="2" t="s">
        <v>8</v>
      </c>
      <c r="L2174" s="2" t="s">
        <v>12</v>
      </c>
      <c r="M2174" s="2" t="s">
        <v>551</v>
      </c>
      <c r="R2174" s="77">
        <v>3</v>
      </c>
      <c r="S2174" s="77">
        <v>3</v>
      </c>
      <c r="T2174" s="77">
        <v>2</v>
      </c>
      <c r="U2174" s="77">
        <v>2</v>
      </c>
      <c r="V2174" s="77">
        <v>3</v>
      </c>
      <c r="W2174" s="16" t="s">
        <v>61</v>
      </c>
      <c r="X2174" s="2" t="s">
        <v>67</v>
      </c>
      <c r="AB2174" s="2" t="s">
        <v>5376</v>
      </c>
    </row>
    <row r="2175" spans="1:28">
      <c r="A2175" s="285"/>
      <c r="C2175" s="25">
        <v>139</v>
      </c>
      <c r="D2175" s="2">
        <v>24601</v>
      </c>
      <c r="E2175" s="2" t="s">
        <v>4981</v>
      </c>
      <c r="F2175" s="3">
        <v>29606240103359</v>
      </c>
      <c r="G2175" s="2" t="s">
        <v>184</v>
      </c>
      <c r="H2175" s="2" t="s">
        <v>4993</v>
      </c>
      <c r="I2175" s="2" t="s">
        <v>4315</v>
      </c>
      <c r="J2175" s="4">
        <v>43675</v>
      </c>
      <c r="K2175" s="2" t="s">
        <v>8</v>
      </c>
      <c r="L2175" s="2" t="s">
        <v>12</v>
      </c>
      <c r="M2175" s="2" t="s">
        <v>103</v>
      </c>
      <c r="R2175" s="77">
        <v>3</v>
      </c>
      <c r="S2175" s="77">
        <v>3</v>
      </c>
      <c r="T2175" s="77">
        <v>2.5</v>
      </c>
      <c r="U2175" s="77">
        <v>2</v>
      </c>
      <c r="V2175" s="77">
        <v>3</v>
      </c>
      <c r="W2175" s="16" t="s">
        <v>60</v>
      </c>
      <c r="X2175" s="2" t="s">
        <v>66</v>
      </c>
      <c r="Y2175" s="45">
        <v>43726</v>
      </c>
      <c r="Z2175" s="16" t="s">
        <v>66</v>
      </c>
      <c r="AA2175" s="7">
        <v>43737</v>
      </c>
    </row>
    <row r="2176" spans="1:28">
      <c r="A2176" s="285"/>
      <c r="C2176" s="25">
        <v>139</v>
      </c>
      <c r="D2176" s="2">
        <v>24616</v>
      </c>
      <c r="E2176" s="2" t="s">
        <v>4982</v>
      </c>
      <c r="F2176" s="3">
        <v>29805172103321</v>
      </c>
      <c r="G2176" s="2" t="s">
        <v>34</v>
      </c>
      <c r="H2176" s="2" t="s">
        <v>4994</v>
      </c>
      <c r="I2176" s="2" t="s">
        <v>4315</v>
      </c>
      <c r="J2176" s="4">
        <v>43675</v>
      </c>
      <c r="K2176" s="2" t="s">
        <v>8</v>
      </c>
      <c r="L2176" s="2" t="s">
        <v>12</v>
      </c>
      <c r="M2176" s="2" t="s">
        <v>3214</v>
      </c>
      <c r="R2176" s="77">
        <v>3</v>
      </c>
      <c r="S2176" s="77">
        <v>3</v>
      </c>
      <c r="T2176" s="77">
        <v>2.5</v>
      </c>
      <c r="U2176" s="77">
        <v>2</v>
      </c>
      <c r="V2176" s="77">
        <v>3</v>
      </c>
      <c r="W2176" s="16" t="s">
        <v>4212</v>
      </c>
      <c r="X2176" s="2" t="s">
        <v>66</v>
      </c>
      <c r="Y2176" s="45">
        <v>43726</v>
      </c>
      <c r="Z2176" s="16" t="s">
        <v>66</v>
      </c>
      <c r="AA2176" s="7">
        <v>43731</v>
      </c>
    </row>
    <row r="2177" spans="1:28">
      <c r="A2177" s="285"/>
      <c r="C2177" s="25">
        <v>139</v>
      </c>
      <c r="D2177" s="2">
        <v>24617</v>
      </c>
      <c r="E2177" s="2" t="s">
        <v>4983</v>
      </c>
      <c r="F2177" s="3">
        <v>30010302200432</v>
      </c>
      <c r="G2177" s="2" t="s">
        <v>4977</v>
      </c>
      <c r="H2177" s="2" t="s">
        <v>4995</v>
      </c>
      <c r="I2177" s="2" t="s">
        <v>4315</v>
      </c>
      <c r="J2177" s="4">
        <v>43675</v>
      </c>
      <c r="K2177" s="2" t="s">
        <v>8</v>
      </c>
      <c r="L2177" s="2" t="s">
        <v>12</v>
      </c>
      <c r="M2177" s="2" t="s">
        <v>4923</v>
      </c>
      <c r="R2177" s="77">
        <v>3</v>
      </c>
      <c r="S2177" s="77">
        <v>2.5</v>
      </c>
      <c r="T2177" s="77">
        <v>3</v>
      </c>
      <c r="U2177" s="77">
        <v>2.5</v>
      </c>
      <c r="V2177" s="77">
        <v>3</v>
      </c>
      <c r="W2177" s="16" t="s">
        <v>60</v>
      </c>
      <c r="Y2177" s="45">
        <v>43703</v>
      </c>
      <c r="Z2177" s="16" t="s">
        <v>66</v>
      </c>
      <c r="AA2177" s="7">
        <v>43717</v>
      </c>
    </row>
    <row r="2178" spans="1:28">
      <c r="A2178" s="285"/>
      <c r="C2178" s="25">
        <v>139</v>
      </c>
      <c r="D2178" s="2">
        <v>24618</v>
      </c>
      <c r="E2178" s="2" t="s">
        <v>4984</v>
      </c>
      <c r="F2178" s="3">
        <v>29505010203841</v>
      </c>
      <c r="G2178" s="2" t="s">
        <v>34</v>
      </c>
      <c r="H2178" s="2" t="s">
        <v>4996</v>
      </c>
      <c r="I2178" s="2" t="s">
        <v>4315</v>
      </c>
      <c r="J2178" s="4">
        <v>43675</v>
      </c>
      <c r="K2178" s="2" t="s">
        <v>8</v>
      </c>
      <c r="L2178" s="2" t="s">
        <v>12</v>
      </c>
      <c r="M2178" s="2" t="s">
        <v>768</v>
      </c>
      <c r="R2178" s="77">
        <v>3</v>
      </c>
      <c r="S2178" s="77">
        <v>2.5</v>
      </c>
      <c r="T2178" s="77">
        <v>2.5</v>
      </c>
      <c r="U2178" s="77">
        <v>2.5</v>
      </c>
      <c r="V2178" s="77">
        <v>3</v>
      </c>
      <c r="W2178" s="16" t="s">
        <v>171</v>
      </c>
      <c r="X2178" s="2" t="s">
        <v>66</v>
      </c>
      <c r="Y2178" s="45">
        <v>43726</v>
      </c>
      <c r="Z2178" s="16" t="s">
        <v>66</v>
      </c>
      <c r="AA2178" s="7">
        <v>43730</v>
      </c>
    </row>
    <row r="2179" spans="1:28">
      <c r="A2179" s="285"/>
      <c r="C2179" s="25">
        <v>139</v>
      </c>
      <c r="D2179" s="2">
        <v>24270</v>
      </c>
      <c r="E2179" s="2" t="s">
        <v>4764</v>
      </c>
      <c r="F2179" s="3">
        <v>29601010136639</v>
      </c>
      <c r="G2179" s="2" t="s">
        <v>129</v>
      </c>
      <c r="H2179" s="2" t="s">
        <v>4765</v>
      </c>
      <c r="R2179" s="77">
        <v>3</v>
      </c>
      <c r="S2179" s="77">
        <v>2.5</v>
      </c>
      <c r="T2179" s="77">
        <v>2.5</v>
      </c>
      <c r="U2179" s="77">
        <v>2.5</v>
      </c>
      <c r="V2179" s="77">
        <v>3</v>
      </c>
      <c r="W2179" s="16" t="s">
        <v>171</v>
      </c>
      <c r="Y2179" s="45">
        <v>43703</v>
      </c>
      <c r="Z2179" s="16" t="s">
        <v>66</v>
      </c>
      <c r="AA2179" s="7">
        <v>43730</v>
      </c>
    </row>
    <row r="2180" spans="1:28">
      <c r="A2180" s="285"/>
      <c r="C2180" s="25">
        <v>139</v>
      </c>
      <c r="D2180" s="2">
        <v>24271</v>
      </c>
      <c r="E2180" s="2" t="s">
        <v>4766</v>
      </c>
      <c r="F2180" s="3">
        <v>30005122100282</v>
      </c>
      <c r="G2180" s="2" t="s">
        <v>3970</v>
      </c>
      <c r="H2180" s="2" t="s">
        <v>4767</v>
      </c>
      <c r="R2180" s="77">
        <v>3</v>
      </c>
      <c r="S2180" s="77">
        <v>2.5</v>
      </c>
      <c r="T2180" s="77">
        <v>2.5</v>
      </c>
      <c r="U2180" s="77">
        <v>2</v>
      </c>
      <c r="V2180" s="77">
        <v>3</v>
      </c>
      <c r="W2180" s="16" t="s">
        <v>170</v>
      </c>
      <c r="Y2180" s="45">
        <v>43703</v>
      </c>
      <c r="Z2180" s="16" t="s">
        <v>66</v>
      </c>
      <c r="AA2180" s="7">
        <v>43717</v>
      </c>
    </row>
    <row r="2181" spans="1:28">
      <c r="A2181" s="285"/>
      <c r="C2181" s="25">
        <v>139</v>
      </c>
      <c r="D2181" s="2">
        <v>24272</v>
      </c>
      <c r="E2181" s="2" t="s">
        <v>4768</v>
      </c>
      <c r="F2181" s="3">
        <v>29903050103152</v>
      </c>
      <c r="G2181" s="2" t="s">
        <v>3970</v>
      </c>
      <c r="H2181" s="2" t="s">
        <v>4769</v>
      </c>
      <c r="R2181" s="77">
        <v>3</v>
      </c>
      <c r="S2181" s="77">
        <v>2.5</v>
      </c>
      <c r="T2181" s="77">
        <v>2.5</v>
      </c>
      <c r="U2181" s="77">
        <v>2</v>
      </c>
      <c r="V2181" s="77">
        <v>3</v>
      </c>
      <c r="W2181" s="16" t="s">
        <v>61</v>
      </c>
      <c r="Y2181" s="7">
        <v>43703</v>
      </c>
      <c r="Z2181" s="16" t="s">
        <v>66</v>
      </c>
      <c r="AA2181" s="7">
        <v>43730</v>
      </c>
      <c r="AB2181" s="2" t="s">
        <v>5185</v>
      </c>
    </row>
    <row r="2182" spans="1:28">
      <c r="A2182" s="285"/>
      <c r="C2182" s="25">
        <v>139</v>
      </c>
      <c r="D2182" s="2">
        <v>24276</v>
      </c>
      <c r="E2182" s="2" t="s">
        <v>4777</v>
      </c>
      <c r="F2182" s="3">
        <v>29709290100036</v>
      </c>
      <c r="G2182" s="2" t="s">
        <v>4</v>
      </c>
      <c r="H2182" s="2" t="s">
        <v>4778</v>
      </c>
      <c r="R2182" s="77">
        <v>3</v>
      </c>
      <c r="S2182" s="77">
        <v>3</v>
      </c>
      <c r="T2182" s="77">
        <v>2.5</v>
      </c>
      <c r="U2182" s="77">
        <v>2</v>
      </c>
      <c r="V2182" s="77">
        <v>3</v>
      </c>
      <c r="W2182" s="16" t="s">
        <v>60</v>
      </c>
      <c r="Y2182" s="7">
        <v>43703</v>
      </c>
      <c r="Z2182" s="16" t="s">
        <v>66</v>
      </c>
      <c r="AA2182" s="7">
        <v>43717</v>
      </c>
    </row>
    <row r="2183" spans="1:28" ht="15.75" thickBot="1">
      <c r="A2183" s="286"/>
      <c r="C2183" s="28">
        <v>139</v>
      </c>
      <c r="D2183" s="28">
        <v>24277</v>
      </c>
      <c r="E2183" s="28" t="s">
        <v>4779</v>
      </c>
      <c r="F2183" s="29">
        <v>29803032103078</v>
      </c>
      <c r="G2183" s="28" t="s">
        <v>3970</v>
      </c>
      <c r="H2183" s="28" t="s">
        <v>4780</v>
      </c>
      <c r="I2183" s="28"/>
      <c r="J2183" s="30"/>
      <c r="K2183" s="28"/>
      <c r="L2183" s="28"/>
      <c r="M2183" s="28"/>
      <c r="N2183" s="28"/>
      <c r="O2183" s="226"/>
      <c r="P2183" s="28"/>
      <c r="Q2183" s="226"/>
      <c r="R2183" s="37">
        <v>3</v>
      </c>
      <c r="S2183" s="37">
        <v>2.5</v>
      </c>
      <c r="T2183" s="37">
        <v>2.5</v>
      </c>
      <c r="U2183" s="37">
        <v>2</v>
      </c>
      <c r="V2183" s="37">
        <v>3</v>
      </c>
      <c r="W2183" s="28" t="s">
        <v>170</v>
      </c>
      <c r="X2183" s="28"/>
      <c r="Y2183" s="30">
        <v>43703</v>
      </c>
      <c r="Z2183" s="28" t="s">
        <v>66</v>
      </c>
      <c r="AA2183" s="30">
        <v>43717</v>
      </c>
      <c r="AB2183" s="28"/>
    </row>
    <row r="2184" spans="1:28" ht="15.75" thickTop="1">
      <c r="A2184" s="284" t="s">
        <v>4077</v>
      </c>
      <c r="C2184" s="25" t="s">
        <v>5033</v>
      </c>
      <c r="D2184" s="25">
        <v>24995</v>
      </c>
      <c r="E2184" s="25" t="s">
        <v>4999</v>
      </c>
      <c r="F2184" s="26">
        <v>29801252103106</v>
      </c>
      <c r="G2184" s="25" t="s">
        <v>34</v>
      </c>
      <c r="H2184" s="25" t="s">
        <v>5015</v>
      </c>
      <c r="I2184" s="25" t="s">
        <v>4315</v>
      </c>
      <c r="J2184" s="27">
        <v>43683</v>
      </c>
      <c r="K2184" s="25" t="s">
        <v>798</v>
      </c>
      <c r="L2184" s="25" t="s">
        <v>12</v>
      </c>
      <c r="M2184" s="25" t="s">
        <v>105</v>
      </c>
      <c r="N2184" s="25"/>
      <c r="O2184" s="224"/>
      <c r="P2184" s="25"/>
      <c r="Q2184" s="224"/>
      <c r="R2184" s="77">
        <v>3</v>
      </c>
      <c r="S2184" s="77">
        <v>2.5</v>
      </c>
      <c r="T2184" s="77">
        <v>2</v>
      </c>
      <c r="U2184" s="77">
        <v>2</v>
      </c>
      <c r="V2184" s="77">
        <v>3</v>
      </c>
      <c r="W2184" s="25" t="s">
        <v>4970</v>
      </c>
      <c r="X2184" s="25"/>
      <c r="Y2184" s="45">
        <v>43710</v>
      </c>
      <c r="Z2184" s="25"/>
      <c r="AA2184" s="27"/>
      <c r="AB2184" s="25"/>
    </row>
    <row r="2185" spans="1:28">
      <c r="A2185" s="285"/>
      <c r="C2185" s="25" t="s">
        <v>5033</v>
      </c>
      <c r="D2185" s="2">
        <v>24996</v>
      </c>
      <c r="E2185" s="2" t="s">
        <v>5000</v>
      </c>
      <c r="F2185" s="3">
        <v>29606062103064</v>
      </c>
      <c r="G2185" s="2" t="s">
        <v>34</v>
      </c>
      <c r="H2185" s="103" t="s">
        <v>5016</v>
      </c>
      <c r="I2185" s="2" t="s">
        <v>4315</v>
      </c>
      <c r="J2185" s="4">
        <v>43683</v>
      </c>
      <c r="K2185" s="2" t="s">
        <v>798</v>
      </c>
      <c r="L2185" s="2" t="s">
        <v>12</v>
      </c>
      <c r="M2185" s="2" t="s">
        <v>4627</v>
      </c>
      <c r="R2185" s="77">
        <v>3</v>
      </c>
      <c r="S2185" s="77">
        <v>2</v>
      </c>
      <c r="T2185" s="77">
        <v>1.5</v>
      </c>
      <c r="U2185" s="77">
        <v>1.5</v>
      </c>
      <c r="V2185" s="77">
        <v>3</v>
      </c>
      <c r="W2185" s="16" t="s">
        <v>3818</v>
      </c>
      <c r="Y2185" s="7">
        <v>43710</v>
      </c>
    </row>
    <row r="2186" spans="1:28">
      <c r="A2186" s="285"/>
      <c r="C2186" s="25" t="s">
        <v>5033</v>
      </c>
      <c r="D2186" s="2">
        <v>24997</v>
      </c>
      <c r="E2186" s="2" t="s">
        <v>5001</v>
      </c>
      <c r="F2186" s="3">
        <v>29706080101049</v>
      </c>
      <c r="G2186" s="2" t="s">
        <v>129</v>
      </c>
      <c r="H2186" s="103" t="s">
        <v>5017</v>
      </c>
      <c r="I2186" s="2" t="s">
        <v>4315</v>
      </c>
      <c r="J2186" s="4">
        <v>43683</v>
      </c>
      <c r="K2186" s="2" t="s">
        <v>798</v>
      </c>
      <c r="L2186" s="2" t="s">
        <v>12</v>
      </c>
      <c r="M2186" s="2" t="s">
        <v>4800</v>
      </c>
      <c r="R2186" s="77">
        <v>3</v>
      </c>
      <c r="S2186" s="77">
        <v>2</v>
      </c>
      <c r="T2186" s="77">
        <v>2</v>
      </c>
      <c r="U2186" s="77">
        <v>1.5</v>
      </c>
      <c r="V2186" s="77">
        <v>3</v>
      </c>
      <c r="W2186" s="16" t="s">
        <v>3321</v>
      </c>
      <c r="Y2186" s="7">
        <v>43710</v>
      </c>
      <c r="Z2186" s="16" t="s">
        <v>66</v>
      </c>
      <c r="AA2186" s="7">
        <v>43718</v>
      </c>
      <c r="AB2186" s="2" t="s">
        <v>5135</v>
      </c>
    </row>
    <row r="2187" spans="1:28">
      <c r="A2187" s="285"/>
      <c r="C2187" s="25" t="s">
        <v>5033</v>
      </c>
      <c r="D2187" s="2">
        <v>24998</v>
      </c>
      <c r="E2187" s="2" t="s">
        <v>5002</v>
      </c>
      <c r="F2187" s="3">
        <v>29411012604091</v>
      </c>
      <c r="G2187" s="2" t="s">
        <v>4131</v>
      </c>
      <c r="H2187" s="103" t="s">
        <v>5018</v>
      </c>
      <c r="I2187" s="2" t="s">
        <v>4315</v>
      </c>
      <c r="J2187" s="4">
        <v>43683</v>
      </c>
      <c r="K2187" s="2" t="s">
        <v>798</v>
      </c>
      <c r="L2187" s="2" t="s">
        <v>12</v>
      </c>
      <c r="M2187" s="2" t="s">
        <v>4623</v>
      </c>
      <c r="R2187" s="77">
        <v>3</v>
      </c>
      <c r="S2187" s="77">
        <v>2.5</v>
      </c>
      <c r="T2187" s="77">
        <v>2</v>
      </c>
      <c r="U2187" s="77">
        <v>2.5</v>
      </c>
      <c r="V2187" s="77">
        <v>3</v>
      </c>
      <c r="W2187" s="16" t="s">
        <v>3244</v>
      </c>
      <c r="Y2187" s="7">
        <v>43710</v>
      </c>
    </row>
    <row r="2188" spans="1:28">
      <c r="A2188" s="285"/>
      <c r="C2188" s="25" t="s">
        <v>5033</v>
      </c>
      <c r="D2188" s="2">
        <v>24999</v>
      </c>
      <c r="E2188" s="2" t="s">
        <v>5003</v>
      </c>
      <c r="F2188" s="3">
        <v>29608240100581</v>
      </c>
      <c r="G2188" s="2" t="s">
        <v>34</v>
      </c>
      <c r="H2188" s="103" t="s">
        <v>5019</v>
      </c>
      <c r="I2188" s="2" t="s">
        <v>4315</v>
      </c>
      <c r="J2188" s="4">
        <v>43683</v>
      </c>
      <c r="K2188" s="2" t="s">
        <v>798</v>
      </c>
      <c r="L2188" s="2" t="s">
        <v>12</v>
      </c>
      <c r="M2188" s="2" t="s">
        <v>4257</v>
      </c>
      <c r="R2188" s="77">
        <v>3</v>
      </c>
      <c r="S2188" s="77">
        <v>3</v>
      </c>
      <c r="T2188" s="77">
        <v>2.5</v>
      </c>
      <c r="U2188" s="77">
        <v>2</v>
      </c>
      <c r="V2188" s="77">
        <v>3</v>
      </c>
      <c r="W2188" s="16" t="s">
        <v>3244</v>
      </c>
      <c r="Y2188" s="7">
        <v>43710</v>
      </c>
    </row>
    <row r="2189" spans="1:28">
      <c r="A2189" s="285"/>
      <c r="C2189" s="25" t="s">
        <v>5033</v>
      </c>
      <c r="D2189" s="2">
        <v>25000</v>
      </c>
      <c r="E2189" s="2" t="s">
        <v>5004</v>
      </c>
      <c r="F2189" s="3">
        <v>29904090104107</v>
      </c>
      <c r="G2189" s="2" t="s">
        <v>4025</v>
      </c>
      <c r="H2189" s="103" t="s">
        <v>5020</v>
      </c>
      <c r="I2189" s="2" t="s">
        <v>4315</v>
      </c>
      <c r="J2189" s="4">
        <v>43683</v>
      </c>
      <c r="K2189" s="2" t="s">
        <v>798</v>
      </c>
      <c r="L2189" s="2" t="s">
        <v>12</v>
      </c>
      <c r="M2189" s="2" t="s">
        <v>551</v>
      </c>
      <c r="R2189" s="77">
        <v>3</v>
      </c>
      <c r="S2189" s="77">
        <v>3</v>
      </c>
      <c r="T2189" s="77">
        <v>2</v>
      </c>
      <c r="U2189" s="77">
        <v>2</v>
      </c>
      <c r="V2189" s="77">
        <v>3</v>
      </c>
      <c r="W2189" s="16" t="s">
        <v>3244</v>
      </c>
      <c r="Y2189" s="7">
        <v>43710</v>
      </c>
    </row>
    <row r="2190" spans="1:28">
      <c r="A2190" s="285"/>
      <c r="C2190" s="25" t="s">
        <v>5033</v>
      </c>
      <c r="D2190" s="2">
        <v>25001</v>
      </c>
      <c r="E2190" s="2" t="s">
        <v>5005</v>
      </c>
      <c r="F2190" s="3">
        <v>29210180102225</v>
      </c>
      <c r="G2190" s="2" t="s">
        <v>34</v>
      </c>
      <c r="H2190" s="103" t="s">
        <v>5021</v>
      </c>
      <c r="I2190" s="2" t="s">
        <v>4315</v>
      </c>
      <c r="J2190" s="4">
        <v>43683</v>
      </c>
      <c r="K2190" s="2" t="s">
        <v>798</v>
      </c>
      <c r="L2190" s="2" t="s">
        <v>12</v>
      </c>
      <c r="M2190" s="2" t="s">
        <v>4623</v>
      </c>
      <c r="R2190" s="77">
        <v>3</v>
      </c>
      <c r="S2190" s="77">
        <v>3</v>
      </c>
      <c r="T2190" s="77">
        <v>2</v>
      </c>
      <c r="U2190" s="77">
        <v>2</v>
      </c>
      <c r="V2190" s="77">
        <v>3</v>
      </c>
      <c r="W2190" s="16" t="s">
        <v>62</v>
      </c>
      <c r="Y2190" s="7">
        <v>43710</v>
      </c>
      <c r="Z2190" s="16" t="s">
        <v>66</v>
      </c>
      <c r="AA2190" s="7">
        <v>43723</v>
      </c>
      <c r="AB2190" s="2" t="s">
        <v>3967</v>
      </c>
    </row>
    <row r="2191" spans="1:28">
      <c r="A2191" s="285"/>
      <c r="C2191" s="25" t="s">
        <v>5033</v>
      </c>
      <c r="D2191" s="2">
        <v>25002</v>
      </c>
      <c r="E2191" s="2" t="s">
        <v>5006</v>
      </c>
      <c r="F2191" s="3">
        <v>29708210101031</v>
      </c>
      <c r="G2191" s="2" t="s">
        <v>34</v>
      </c>
      <c r="H2191" s="103" t="s">
        <v>5022</v>
      </c>
      <c r="I2191" s="2" t="s">
        <v>4315</v>
      </c>
      <c r="J2191" s="4">
        <v>43683</v>
      </c>
      <c r="K2191" s="2" t="s">
        <v>798</v>
      </c>
      <c r="L2191" s="2" t="s">
        <v>12</v>
      </c>
      <c r="M2191" s="2" t="s">
        <v>4623</v>
      </c>
      <c r="R2191" s="77">
        <v>3</v>
      </c>
      <c r="S2191" s="77">
        <v>2.5</v>
      </c>
      <c r="T2191" s="77">
        <v>2.5</v>
      </c>
      <c r="U2191" s="77">
        <v>2</v>
      </c>
      <c r="V2191" s="77">
        <v>3</v>
      </c>
      <c r="W2191" s="16" t="s">
        <v>3244</v>
      </c>
      <c r="Y2191" s="7">
        <v>43710</v>
      </c>
    </row>
    <row r="2192" spans="1:28">
      <c r="A2192" s="285"/>
      <c r="C2192" s="25" t="s">
        <v>5033</v>
      </c>
      <c r="D2192" s="2">
        <v>25003</v>
      </c>
      <c r="E2192" s="2" t="s">
        <v>5007</v>
      </c>
      <c r="F2192" s="3">
        <v>29607232100649</v>
      </c>
      <c r="G2192" s="2" t="s">
        <v>34</v>
      </c>
      <c r="H2192" s="103" t="s">
        <v>5023</v>
      </c>
      <c r="I2192" s="2" t="s">
        <v>4315</v>
      </c>
      <c r="J2192" s="4">
        <v>43683</v>
      </c>
      <c r="K2192" s="2" t="s">
        <v>798</v>
      </c>
      <c r="L2192" s="2" t="s">
        <v>12</v>
      </c>
      <c r="M2192" s="2" t="s">
        <v>4669</v>
      </c>
      <c r="R2192" s="77">
        <v>3</v>
      </c>
      <c r="S2192" s="77">
        <v>3</v>
      </c>
      <c r="T2192" s="77">
        <v>2</v>
      </c>
      <c r="U2192" s="77">
        <v>1.5</v>
      </c>
      <c r="V2192" s="77">
        <v>3</v>
      </c>
      <c r="W2192" s="16" t="s">
        <v>62</v>
      </c>
      <c r="Y2192" s="7">
        <v>43710</v>
      </c>
      <c r="Z2192" s="16" t="s">
        <v>66</v>
      </c>
      <c r="AA2192" s="7">
        <v>43724</v>
      </c>
      <c r="AB2192" s="2" t="s">
        <v>5141</v>
      </c>
    </row>
    <row r="2193" spans="1:28">
      <c r="A2193" s="285"/>
      <c r="C2193" s="25" t="s">
        <v>5033</v>
      </c>
      <c r="D2193" s="2">
        <v>25004</v>
      </c>
      <c r="E2193" s="2" t="s">
        <v>5008</v>
      </c>
      <c r="F2193" s="3">
        <v>29909280102668</v>
      </c>
      <c r="G2193" s="2" t="s">
        <v>4131</v>
      </c>
      <c r="H2193" s="103" t="s">
        <v>5024</v>
      </c>
      <c r="I2193" s="2" t="s">
        <v>4315</v>
      </c>
      <c r="J2193" s="4">
        <v>43683</v>
      </c>
      <c r="K2193" s="2" t="s">
        <v>798</v>
      </c>
      <c r="L2193" s="2" t="s">
        <v>12</v>
      </c>
      <c r="M2193" s="2" t="s">
        <v>103</v>
      </c>
      <c r="R2193" s="77">
        <v>3</v>
      </c>
      <c r="S2193" s="77">
        <v>2.5</v>
      </c>
      <c r="T2193" s="77">
        <v>2</v>
      </c>
      <c r="U2193" s="77">
        <v>2</v>
      </c>
      <c r="V2193" s="77">
        <v>3</v>
      </c>
      <c r="W2193" s="16" t="s">
        <v>62</v>
      </c>
      <c r="Y2193" s="7">
        <v>43710</v>
      </c>
      <c r="Z2193" s="16" t="s">
        <v>66</v>
      </c>
      <c r="AB2193" s="2" t="s">
        <v>5099</v>
      </c>
    </row>
    <row r="2194" spans="1:28">
      <c r="A2194" s="285"/>
      <c r="C2194" s="25" t="s">
        <v>5033</v>
      </c>
      <c r="D2194" s="2">
        <v>25005</v>
      </c>
      <c r="E2194" s="2" t="s">
        <v>5009</v>
      </c>
      <c r="F2194" s="3">
        <v>29504230102331</v>
      </c>
      <c r="G2194" s="2" t="s">
        <v>34</v>
      </c>
      <c r="H2194" s="103" t="s">
        <v>5025</v>
      </c>
      <c r="I2194" s="2" t="s">
        <v>4315</v>
      </c>
      <c r="J2194" s="4">
        <v>43683</v>
      </c>
      <c r="K2194" s="2" t="s">
        <v>798</v>
      </c>
      <c r="L2194" s="2" t="s">
        <v>12</v>
      </c>
      <c r="M2194" s="2" t="s">
        <v>3173</v>
      </c>
      <c r="R2194" s="77">
        <v>3</v>
      </c>
      <c r="S2194" s="77">
        <v>2.5</v>
      </c>
      <c r="T2194" s="77">
        <v>2</v>
      </c>
      <c r="U2194" s="77">
        <v>2</v>
      </c>
      <c r="V2194" s="77">
        <v>3</v>
      </c>
      <c r="W2194" s="16" t="s">
        <v>3244</v>
      </c>
      <c r="Y2194" s="7">
        <v>43710</v>
      </c>
    </row>
    <row r="2195" spans="1:28">
      <c r="A2195" s="285"/>
      <c r="C2195" s="25" t="s">
        <v>5033</v>
      </c>
      <c r="D2195" s="2">
        <v>25006</v>
      </c>
      <c r="E2195" s="2" t="s">
        <v>5010</v>
      </c>
      <c r="F2195" s="3">
        <v>29701090202151</v>
      </c>
      <c r="G2195" s="2" t="s">
        <v>34</v>
      </c>
      <c r="H2195" s="103" t="s">
        <v>5026</v>
      </c>
      <c r="I2195" s="2" t="s">
        <v>4315</v>
      </c>
      <c r="J2195" s="4">
        <v>43683</v>
      </c>
      <c r="K2195" s="2" t="s">
        <v>798</v>
      </c>
      <c r="L2195" s="2" t="s">
        <v>12</v>
      </c>
      <c r="M2195" s="2" t="s">
        <v>4623</v>
      </c>
      <c r="R2195" s="77">
        <v>3</v>
      </c>
      <c r="S2195" s="77">
        <v>2.5</v>
      </c>
      <c r="T2195" s="77">
        <v>2</v>
      </c>
      <c r="U2195" s="77">
        <v>2</v>
      </c>
      <c r="V2195" s="77">
        <v>3</v>
      </c>
      <c r="W2195" s="16" t="s">
        <v>3244</v>
      </c>
      <c r="Y2195" s="7">
        <v>43710</v>
      </c>
    </row>
    <row r="2196" spans="1:28">
      <c r="A2196" s="285"/>
      <c r="C2196" s="25" t="s">
        <v>5033</v>
      </c>
      <c r="D2196" s="2">
        <v>25007</v>
      </c>
      <c r="E2196" s="2" t="s">
        <v>5011</v>
      </c>
      <c r="F2196" s="3">
        <v>29307062102681</v>
      </c>
      <c r="G2196" s="2" t="s">
        <v>129</v>
      </c>
      <c r="H2196" s="103" t="s">
        <v>5027</v>
      </c>
      <c r="I2196" s="2" t="s">
        <v>4315</v>
      </c>
      <c r="J2196" s="4">
        <v>43683</v>
      </c>
      <c r="K2196" s="2" t="s">
        <v>798</v>
      </c>
      <c r="L2196" s="2" t="s">
        <v>12</v>
      </c>
      <c r="M2196" s="2" t="s">
        <v>4800</v>
      </c>
      <c r="R2196" s="77">
        <v>3</v>
      </c>
      <c r="S2196" s="77">
        <v>1.5</v>
      </c>
      <c r="T2196" s="77">
        <v>1.5</v>
      </c>
      <c r="U2196" s="77">
        <v>1</v>
      </c>
      <c r="V2196" s="77">
        <v>2.5</v>
      </c>
      <c r="W2196" s="16" t="s">
        <v>3818</v>
      </c>
      <c r="Y2196" s="7">
        <v>43710</v>
      </c>
    </row>
    <row r="2197" spans="1:28">
      <c r="A2197" s="285"/>
      <c r="C2197" s="25" t="s">
        <v>5033</v>
      </c>
      <c r="D2197" s="2">
        <v>25008</v>
      </c>
      <c r="E2197" s="2" t="s">
        <v>5012</v>
      </c>
      <c r="F2197" s="3">
        <v>29708151402722</v>
      </c>
      <c r="G2197" s="2" t="s">
        <v>34</v>
      </c>
      <c r="H2197" s="103" t="s">
        <v>5028</v>
      </c>
      <c r="I2197" s="2" t="s">
        <v>4315</v>
      </c>
      <c r="J2197" s="4">
        <v>43683</v>
      </c>
      <c r="K2197" s="2" t="s">
        <v>798</v>
      </c>
      <c r="L2197" s="2" t="s">
        <v>12</v>
      </c>
      <c r="M2197" s="2" t="s">
        <v>105</v>
      </c>
      <c r="R2197" s="77">
        <v>3</v>
      </c>
      <c r="S2197" s="77">
        <v>2.5</v>
      </c>
      <c r="T2197" s="77">
        <v>2</v>
      </c>
      <c r="U2197" s="77">
        <v>1.5</v>
      </c>
      <c r="V2197" s="77">
        <v>3</v>
      </c>
      <c r="W2197" s="16" t="s">
        <v>62</v>
      </c>
      <c r="Y2197" s="7">
        <v>43710</v>
      </c>
      <c r="Z2197" s="16" t="s">
        <v>66</v>
      </c>
      <c r="AA2197" s="7">
        <v>43746</v>
      </c>
      <c r="AB2197" s="2" t="s">
        <v>5466</v>
      </c>
    </row>
    <row r="2198" spans="1:28">
      <c r="A2198" s="285"/>
      <c r="C2198" s="25" t="s">
        <v>5033</v>
      </c>
      <c r="D2198" s="2">
        <v>25009</v>
      </c>
      <c r="E2198" s="2" t="s">
        <v>5013</v>
      </c>
      <c r="F2198" s="3">
        <v>28904300100955</v>
      </c>
      <c r="G2198" s="2" t="s">
        <v>34</v>
      </c>
      <c r="H2198" s="103" t="s">
        <v>5029</v>
      </c>
      <c r="I2198" s="2" t="s">
        <v>4315</v>
      </c>
      <c r="J2198" s="4">
        <v>43683</v>
      </c>
      <c r="K2198" s="2" t="s">
        <v>798</v>
      </c>
      <c r="L2198" s="2" t="s">
        <v>12</v>
      </c>
      <c r="M2198" s="2" t="s">
        <v>4830</v>
      </c>
      <c r="W2198" s="16" t="s">
        <v>63</v>
      </c>
      <c r="Z2198" s="16" t="s">
        <v>67</v>
      </c>
    </row>
    <row r="2199" spans="1:28">
      <c r="A2199" s="285"/>
      <c r="C2199" s="25" t="s">
        <v>5033</v>
      </c>
      <c r="D2199" s="2">
        <v>25010</v>
      </c>
      <c r="E2199" s="2" t="s">
        <v>5014</v>
      </c>
      <c r="F2199" s="3">
        <v>29802122103348</v>
      </c>
      <c r="G2199" s="2" t="s">
        <v>129</v>
      </c>
      <c r="H2199" s="2" t="s">
        <v>5030</v>
      </c>
      <c r="I2199" s="2" t="s">
        <v>4315</v>
      </c>
      <c r="J2199" s="4">
        <v>43683</v>
      </c>
      <c r="K2199" s="2" t="s">
        <v>798</v>
      </c>
      <c r="L2199" s="2" t="s">
        <v>12</v>
      </c>
      <c r="M2199" s="2" t="s">
        <v>4257</v>
      </c>
      <c r="W2199" s="103" t="s">
        <v>63</v>
      </c>
      <c r="Z2199" s="16" t="s">
        <v>67</v>
      </c>
    </row>
    <row r="2200" spans="1:28" ht="15.75" thickBot="1">
      <c r="A2200" s="286"/>
      <c r="C2200" s="28" t="s">
        <v>5033</v>
      </c>
      <c r="D2200" s="28">
        <v>25012</v>
      </c>
      <c r="E2200" s="28" t="s">
        <v>5031</v>
      </c>
      <c r="F2200" s="29">
        <v>29710220102625</v>
      </c>
      <c r="G2200" s="28" t="s">
        <v>34</v>
      </c>
      <c r="H2200" s="28" t="s">
        <v>5032</v>
      </c>
      <c r="I2200" s="28" t="s">
        <v>4315</v>
      </c>
      <c r="J2200" s="30">
        <v>43683</v>
      </c>
      <c r="K2200" s="28" t="s">
        <v>798</v>
      </c>
      <c r="L2200" s="28" t="s">
        <v>12</v>
      </c>
      <c r="M2200" s="28" t="s">
        <v>103</v>
      </c>
      <c r="N2200" s="28"/>
      <c r="O2200" s="226"/>
      <c r="P2200" s="28"/>
      <c r="Q2200" s="226"/>
      <c r="R2200" s="37">
        <v>3</v>
      </c>
      <c r="S2200" s="37">
        <v>2.5</v>
      </c>
      <c r="T2200" s="37">
        <v>2</v>
      </c>
      <c r="U2200" s="37">
        <v>1.5</v>
      </c>
      <c r="V2200" s="37">
        <v>3</v>
      </c>
      <c r="W2200" s="28" t="s">
        <v>62</v>
      </c>
      <c r="X2200" s="28"/>
      <c r="Y2200" s="30">
        <v>43710</v>
      </c>
      <c r="Z2200" s="28" t="s">
        <v>66</v>
      </c>
      <c r="AA2200" s="30">
        <v>43746</v>
      </c>
      <c r="AB2200" s="28" t="s">
        <v>4821</v>
      </c>
    </row>
    <row r="2201" spans="1:28" ht="15.75" thickTop="1">
      <c r="A2201" s="284" t="s">
        <v>3125</v>
      </c>
      <c r="C2201" s="25">
        <v>140</v>
      </c>
      <c r="D2201" s="25">
        <v>25039</v>
      </c>
      <c r="E2201" s="25" t="s">
        <v>5036</v>
      </c>
      <c r="F2201" s="26">
        <v>29108088800341</v>
      </c>
      <c r="G2201" s="25" t="s">
        <v>34</v>
      </c>
      <c r="H2201" s="25" t="s">
        <v>5048</v>
      </c>
      <c r="I2201" s="25" t="s">
        <v>4315</v>
      </c>
      <c r="J2201" s="27">
        <v>43694</v>
      </c>
      <c r="K2201" s="25" t="s">
        <v>8</v>
      </c>
      <c r="L2201" s="25" t="s">
        <v>12</v>
      </c>
      <c r="M2201" s="25" t="s">
        <v>4432</v>
      </c>
      <c r="N2201" s="25"/>
      <c r="O2201" s="224"/>
      <c r="P2201" s="25"/>
      <c r="Q2201" s="224"/>
      <c r="R2201" s="25"/>
      <c r="S2201" s="25"/>
      <c r="T2201" s="25"/>
      <c r="U2201" s="25"/>
      <c r="V2201" s="25"/>
      <c r="W2201" s="25" t="s">
        <v>64</v>
      </c>
      <c r="X2201" s="25"/>
      <c r="Y2201" s="27"/>
      <c r="Z2201" s="25" t="s">
        <v>67</v>
      </c>
      <c r="AA2201" s="27"/>
      <c r="AB2201" s="25"/>
    </row>
    <row r="2202" spans="1:28">
      <c r="A2202" s="285"/>
      <c r="C2202" s="25">
        <v>140</v>
      </c>
      <c r="D2202" s="2">
        <v>25040</v>
      </c>
      <c r="E2202" s="2" t="s">
        <v>5037</v>
      </c>
      <c r="F2202" s="3">
        <v>29412100103376</v>
      </c>
      <c r="G2202" s="2" t="s">
        <v>34</v>
      </c>
      <c r="H2202" s="2" t="s">
        <v>5049</v>
      </c>
      <c r="I2202" s="2" t="s">
        <v>4315</v>
      </c>
      <c r="J2202" s="4">
        <v>43694</v>
      </c>
      <c r="K2202" s="2" t="s">
        <v>8</v>
      </c>
      <c r="L2202" s="2" t="s">
        <v>12</v>
      </c>
      <c r="M2202" s="2" t="s">
        <v>103</v>
      </c>
      <c r="R2202" s="77">
        <v>3</v>
      </c>
      <c r="S2202" s="77">
        <v>2.5</v>
      </c>
      <c r="T2202" s="77">
        <v>2</v>
      </c>
      <c r="U2202" s="77">
        <v>2</v>
      </c>
      <c r="V2202" s="77">
        <v>3</v>
      </c>
      <c r="W2202" s="16" t="s">
        <v>62</v>
      </c>
      <c r="Y2202" s="7">
        <v>43720</v>
      </c>
      <c r="Z2202" s="16" t="s">
        <v>66</v>
      </c>
      <c r="AA2202" s="45">
        <v>43746</v>
      </c>
      <c r="AB2202" s="103" t="s">
        <v>4821</v>
      </c>
    </row>
    <row r="2203" spans="1:28">
      <c r="A2203" s="285"/>
      <c r="C2203" s="25">
        <v>140</v>
      </c>
      <c r="D2203" s="2">
        <v>25041</v>
      </c>
      <c r="E2203" s="2" t="s">
        <v>5038</v>
      </c>
      <c r="F2203" s="3">
        <v>29702170100178</v>
      </c>
      <c r="G2203" s="2" t="s">
        <v>34</v>
      </c>
      <c r="H2203" s="2" t="s">
        <v>5050</v>
      </c>
      <c r="I2203" s="2" t="s">
        <v>4315</v>
      </c>
      <c r="J2203" s="4">
        <v>43694</v>
      </c>
      <c r="K2203" s="2" t="s">
        <v>8</v>
      </c>
      <c r="L2203" s="2" t="s">
        <v>12</v>
      </c>
      <c r="M2203" s="2" t="s">
        <v>3173</v>
      </c>
      <c r="R2203" s="77">
        <v>3</v>
      </c>
      <c r="S2203" s="77">
        <v>2</v>
      </c>
      <c r="T2203" s="77">
        <v>2.5</v>
      </c>
      <c r="U2203" s="77">
        <v>2</v>
      </c>
      <c r="V2203" s="77">
        <v>3</v>
      </c>
      <c r="W2203" s="103" t="s">
        <v>62</v>
      </c>
      <c r="X2203" s="2" t="s">
        <v>66</v>
      </c>
      <c r="Y2203" s="45">
        <v>43753</v>
      </c>
      <c r="Z2203" s="16" t="s">
        <v>66</v>
      </c>
      <c r="AA2203" s="7">
        <v>43768</v>
      </c>
      <c r="AB2203" s="2" t="s">
        <v>4821</v>
      </c>
    </row>
    <row r="2204" spans="1:28">
      <c r="A2204" s="285"/>
      <c r="C2204" s="25">
        <v>140</v>
      </c>
      <c r="D2204" s="2">
        <v>25042</v>
      </c>
      <c r="E2204" s="2" t="s">
        <v>5039</v>
      </c>
      <c r="F2204" s="3">
        <v>29806082104287</v>
      </c>
      <c r="G2204" s="2" t="s">
        <v>4025</v>
      </c>
      <c r="H2204" s="2" t="s">
        <v>5051</v>
      </c>
      <c r="I2204" s="2" t="s">
        <v>4315</v>
      </c>
      <c r="J2204" s="4">
        <v>43694</v>
      </c>
      <c r="K2204" s="2" t="s">
        <v>8</v>
      </c>
      <c r="L2204" s="2" t="s">
        <v>12</v>
      </c>
      <c r="M2204" s="2" t="s">
        <v>103</v>
      </c>
      <c r="R2204" s="77">
        <v>3</v>
      </c>
      <c r="S2204" s="77">
        <v>2.5</v>
      </c>
      <c r="T2204" s="77">
        <v>2.5</v>
      </c>
      <c r="U2204" s="77">
        <v>2</v>
      </c>
      <c r="V2204" s="77">
        <v>3</v>
      </c>
      <c r="W2204" s="16" t="s">
        <v>170</v>
      </c>
      <c r="X2204" s="2" t="s">
        <v>66</v>
      </c>
      <c r="Y2204" s="45">
        <v>43753</v>
      </c>
      <c r="Z2204" s="16" t="s">
        <v>66</v>
      </c>
      <c r="AA2204" s="7">
        <v>43766</v>
      </c>
    </row>
    <row r="2205" spans="1:28">
      <c r="A2205" s="285"/>
      <c r="C2205" s="25">
        <v>140</v>
      </c>
      <c r="D2205" s="2">
        <v>25043</v>
      </c>
      <c r="E2205" s="2" t="s">
        <v>5040</v>
      </c>
      <c r="F2205" s="3">
        <v>30006111400213</v>
      </c>
      <c r="G2205" s="2" t="s">
        <v>4025</v>
      </c>
      <c r="H2205" s="2" t="s">
        <v>5052</v>
      </c>
      <c r="I2205" s="2" t="s">
        <v>4315</v>
      </c>
      <c r="J2205" s="4">
        <v>43694</v>
      </c>
      <c r="K2205" s="2" t="s">
        <v>8</v>
      </c>
      <c r="L2205" s="2" t="s">
        <v>12</v>
      </c>
      <c r="M2205" s="2" t="s">
        <v>4432</v>
      </c>
      <c r="W2205" s="25" t="s">
        <v>64</v>
      </c>
      <c r="Z2205" s="25" t="s">
        <v>67</v>
      </c>
    </row>
    <row r="2206" spans="1:28">
      <c r="A2206" s="285"/>
      <c r="C2206" s="25">
        <v>140</v>
      </c>
      <c r="D2206" s="2">
        <v>25044</v>
      </c>
      <c r="E2206" s="2" t="s">
        <v>5041</v>
      </c>
      <c r="F2206" s="3">
        <v>29909300108013</v>
      </c>
      <c r="G2206" s="2" t="s">
        <v>4025</v>
      </c>
      <c r="H2206" s="2" t="s">
        <v>5053</v>
      </c>
      <c r="I2206" s="2" t="s">
        <v>4315</v>
      </c>
      <c r="J2206" s="4">
        <v>43694</v>
      </c>
      <c r="K2206" s="2" t="s">
        <v>8</v>
      </c>
      <c r="L2206" s="2" t="s">
        <v>12</v>
      </c>
      <c r="M2206" s="2" t="s">
        <v>109</v>
      </c>
      <c r="R2206" s="77">
        <v>3</v>
      </c>
      <c r="S2206" s="77">
        <v>2.5</v>
      </c>
      <c r="T2206" s="77">
        <v>2</v>
      </c>
      <c r="U2206" s="77">
        <v>2</v>
      </c>
      <c r="V2206" s="77">
        <v>3</v>
      </c>
      <c r="W2206" s="16" t="s">
        <v>63</v>
      </c>
      <c r="X2206" s="2" t="s">
        <v>67</v>
      </c>
      <c r="Z2206" s="16" t="s">
        <v>67</v>
      </c>
      <c r="AB2206" s="2" t="s">
        <v>5284</v>
      </c>
    </row>
    <row r="2207" spans="1:28">
      <c r="A2207" s="285"/>
      <c r="C2207" s="25">
        <v>140</v>
      </c>
      <c r="D2207" s="2">
        <v>25045</v>
      </c>
      <c r="E2207" s="2" t="s">
        <v>5042</v>
      </c>
      <c r="F2207" s="3">
        <v>30005041700927</v>
      </c>
      <c r="G2207" s="2" t="s">
        <v>4155</v>
      </c>
      <c r="H2207" s="2" t="s">
        <v>5054</v>
      </c>
      <c r="I2207" s="2" t="s">
        <v>4315</v>
      </c>
      <c r="J2207" s="4">
        <v>43694</v>
      </c>
      <c r="K2207" s="2" t="s">
        <v>8</v>
      </c>
      <c r="L2207" s="2" t="s">
        <v>12</v>
      </c>
      <c r="M2207" s="2" t="s">
        <v>105</v>
      </c>
      <c r="W2207" s="16" t="s">
        <v>63</v>
      </c>
      <c r="Z2207" s="25" t="s">
        <v>67</v>
      </c>
    </row>
    <row r="2208" spans="1:28">
      <c r="A2208" s="285"/>
      <c r="C2208" s="25">
        <v>140</v>
      </c>
      <c r="D2208" s="2">
        <v>25046</v>
      </c>
      <c r="E2208" s="2" t="s">
        <v>5043</v>
      </c>
      <c r="F2208" s="3">
        <v>29711120104163</v>
      </c>
      <c r="G2208" s="2" t="s">
        <v>129</v>
      </c>
      <c r="H2208" s="2" t="s">
        <v>5055</v>
      </c>
      <c r="I2208" s="2" t="s">
        <v>4315</v>
      </c>
      <c r="J2208" s="4">
        <v>43694</v>
      </c>
      <c r="K2208" s="2" t="s">
        <v>8</v>
      </c>
      <c r="L2208" s="2" t="s">
        <v>12</v>
      </c>
      <c r="M2208" s="2" t="s">
        <v>4432</v>
      </c>
      <c r="R2208" s="77">
        <v>3</v>
      </c>
      <c r="S2208" s="77">
        <v>3</v>
      </c>
      <c r="T2208" s="77">
        <v>2.5</v>
      </c>
      <c r="U2208" s="77">
        <v>2</v>
      </c>
      <c r="V2208" s="77">
        <v>3</v>
      </c>
      <c r="W2208" s="16" t="s">
        <v>170</v>
      </c>
      <c r="Y2208" s="7">
        <v>43720</v>
      </c>
      <c r="Z2208" s="16" t="s">
        <v>66</v>
      </c>
      <c r="AA2208" s="7">
        <v>43723</v>
      </c>
    </row>
    <row r="2209" spans="1:28">
      <c r="A2209" s="285"/>
      <c r="C2209" s="25">
        <v>140</v>
      </c>
      <c r="D2209" s="2">
        <v>25047</v>
      </c>
      <c r="E2209" s="2" t="s">
        <v>5044</v>
      </c>
      <c r="F2209" s="3">
        <v>29912260100104</v>
      </c>
      <c r="G2209" s="2" t="s">
        <v>4025</v>
      </c>
      <c r="H2209" s="2" t="s">
        <v>5056</v>
      </c>
      <c r="I2209" s="2" t="s">
        <v>4315</v>
      </c>
      <c r="J2209" s="4">
        <v>43694</v>
      </c>
      <c r="K2209" s="2" t="s">
        <v>8</v>
      </c>
      <c r="L2209" s="2" t="s">
        <v>12</v>
      </c>
      <c r="M2209" s="2" t="s">
        <v>4432</v>
      </c>
      <c r="R2209" s="77">
        <v>3</v>
      </c>
      <c r="S2209" s="77">
        <v>2</v>
      </c>
      <c r="T2209" s="77">
        <v>2</v>
      </c>
      <c r="U2209" s="77">
        <v>2</v>
      </c>
      <c r="V2209" s="77">
        <v>3</v>
      </c>
      <c r="W2209" s="16" t="s">
        <v>62</v>
      </c>
      <c r="Y2209" s="7">
        <v>43720</v>
      </c>
    </row>
    <row r="2210" spans="1:28">
      <c r="A2210" s="285"/>
      <c r="C2210" s="25">
        <v>140</v>
      </c>
      <c r="D2210" s="2">
        <v>25048</v>
      </c>
      <c r="E2210" s="2" t="s">
        <v>5045</v>
      </c>
      <c r="F2210" s="3">
        <v>29505030102804</v>
      </c>
      <c r="G2210" s="2" t="s">
        <v>129</v>
      </c>
      <c r="H2210" s="2" t="s">
        <v>5057</v>
      </c>
      <c r="I2210" s="2" t="s">
        <v>4315</v>
      </c>
      <c r="J2210" s="4">
        <v>43694</v>
      </c>
      <c r="K2210" s="2" t="s">
        <v>8</v>
      </c>
      <c r="L2210" s="2" t="s">
        <v>12</v>
      </c>
      <c r="M2210" s="2" t="s">
        <v>4432</v>
      </c>
      <c r="R2210" s="77">
        <v>3</v>
      </c>
      <c r="S2210" s="77">
        <v>3</v>
      </c>
      <c r="T2210" s="77">
        <v>2.5</v>
      </c>
      <c r="U2210" s="77">
        <v>2.5</v>
      </c>
      <c r="V2210" s="77">
        <v>3</v>
      </c>
      <c r="W2210" s="16" t="s">
        <v>170</v>
      </c>
      <c r="Y2210" s="7">
        <v>43720</v>
      </c>
      <c r="Z2210" s="16" t="s">
        <v>66</v>
      </c>
      <c r="AA2210" s="7">
        <v>43723</v>
      </c>
      <c r="AB2210" s="103"/>
    </row>
    <row r="2211" spans="1:28">
      <c r="A2211" s="285"/>
      <c r="C2211" s="25">
        <v>140</v>
      </c>
      <c r="D2211" s="2">
        <v>25049</v>
      </c>
      <c r="E2211" s="2" t="s">
        <v>5046</v>
      </c>
      <c r="F2211" s="3">
        <v>29508150105717</v>
      </c>
      <c r="G2211" s="2" t="s">
        <v>34</v>
      </c>
      <c r="H2211" s="2" t="s">
        <v>5058</v>
      </c>
      <c r="I2211" s="2" t="s">
        <v>4315</v>
      </c>
      <c r="J2211" s="4">
        <v>43694</v>
      </c>
      <c r="K2211" s="2" t="s">
        <v>8</v>
      </c>
      <c r="L2211" s="2" t="s">
        <v>12</v>
      </c>
      <c r="M2211" s="2" t="s">
        <v>4669</v>
      </c>
      <c r="R2211" s="77">
        <v>3</v>
      </c>
      <c r="S2211" s="77">
        <v>3</v>
      </c>
      <c r="T2211" s="77">
        <v>2.5</v>
      </c>
      <c r="U2211" s="77">
        <v>2</v>
      </c>
      <c r="V2211" s="77">
        <v>3</v>
      </c>
      <c r="W2211" s="16" t="s">
        <v>60</v>
      </c>
      <c r="Y2211" s="7">
        <v>43720</v>
      </c>
      <c r="Z2211" s="16" t="s">
        <v>66</v>
      </c>
      <c r="AA2211" s="7">
        <v>43723</v>
      </c>
      <c r="AB2211" s="103"/>
    </row>
    <row r="2212" spans="1:28">
      <c r="A2212" s="285"/>
      <c r="C2212" s="25">
        <v>140</v>
      </c>
      <c r="D2212" s="2">
        <v>25050</v>
      </c>
      <c r="E2212" s="2" t="s">
        <v>5047</v>
      </c>
      <c r="F2212" s="3">
        <v>29209300111276</v>
      </c>
      <c r="G2212" s="2" t="s">
        <v>34</v>
      </c>
      <c r="H2212" s="2" t="s">
        <v>5059</v>
      </c>
      <c r="I2212" s="2" t="s">
        <v>4315</v>
      </c>
      <c r="J2212" s="4">
        <v>43694</v>
      </c>
      <c r="K2212" s="2" t="s">
        <v>8</v>
      </c>
      <c r="L2212" s="2" t="s">
        <v>12</v>
      </c>
      <c r="M2212" s="2" t="s">
        <v>103</v>
      </c>
      <c r="R2212" s="77">
        <v>3</v>
      </c>
      <c r="S2212" s="77">
        <v>2.5</v>
      </c>
      <c r="T2212" s="77">
        <v>2</v>
      </c>
      <c r="U2212" s="77">
        <v>2.5</v>
      </c>
      <c r="V2212" s="77">
        <v>3</v>
      </c>
      <c r="W2212" s="16" t="s">
        <v>61</v>
      </c>
      <c r="Y2212" s="7">
        <v>43720</v>
      </c>
      <c r="Z2212" s="16" t="s">
        <v>66</v>
      </c>
      <c r="AA2212" s="7">
        <v>43730</v>
      </c>
      <c r="AB2212" s="103"/>
    </row>
    <row r="2213" spans="1:28">
      <c r="A2213" s="285"/>
      <c r="C2213" s="25">
        <v>140</v>
      </c>
      <c r="D2213" s="2">
        <v>24560</v>
      </c>
      <c r="E2213" s="2" t="s">
        <v>4864</v>
      </c>
      <c r="F2213" s="3">
        <v>29610010123773</v>
      </c>
      <c r="G2213" s="2" t="s">
        <v>34</v>
      </c>
      <c r="H2213" s="2" t="s">
        <v>4865</v>
      </c>
      <c r="R2213" s="77">
        <v>3</v>
      </c>
      <c r="S2213" s="77">
        <v>2.5</v>
      </c>
      <c r="T2213" s="77">
        <v>2</v>
      </c>
      <c r="U2213" s="77">
        <v>2.5</v>
      </c>
      <c r="V2213" s="77">
        <v>3</v>
      </c>
      <c r="W2213" s="16" t="s">
        <v>171</v>
      </c>
      <c r="Y2213" s="7">
        <v>43720</v>
      </c>
      <c r="Z2213" s="16" t="s">
        <v>66</v>
      </c>
      <c r="AA2213" s="7">
        <v>43730</v>
      </c>
      <c r="AB2213" s="103"/>
    </row>
    <row r="2214" spans="1:28">
      <c r="A2214" s="285"/>
      <c r="C2214" s="25">
        <v>140</v>
      </c>
      <c r="D2214" s="2">
        <v>24566</v>
      </c>
      <c r="E2214" s="2" t="s">
        <v>4876</v>
      </c>
      <c r="F2214" s="3">
        <v>29712162102736</v>
      </c>
      <c r="G2214" s="2" t="s">
        <v>3970</v>
      </c>
      <c r="H2214" s="2" t="s">
        <v>4877</v>
      </c>
      <c r="R2214" s="77">
        <v>3</v>
      </c>
      <c r="S2214" s="77">
        <v>2.5</v>
      </c>
      <c r="T2214" s="77">
        <v>3</v>
      </c>
      <c r="U2214" s="77">
        <v>3</v>
      </c>
      <c r="V2214" s="77">
        <v>3</v>
      </c>
      <c r="W2214" s="16" t="s">
        <v>150</v>
      </c>
      <c r="Y2214" s="7">
        <v>43720</v>
      </c>
      <c r="Z2214" s="16" t="s">
        <v>66</v>
      </c>
      <c r="AA2214" s="7">
        <v>43723</v>
      </c>
    </row>
    <row r="2215" spans="1:28" ht="15.75" thickBot="1">
      <c r="A2215" s="286"/>
      <c r="C2215" s="28">
        <v>140</v>
      </c>
      <c r="D2215" s="28">
        <v>25088</v>
      </c>
      <c r="E2215" s="28" t="s">
        <v>5060</v>
      </c>
      <c r="F2215" s="29">
        <v>29302012108651</v>
      </c>
      <c r="G2215" s="28" t="s">
        <v>34</v>
      </c>
      <c r="H2215" s="28" t="s">
        <v>5061</v>
      </c>
      <c r="I2215" s="28" t="s">
        <v>4315</v>
      </c>
      <c r="J2215" s="30">
        <v>43694</v>
      </c>
      <c r="K2215" s="28" t="s">
        <v>8</v>
      </c>
      <c r="L2215" s="28" t="s">
        <v>12</v>
      </c>
      <c r="M2215" s="28" t="s">
        <v>103</v>
      </c>
      <c r="N2215" s="28"/>
      <c r="O2215" s="226"/>
      <c r="P2215" s="28"/>
      <c r="Q2215" s="226"/>
      <c r="R2215" s="37">
        <v>3</v>
      </c>
      <c r="S2215" s="37">
        <v>2.5</v>
      </c>
      <c r="T2215" s="37">
        <v>2.5</v>
      </c>
      <c r="U2215" s="37">
        <v>2.5</v>
      </c>
      <c r="V2215" s="37">
        <v>3</v>
      </c>
      <c r="W2215" s="28" t="s">
        <v>171</v>
      </c>
      <c r="X2215" s="28" t="s">
        <v>66</v>
      </c>
      <c r="Y2215" s="30">
        <v>43753</v>
      </c>
      <c r="Z2215" s="28"/>
      <c r="AA2215" s="30"/>
      <c r="AB2215" s="28"/>
    </row>
    <row r="2216" spans="1:28" ht="15.75" thickTop="1">
      <c r="A2216" s="284" t="s">
        <v>4519</v>
      </c>
      <c r="C2216" s="25" t="s">
        <v>5092</v>
      </c>
      <c r="D2216" s="25">
        <v>25025</v>
      </c>
      <c r="E2216" s="25" t="s">
        <v>5062</v>
      </c>
      <c r="F2216" s="26">
        <v>29408260102743</v>
      </c>
      <c r="G2216" s="25" t="s">
        <v>34</v>
      </c>
      <c r="H2216" s="25" t="s">
        <v>5063</v>
      </c>
      <c r="I2216" s="25" t="s">
        <v>4315</v>
      </c>
      <c r="J2216" s="27">
        <v>43692</v>
      </c>
      <c r="K2216" s="25" t="s">
        <v>798</v>
      </c>
      <c r="L2216" s="25" t="s">
        <v>12</v>
      </c>
      <c r="M2216" s="25" t="s">
        <v>4257</v>
      </c>
      <c r="N2216" s="25"/>
      <c r="O2216" s="224"/>
      <c r="P2216" s="25"/>
      <c r="Q2216" s="224"/>
      <c r="R2216" s="77">
        <v>3</v>
      </c>
      <c r="S2216" s="77">
        <v>2.5</v>
      </c>
      <c r="T2216" s="77">
        <v>2</v>
      </c>
      <c r="U2216" s="77">
        <v>2</v>
      </c>
      <c r="V2216" s="77">
        <v>3</v>
      </c>
      <c r="W2216" s="25" t="s">
        <v>62</v>
      </c>
      <c r="X2216" s="25"/>
      <c r="Y2216" s="27">
        <v>43718</v>
      </c>
      <c r="Z2216" s="25" t="s">
        <v>66</v>
      </c>
      <c r="AA2216" s="45">
        <v>43746</v>
      </c>
      <c r="AB2216" s="103" t="s">
        <v>4821</v>
      </c>
    </row>
    <row r="2217" spans="1:28">
      <c r="A2217" s="285"/>
      <c r="C2217" s="25" t="s">
        <v>5092</v>
      </c>
      <c r="D2217" s="2">
        <v>25026</v>
      </c>
      <c r="E2217" s="2" t="s">
        <v>5064</v>
      </c>
      <c r="F2217" s="3">
        <v>29608010104821</v>
      </c>
      <c r="G2217" s="2" t="s">
        <v>34</v>
      </c>
      <c r="H2217" s="2" t="s">
        <v>5065</v>
      </c>
      <c r="I2217" s="2" t="s">
        <v>4315</v>
      </c>
      <c r="J2217" s="4">
        <v>43692</v>
      </c>
      <c r="K2217" s="2" t="s">
        <v>798</v>
      </c>
      <c r="L2217" s="2" t="s">
        <v>12</v>
      </c>
      <c r="M2217" s="2" t="s">
        <v>4753</v>
      </c>
      <c r="R2217" s="77">
        <v>3</v>
      </c>
      <c r="S2217" s="77">
        <v>2</v>
      </c>
      <c r="T2217" s="77">
        <v>2</v>
      </c>
      <c r="U2217" s="77">
        <v>1.5</v>
      </c>
      <c r="V2217" s="77">
        <v>3</v>
      </c>
      <c r="W2217" s="16" t="s">
        <v>62</v>
      </c>
      <c r="Y2217" s="7">
        <v>43718</v>
      </c>
      <c r="Z2217" s="16" t="s">
        <v>66</v>
      </c>
      <c r="AA2217" s="7">
        <v>43746</v>
      </c>
      <c r="AB2217" s="2" t="s">
        <v>4821</v>
      </c>
    </row>
    <row r="2218" spans="1:28">
      <c r="A2218" s="285"/>
      <c r="C2218" s="25" t="s">
        <v>5092</v>
      </c>
      <c r="D2218" s="2">
        <v>25027</v>
      </c>
      <c r="E2218" s="2" t="s">
        <v>5066</v>
      </c>
      <c r="F2218" s="3">
        <v>29010011713054</v>
      </c>
      <c r="G2218" s="2" t="s">
        <v>34</v>
      </c>
      <c r="H2218" s="2" t="s">
        <v>5067</v>
      </c>
      <c r="I2218" s="2" t="s">
        <v>4315</v>
      </c>
      <c r="J2218" s="4">
        <v>43692</v>
      </c>
      <c r="K2218" s="2" t="s">
        <v>798</v>
      </c>
      <c r="L2218" s="2" t="s">
        <v>12</v>
      </c>
      <c r="M2218" s="2" t="s">
        <v>147</v>
      </c>
      <c r="R2218" s="77">
        <v>3</v>
      </c>
      <c r="S2218" s="77">
        <v>2.5</v>
      </c>
      <c r="T2218" s="77">
        <v>2</v>
      </c>
      <c r="U2218" s="77">
        <v>2</v>
      </c>
      <c r="V2218" s="77">
        <v>3</v>
      </c>
      <c r="W2218" s="16" t="s">
        <v>4970</v>
      </c>
      <c r="Y2218" s="7">
        <v>43718</v>
      </c>
    </row>
    <row r="2219" spans="1:28">
      <c r="A2219" s="285"/>
      <c r="C2219" s="25" t="s">
        <v>5092</v>
      </c>
      <c r="D2219" s="2">
        <v>25028</v>
      </c>
      <c r="E2219" s="2" t="s">
        <v>5068</v>
      </c>
      <c r="F2219" s="3">
        <v>29112230102475</v>
      </c>
      <c r="G2219" s="2" t="s">
        <v>34</v>
      </c>
      <c r="H2219" s="2" t="s">
        <v>5069</v>
      </c>
      <c r="I2219" s="2" t="s">
        <v>4315</v>
      </c>
      <c r="J2219" s="4">
        <v>43692</v>
      </c>
      <c r="K2219" s="2" t="s">
        <v>798</v>
      </c>
      <c r="L2219" s="2" t="s">
        <v>12</v>
      </c>
      <c r="M2219" s="2" t="s">
        <v>551</v>
      </c>
      <c r="W2219" s="16" t="s">
        <v>63</v>
      </c>
      <c r="Z2219" s="16" t="s">
        <v>67</v>
      </c>
    </row>
    <row r="2220" spans="1:28">
      <c r="A2220" s="285"/>
      <c r="C2220" s="25" t="s">
        <v>5092</v>
      </c>
      <c r="D2220" s="2">
        <v>25029</v>
      </c>
      <c r="E2220" s="2" t="s">
        <v>5070</v>
      </c>
      <c r="F2220" s="3">
        <v>29702100106853</v>
      </c>
      <c r="G2220" s="2" t="s">
        <v>34</v>
      </c>
      <c r="H2220" s="2" t="s">
        <v>5071</v>
      </c>
      <c r="I2220" s="2" t="s">
        <v>4315</v>
      </c>
      <c r="J2220" s="4">
        <v>43692</v>
      </c>
      <c r="K2220" s="2" t="s">
        <v>798</v>
      </c>
      <c r="L2220" s="2" t="s">
        <v>12</v>
      </c>
      <c r="M2220" s="2" t="s">
        <v>4480</v>
      </c>
      <c r="W2220" s="16" t="s">
        <v>64</v>
      </c>
      <c r="Z2220" s="16" t="s">
        <v>67</v>
      </c>
    </row>
    <row r="2221" spans="1:28">
      <c r="A2221" s="285"/>
      <c r="C2221" s="25" t="s">
        <v>5092</v>
      </c>
      <c r="D2221" s="2">
        <v>25030</v>
      </c>
      <c r="E2221" s="2" t="s">
        <v>5072</v>
      </c>
      <c r="F2221" s="3">
        <v>29108010206574</v>
      </c>
      <c r="G2221" s="2" t="s">
        <v>34</v>
      </c>
      <c r="H2221" s="2" t="s">
        <v>5073</v>
      </c>
      <c r="I2221" s="2" t="s">
        <v>4315</v>
      </c>
      <c r="J2221" s="4">
        <v>43692</v>
      </c>
      <c r="K2221" s="2" t="s">
        <v>798</v>
      </c>
      <c r="L2221" s="2" t="s">
        <v>12</v>
      </c>
      <c r="M2221" s="2" t="s">
        <v>585</v>
      </c>
      <c r="R2221" s="77">
        <v>3</v>
      </c>
      <c r="S2221" s="77">
        <v>2.5</v>
      </c>
      <c r="T2221" s="77">
        <v>2</v>
      </c>
      <c r="U2221" s="77">
        <v>2</v>
      </c>
      <c r="V2221" s="77">
        <v>3</v>
      </c>
      <c r="W2221" s="16" t="s">
        <v>3244</v>
      </c>
      <c r="Y2221" s="7">
        <v>43718</v>
      </c>
    </row>
    <row r="2222" spans="1:28">
      <c r="A2222" s="285"/>
      <c r="C2222" s="25" t="s">
        <v>5092</v>
      </c>
      <c r="D2222" s="2">
        <v>25031</v>
      </c>
      <c r="E2222" s="2" t="s">
        <v>5074</v>
      </c>
      <c r="F2222" s="3">
        <v>29802012102273</v>
      </c>
      <c r="G2222" s="2" t="s">
        <v>34</v>
      </c>
      <c r="H2222" s="2" t="s">
        <v>5075</v>
      </c>
      <c r="I2222" s="2" t="s">
        <v>4315</v>
      </c>
      <c r="J2222" s="4">
        <v>43692</v>
      </c>
      <c r="K2222" s="2" t="s">
        <v>798</v>
      </c>
      <c r="L2222" s="2" t="s">
        <v>12</v>
      </c>
      <c r="M2222" s="2" t="s">
        <v>4800</v>
      </c>
      <c r="R2222" s="77">
        <v>3</v>
      </c>
      <c r="S2222" s="77">
        <v>2.5</v>
      </c>
      <c r="T2222" s="77">
        <v>2</v>
      </c>
      <c r="U2222" s="77">
        <v>1.5</v>
      </c>
      <c r="V2222" s="77">
        <v>3</v>
      </c>
      <c r="W2222" s="16" t="s">
        <v>62</v>
      </c>
      <c r="Y2222" s="7">
        <v>43718</v>
      </c>
      <c r="Z2222" s="16" t="s">
        <v>66</v>
      </c>
      <c r="AA2222" s="45">
        <v>43746</v>
      </c>
      <c r="AB2222" s="103" t="s">
        <v>5464</v>
      </c>
    </row>
    <row r="2223" spans="1:28">
      <c r="A2223" s="285"/>
      <c r="C2223" s="25" t="s">
        <v>5092</v>
      </c>
      <c r="D2223" s="2">
        <v>25032</v>
      </c>
      <c r="E2223" s="2" t="s">
        <v>5076</v>
      </c>
      <c r="F2223" s="3">
        <v>29610211400341</v>
      </c>
      <c r="G2223" s="2" t="s">
        <v>34</v>
      </c>
      <c r="H2223" s="2" t="s">
        <v>5077</v>
      </c>
      <c r="I2223" s="2" t="s">
        <v>4315</v>
      </c>
      <c r="J2223" s="4">
        <v>43692</v>
      </c>
      <c r="K2223" s="2" t="s">
        <v>798</v>
      </c>
      <c r="L2223" s="2" t="s">
        <v>12</v>
      </c>
      <c r="M2223" s="2" t="s">
        <v>4753</v>
      </c>
      <c r="R2223" s="77">
        <v>3</v>
      </c>
      <c r="S2223" s="77">
        <v>2.5</v>
      </c>
      <c r="T2223" s="77">
        <v>1.5</v>
      </c>
      <c r="U2223" s="77">
        <v>1</v>
      </c>
      <c r="V2223" s="77">
        <v>3</v>
      </c>
      <c r="W2223" s="16" t="s">
        <v>3818</v>
      </c>
      <c r="Y2223" s="7">
        <v>43718</v>
      </c>
    </row>
    <row r="2224" spans="1:28">
      <c r="A2224" s="285"/>
      <c r="C2224" s="25" t="s">
        <v>5092</v>
      </c>
      <c r="D2224" s="2">
        <v>25033</v>
      </c>
      <c r="E2224" s="2" t="s">
        <v>5078</v>
      </c>
      <c r="F2224" s="3">
        <v>29510011247412</v>
      </c>
      <c r="G2224" s="2" t="s">
        <v>34</v>
      </c>
      <c r="H2224" s="2" t="s">
        <v>5079</v>
      </c>
      <c r="I2224" s="2" t="s">
        <v>4315</v>
      </c>
      <c r="J2224" s="4">
        <v>43692</v>
      </c>
      <c r="K2224" s="2" t="s">
        <v>798</v>
      </c>
      <c r="L2224" s="2" t="s">
        <v>12</v>
      </c>
      <c r="M2224" s="2" t="s">
        <v>1249</v>
      </c>
      <c r="R2224" s="77">
        <v>3</v>
      </c>
      <c r="S2224" s="77">
        <v>2.5</v>
      </c>
      <c r="T2224" s="77">
        <v>1.5</v>
      </c>
      <c r="U2224" s="77">
        <v>1.5</v>
      </c>
      <c r="V2224" s="77">
        <v>3</v>
      </c>
      <c r="W2224" s="16" t="s">
        <v>3818</v>
      </c>
      <c r="Y2224" s="7">
        <v>43718</v>
      </c>
    </row>
    <row r="2225" spans="1:28">
      <c r="A2225" s="285"/>
      <c r="C2225" s="25" t="s">
        <v>5092</v>
      </c>
      <c r="D2225" s="2">
        <v>25034</v>
      </c>
      <c r="E2225" s="2" t="s">
        <v>5080</v>
      </c>
      <c r="F2225" s="3">
        <v>28606151301739</v>
      </c>
      <c r="G2225" s="2" t="s">
        <v>34</v>
      </c>
      <c r="H2225" s="2" t="s">
        <v>5081</v>
      </c>
      <c r="I2225" s="2" t="s">
        <v>4315</v>
      </c>
      <c r="J2225" s="4">
        <v>43692</v>
      </c>
      <c r="K2225" s="2" t="s">
        <v>798</v>
      </c>
      <c r="L2225" s="2" t="s">
        <v>12</v>
      </c>
      <c r="M2225" s="2" t="s">
        <v>4800</v>
      </c>
      <c r="W2225" s="16" t="s">
        <v>63</v>
      </c>
      <c r="Z2225" s="103" t="s">
        <v>67</v>
      </c>
    </row>
    <row r="2226" spans="1:28">
      <c r="A2226" s="285"/>
      <c r="C2226" s="25" t="s">
        <v>5092</v>
      </c>
      <c r="D2226" s="2">
        <v>25035</v>
      </c>
      <c r="E2226" s="2" t="s">
        <v>5082</v>
      </c>
      <c r="F2226" s="3">
        <v>29710248800441</v>
      </c>
      <c r="G2226" s="2" t="s">
        <v>34</v>
      </c>
      <c r="H2226" s="2" t="s">
        <v>5083</v>
      </c>
      <c r="I2226" s="2" t="s">
        <v>4315</v>
      </c>
      <c r="J2226" s="4">
        <v>43692</v>
      </c>
      <c r="K2226" s="2" t="s">
        <v>798</v>
      </c>
      <c r="L2226" s="2" t="s">
        <v>12</v>
      </c>
      <c r="M2226" s="2" t="s">
        <v>4800</v>
      </c>
      <c r="R2226" s="77">
        <v>3</v>
      </c>
      <c r="S2226" s="77">
        <v>2.5</v>
      </c>
      <c r="T2226" s="77">
        <v>2</v>
      </c>
      <c r="U2226" s="77">
        <v>1.5</v>
      </c>
      <c r="V2226" s="77">
        <v>3</v>
      </c>
      <c r="W2226" s="16" t="s">
        <v>3321</v>
      </c>
      <c r="Y2226" s="7">
        <v>43718</v>
      </c>
      <c r="Z2226" s="16" t="s">
        <v>66</v>
      </c>
      <c r="AA2226" s="45">
        <v>43746</v>
      </c>
      <c r="AB2226" s="103" t="s">
        <v>5466</v>
      </c>
    </row>
    <row r="2227" spans="1:28">
      <c r="A2227" s="285"/>
      <c r="C2227" s="25" t="s">
        <v>5092</v>
      </c>
      <c r="D2227" s="2">
        <v>25036</v>
      </c>
      <c r="E2227" s="2" t="s">
        <v>5084</v>
      </c>
      <c r="F2227" s="3">
        <v>29409052300091</v>
      </c>
      <c r="G2227" s="2" t="s">
        <v>34</v>
      </c>
      <c r="H2227" s="2" t="s">
        <v>5085</v>
      </c>
      <c r="I2227" s="2" t="s">
        <v>4315</v>
      </c>
      <c r="J2227" s="4">
        <v>43692</v>
      </c>
      <c r="K2227" s="2" t="s">
        <v>798</v>
      </c>
      <c r="L2227" s="2" t="s">
        <v>12</v>
      </c>
      <c r="M2227" s="2" t="s">
        <v>4257</v>
      </c>
      <c r="R2227" s="77">
        <v>3</v>
      </c>
      <c r="S2227" s="77">
        <v>2.5</v>
      </c>
      <c r="T2227" s="77">
        <v>2</v>
      </c>
      <c r="U2227" s="77">
        <v>2</v>
      </c>
      <c r="V2227" s="77">
        <v>3</v>
      </c>
      <c r="W2227" s="16" t="s">
        <v>4970</v>
      </c>
      <c r="Y2227" s="7">
        <v>43718</v>
      </c>
    </row>
    <row r="2228" spans="1:28">
      <c r="A2228" s="285"/>
      <c r="C2228" s="25" t="s">
        <v>5092</v>
      </c>
      <c r="D2228" s="2">
        <v>25037</v>
      </c>
      <c r="E2228" s="2" t="s">
        <v>5086</v>
      </c>
      <c r="F2228" s="3">
        <v>29704260103331</v>
      </c>
      <c r="G2228" s="2" t="s">
        <v>3892</v>
      </c>
      <c r="H2228" s="2" t="s">
        <v>5087</v>
      </c>
      <c r="I2228" s="2" t="s">
        <v>4315</v>
      </c>
      <c r="J2228" s="4">
        <v>43692</v>
      </c>
      <c r="K2228" s="2" t="s">
        <v>798</v>
      </c>
      <c r="L2228" s="2" t="s">
        <v>12</v>
      </c>
      <c r="M2228" s="2" t="s">
        <v>103</v>
      </c>
      <c r="R2228" s="77">
        <v>3</v>
      </c>
      <c r="S2228" s="77">
        <v>2</v>
      </c>
      <c r="T2228" s="77">
        <v>2</v>
      </c>
      <c r="U2228" s="77">
        <v>2</v>
      </c>
      <c r="V2228" s="77">
        <v>2.5</v>
      </c>
      <c r="W2228" s="16" t="s">
        <v>3818</v>
      </c>
      <c r="Y2228" s="7">
        <v>43718</v>
      </c>
    </row>
    <row r="2229" spans="1:28">
      <c r="A2229" s="285"/>
      <c r="C2229" s="25" t="s">
        <v>5092</v>
      </c>
      <c r="D2229" s="2">
        <v>25038</v>
      </c>
      <c r="E2229" s="2" t="s">
        <v>5088</v>
      </c>
      <c r="F2229" s="3">
        <v>28612290103011</v>
      </c>
      <c r="G2229" s="2" t="s">
        <v>34</v>
      </c>
      <c r="H2229" s="2" t="s">
        <v>5089</v>
      </c>
      <c r="I2229" s="2" t="s">
        <v>4315</v>
      </c>
      <c r="J2229" s="4">
        <v>43692</v>
      </c>
      <c r="K2229" s="2" t="s">
        <v>798</v>
      </c>
      <c r="L2229" s="2" t="s">
        <v>12</v>
      </c>
      <c r="M2229" s="2" t="s">
        <v>4623</v>
      </c>
      <c r="W2229" s="16" t="s">
        <v>64</v>
      </c>
      <c r="Z2229" s="103" t="s">
        <v>67</v>
      </c>
    </row>
    <row r="2230" spans="1:28" ht="15.75" thickBot="1">
      <c r="A2230" s="286"/>
      <c r="C2230" s="28" t="s">
        <v>5092</v>
      </c>
      <c r="D2230" s="28">
        <v>25089</v>
      </c>
      <c r="E2230" s="28" t="s">
        <v>5090</v>
      </c>
      <c r="F2230" s="29">
        <v>29205210103031</v>
      </c>
      <c r="G2230" s="28" t="s">
        <v>34</v>
      </c>
      <c r="H2230" s="28" t="s">
        <v>5091</v>
      </c>
      <c r="I2230" s="28" t="s">
        <v>4315</v>
      </c>
      <c r="J2230" s="30">
        <v>43692</v>
      </c>
      <c r="K2230" s="28" t="s">
        <v>798</v>
      </c>
      <c r="L2230" s="28" t="s">
        <v>12</v>
      </c>
      <c r="M2230" s="28" t="s">
        <v>623</v>
      </c>
      <c r="N2230" s="28"/>
      <c r="O2230" s="226"/>
      <c r="P2230" s="28"/>
      <c r="Q2230" s="226"/>
      <c r="R2230" s="37">
        <v>3</v>
      </c>
      <c r="S2230" s="37">
        <v>2</v>
      </c>
      <c r="T2230" s="37">
        <v>2.5</v>
      </c>
      <c r="U2230" s="37">
        <v>2</v>
      </c>
      <c r="V2230" s="37">
        <v>3</v>
      </c>
      <c r="W2230" s="28" t="s">
        <v>3244</v>
      </c>
      <c r="X2230" s="28"/>
      <c r="Y2230" s="30">
        <v>43718</v>
      </c>
      <c r="Z2230" s="28"/>
      <c r="AA2230" s="30"/>
      <c r="AB2230" s="28"/>
    </row>
    <row r="2231" spans="1:28" ht="15.75" thickTop="1">
      <c r="A2231" s="284" t="s">
        <v>4517</v>
      </c>
      <c r="C2231" s="25" t="s">
        <v>5093</v>
      </c>
      <c r="D2231" s="25">
        <v>25052</v>
      </c>
      <c r="E2231" s="25" t="s">
        <v>5108</v>
      </c>
      <c r="F2231" s="26">
        <v>29704260101911</v>
      </c>
      <c r="G2231" s="25" t="s">
        <v>34</v>
      </c>
      <c r="H2231" s="25" t="s">
        <v>5109</v>
      </c>
      <c r="I2231" s="25" t="s">
        <v>4315</v>
      </c>
      <c r="J2231" s="27">
        <v>43701</v>
      </c>
      <c r="K2231" s="25" t="s">
        <v>798</v>
      </c>
      <c r="L2231" s="25" t="s">
        <v>12</v>
      </c>
      <c r="M2231" s="25" t="s">
        <v>5110</v>
      </c>
      <c r="N2231" s="25"/>
      <c r="O2231" s="224"/>
      <c r="P2231" s="25"/>
      <c r="Q2231" s="224"/>
      <c r="R2231" s="77">
        <v>3</v>
      </c>
      <c r="S2231" s="77">
        <v>2</v>
      </c>
      <c r="T2231" s="77">
        <v>2</v>
      </c>
      <c r="U2231" s="77">
        <v>2</v>
      </c>
      <c r="V2231" s="77">
        <v>3</v>
      </c>
      <c r="W2231" s="25" t="s">
        <v>62</v>
      </c>
      <c r="X2231" s="25"/>
      <c r="Y2231" s="27">
        <v>43725</v>
      </c>
      <c r="Z2231" s="25" t="s">
        <v>66</v>
      </c>
      <c r="AA2231" s="27"/>
      <c r="AB2231" s="25" t="s">
        <v>5096</v>
      </c>
    </row>
    <row r="2232" spans="1:28">
      <c r="A2232" s="285"/>
      <c r="C2232" s="25" t="s">
        <v>5093</v>
      </c>
      <c r="D2232" s="2">
        <v>25053</v>
      </c>
      <c r="E2232" s="2" t="s">
        <v>5111</v>
      </c>
      <c r="F2232" s="3">
        <v>29011240400457</v>
      </c>
      <c r="G2232" s="2" t="s">
        <v>34</v>
      </c>
      <c r="H2232" s="2" t="s">
        <v>5112</v>
      </c>
      <c r="I2232" s="2" t="s">
        <v>4315</v>
      </c>
      <c r="J2232" s="4">
        <v>43701</v>
      </c>
      <c r="K2232" s="2" t="s">
        <v>798</v>
      </c>
      <c r="L2232" s="2" t="s">
        <v>12</v>
      </c>
      <c r="M2232" s="2" t="s">
        <v>769</v>
      </c>
      <c r="W2232" s="16" t="s">
        <v>63</v>
      </c>
      <c r="Z2232" s="16" t="s">
        <v>67</v>
      </c>
    </row>
    <row r="2233" spans="1:28">
      <c r="A2233" s="285"/>
      <c r="C2233" s="25" t="s">
        <v>5093</v>
      </c>
      <c r="D2233" s="2">
        <v>25054</v>
      </c>
      <c r="E2233" s="2" t="s">
        <v>5113</v>
      </c>
      <c r="F2233" s="3">
        <v>28803282102324</v>
      </c>
      <c r="G2233" s="2" t="s">
        <v>34</v>
      </c>
      <c r="H2233" s="2" t="s">
        <v>5114</v>
      </c>
      <c r="I2233" s="2" t="s">
        <v>4315</v>
      </c>
      <c r="J2233" s="4">
        <v>43701</v>
      </c>
      <c r="K2233" s="2" t="s">
        <v>798</v>
      </c>
      <c r="L2233" s="2" t="s">
        <v>12</v>
      </c>
      <c r="M2233" s="2" t="s">
        <v>4527</v>
      </c>
      <c r="R2233" s="77">
        <v>3</v>
      </c>
      <c r="S2233" s="77">
        <v>1.5</v>
      </c>
      <c r="T2233" s="77">
        <v>2</v>
      </c>
      <c r="U2233" s="77">
        <v>1.5</v>
      </c>
      <c r="V2233" s="77">
        <v>3</v>
      </c>
      <c r="W2233" s="16" t="s">
        <v>3818</v>
      </c>
      <c r="Y2233" s="7">
        <v>43725</v>
      </c>
    </row>
    <row r="2234" spans="1:28">
      <c r="A2234" s="285"/>
      <c r="C2234" s="25" t="s">
        <v>5093</v>
      </c>
      <c r="D2234" s="2">
        <v>25055</v>
      </c>
      <c r="E2234" s="2" t="s">
        <v>5115</v>
      </c>
      <c r="F2234" s="3">
        <v>28706250104711</v>
      </c>
      <c r="G2234" s="2" t="s">
        <v>34</v>
      </c>
      <c r="H2234" s="2" t="s">
        <v>5116</v>
      </c>
      <c r="I2234" s="2" t="s">
        <v>4315</v>
      </c>
      <c r="J2234" s="4">
        <v>43701</v>
      </c>
      <c r="K2234" s="2" t="s">
        <v>798</v>
      </c>
      <c r="L2234" s="2" t="s">
        <v>12</v>
      </c>
      <c r="M2234" s="2" t="s">
        <v>4480</v>
      </c>
      <c r="W2234" s="103" t="s">
        <v>64</v>
      </c>
      <c r="Z2234" s="103" t="s">
        <v>67</v>
      </c>
    </row>
    <row r="2235" spans="1:28">
      <c r="A2235" s="285"/>
      <c r="C2235" s="25" t="s">
        <v>5093</v>
      </c>
      <c r="D2235" s="2">
        <v>25056</v>
      </c>
      <c r="E2235" s="2" t="s">
        <v>5117</v>
      </c>
      <c r="F2235" s="3">
        <v>29007313500041</v>
      </c>
      <c r="G2235" s="2" t="s">
        <v>34</v>
      </c>
      <c r="H2235" s="2" t="s">
        <v>5118</v>
      </c>
      <c r="I2235" s="2" t="s">
        <v>4315</v>
      </c>
      <c r="J2235" s="4">
        <v>43701</v>
      </c>
      <c r="K2235" s="2" t="s">
        <v>798</v>
      </c>
      <c r="L2235" s="2" t="s">
        <v>12</v>
      </c>
      <c r="M2235" s="2" t="s">
        <v>3696</v>
      </c>
      <c r="R2235" s="77">
        <v>3</v>
      </c>
      <c r="S2235" s="77">
        <v>2.5</v>
      </c>
      <c r="T2235" s="77">
        <v>1.5</v>
      </c>
      <c r="U2235" s="77">
        <v>2</v>
      </c>
      <c r="V2235" s="77">
        <v>3</v>
      </c>
      <c r="W2235" s="16" t="s">
        <v>3321</v>
      </c>
      <c r="Y2235" s="7">
        <v>43725</v>
      </c>
      <c r="Z2235" s="16" t="s">
        <v>66</v>
      </c>
      <c r="AA2235" s="7">
        <v>43746</v>
      </c>
      <c r="AB2235" s="2" t="s">
        <v>4821</v>
      </c>
    </row>
    <row r="2236" spans="1:28">
      <c r="A2236" s="285"/>
      <c r="C2236" s="25" t="s">
        <v>5093</v>
      </c>
      <c r="D2236" s="2">
        <v>25057</v>
      </c>
      <c r="E2236" s="2" t="s">
        <v>5119</v>
      </c>
      <c r="F2236" s="3">
        <v>29312198800725</v>
      </c>
      <c r="G2236" s="2" t="s">
        <v>34</v>
      </c>
      <c r="H2236" s="2" t="s">
        <v>5120</v>
      </c>
      <c r="I2236" s="2" t="s">
        <v>4315</v>
      </c>
      <c r="J2236" s="4">
        <v>43701</v>
      </c>
      <c r="K2236" s="2" t="s">
        <v>798</v>
      </c>
      <c r="L2236" s="2" t="s">
        <v>12</v>
      </c>
      <c r="M2236" s="2" t="s">
        <v>4669</v>
      </c>
      <c r="R2236" s="77">
        <v>3</v>
      </c>
      <c r="S2236" s="77">
        <v>2.5</v>
      </c>
      <c r="T2236" s="77">
        <v>2</v>
      </c>
      <c r="U2236" s="77">
        <v>1.5</v>
      </c>
      <c r="V2236" s="77">
        <v>2.5</v>
      </c>
      <c r="W2236" s="16" t="s">
        <v>3818</v>
      </c>
      <c r="Y2236" s="7">
        <v>43725</v>
      </c>
    </row>
    <row r="2237" spans="1:28">
      <c r="A2237" s="285"/>
      <c r="C2237" s="25" t="s">
        <v>5093</v>
      </c>
      <c r="D2237" s="2">
        <v>25058</v>
      </c>
      <c r="E2237" s="2" t="s">
        <v>5121</v>
      </c>
      <c r="F2237" s="3">
        <v>29307051900496</v>
      </c>
      <c r="G2237" s="2" t="s">
        <v>34</v>
      </c>
      <c r="H2237" s="2" t="s">
        <v>5122</v>
      </c>
      <c r="I2237" s="2" t="s">
        <v>4315</v>
      </c>
      <c r="J2237" s="4">
        <v>43701</v>
      </c>
      <c r="K2237" s="2" t="s">
        <v>798</v>
      </c>
      <c r="L2237" s="2" t="s">
        <v>12</v>
      </c>
      <c r="M2237" s="2" t="s">
        <v>5123</v>
      </c>
      <c r="W2237" s="16" t="s">
        <v>63</v>
      </c>
      <c r="Z2237" s="103" t="s">
        <v>67</v>
      </c>
    </row>
    <row r="2238" spans="1:28">
      <c r="A2238" s="285"/>
      <c r="C2238" s="25" t="s">
        <v>5093</v>
      </c>
      <c r="D2238" s="2">
        <v>25059</v>
      </c>
      <c r="E2238" s="2" t="s">
        <v>5124</v>
      </c>
      <c r="F2238" s="3">
        <v>29703180101047</v>
      </c>
      <c r="G2238" s="2" t="s">
        <v>34</v>
      </c>
      <c r="H2238" s="2" t="s">
        <v>5125</v>
      </c>
      <c r="I2238" s="2" t="s">
        <v>4315</v>
      </c>
      <c r="J2238" s="4">
        <v>43701</v>
      </c>
      <c r="K2238" s="2" t="s">
        <v>798</v>
      </c>
      <c r="L2238" s="2" t="s">
        <v>12</v>
      </c>
      <c r="M2238" s="2" t="s">
        <v>5126</v>
      </c>
      <c r="W2238" s="103" t="s">
        <v>64</v>
      </c>
      <c r="Z2238" s="103" t="s">
        <v>67</v>
      </c>
    </row>
    <row r="2239" spans="1:28">
      <c r="A2239" s="285"/>
      <c r="C2239" s="25" t="s">
        <v>5093</v>
      </c>
      <c r="D2239" s="2">
        <v>25060</v>
      </c>
      <c r="E2239" s="2" t="s">
        <v>5127</v>
      </c>
      <c r="F2239" s="3">
        <v>29608242100741</v>
      </c>
      <c r="G2239" s="2" t="s">
        <v>34</v>
      </c>
      <c r="H2239" s="2" t="s">
        <v>5128</v>
      </c>
      <c r="I2239" s="2" t="s">
        <v>4315</v>
      </c>
      <c r="J2239" s="4">
        <v>43701</v>
      </c>
      <c r="K2239" s="2" t="s">
        <v>798</v>
      </c>
      <c r="L2239" s="2" t="s">
        <v>12</v>
      </c>
      <c r="M2239" s="2" t="s">
        <v>4493</v>
      </c>
      <c r="R2239" s="77">
        <v>3</v>
      </c>
      <c r="S2239" s="77">
        <v>3</v>
      </c>
      <c r="T2239" s="77">
        <v>2</v>
      </c>
      <c r="U2239" s="77">
        <v>1.5</v>
      </c>
      <c r="V2239" s="77">
        <v>3</v>
      </c>
      <c r="W2239" s="16" t="s">
        <v>3818</v>
      </c>
      <c r="Y2239" s="7">
        <v>43725</v>
      </c>
    </row>
    <row r="2240" spans="1:28">
      <c r="A2240" s="285"/>
      <c r="C2240" s="25" t="s">
        <v>5093</v>
      </c>
      <c r="D2240" s="2">
        <v>25061</v>
      </c>
      <c r="E2240" s="2" t="s">
        <v>5129</v>
      </c>
      <c r="F2240" s="3">
        <v>29710258800261</v>
      </c>
      <c r="G2240" s="2" t="s">
        <v>34</v>
      </c>
      <c r="H2240" s="2" t="s">
        <v>5130</v>
      </c>
      <c r="I2240" s="2" t="s">
        <v>4315</v>
      </c>
      <c r="J2240" s="4">
        <v>43701</v>
      </c>
      <c r="K2240" s="2" t="s">
        <v>798</v>
      </c>
      <c r="L2240" s="2" t="s">
        <v>12</v>
      </c>
      <c r="M2240" s="2" t="s">
        <v>4800</v>
      </c>
      <c r="R2240" s="77">
        <v>3</v>
      </c>
      <c r="S2240" s="77">
        <v>2.5</v>
      </c>
      <c r="T2240" s="77">
        <v>1.5</v>
      </c>
      <c r="U2240" s="77">
        <v>2</v>
      </c>
      <c r="V2240" s="77">
        <v>3</v>
      </c>
      <c r="W2240" s="16" t="s">
        <v>62</v>
      </c>
      <c r="Y2240" s="7">
        <v>43725</v>
      </c>
      <c r="Z2240" s="16" t="s">
        <v>66</v>
      </c>
      <c r="AA2240" s="45">
        <v>43746</v>
      </c>
      <c r="AB2240" s="103" t="s">
        <v>4821</v>
      </c>
    </row>
    <row r="2241" spans="1:28" ht="15.75" thickBot="1">
      <c r="A2241" s="286"/>
      <c r="C2241" s="28" t="s">
        <v>5093</v>
      </c>
      <c r="D2241" s="28">
        <v>25062</v>
      </c>
      <c r="E2241" s="28" t="s">
        <v>5131</v>
      </c>
      <c r="F2241" s="29">
        <v>29903290102412</v>
      </c>
      <c r="G2241" s="28" t="s">
        <v>184</v>
      </c>
      <c r="H2241" s="28" t="s">
        <v>5132</v>
      </c>
      <c r="I2241" s="28" t="s">
        <v>4315</v>
      </c>
      <c r="J2241" s="30">
        <v>43701</v>
      </c>
      <c r="K2241" s="28" t="s">
        <v>798</v>
      </c>
      <c r="L2241" s="28" t="s">
        <v>12</v>
      </c>
      <c r="M2241" s="28" t="s">
        <v>103</v>
      </c>
      <c r="N2241" s="28"/>
      <c r="O2241" s="226"/>
      <c r="P2241" s="28"/>
      <c r="Q2241" s="226"/>
      <c r="R2241" s="37">
        <v>3</v>
      </c>
      <c r="S2241" s="37">
        <v>2</v>
      </c>
      <c r="T2241" s="37">
        <v>2.5</v>
      </c>
      <c r="U2241" s="37">
        <v>2.5</v>
      </c>
      <c r="V2241" s="37">
        <v>3</v>
      </c>
      <c r="W2241" s="28" t="s">
        <v>3244</v>
      </c>
      <c r="X2241" s="28"/>
      <c r="Y2241" s="30">
        <v>43725</v>
      </c>
      <c r="Z2241" s="28"/>
      <c r="AA2241" s="30"/>
      <c r="AB2241" s="28"/>
    </row>
    <row r="2242" spans="1:28" ht="17.25" thickTop="1" thickBot="1">
      <c r="A2242" s="110" t="s">
        <v>3118</v>
      </c>
      <c r="C2242" s="111" t="s">
        <v>5138</v>
      </c>
      <c r="D2242" s="111">
        <v>25371</v>
      </c>
      <c r="E2242" s="111" t="s">
        <v>5139</v>
      </c>
      <c r="F2242" s="112">
        <v>29709091300247</v>
      </c>
      <c r="G2242" s="111" t="s">
        <v>34</v>
      </c>
      <c r="H2242" s="121" t="s">
        <v>5137</v>
      </c>
      <c r="I2242" s="111" t="s">
        <v>4315</v>
      </c>
      <c r="J2242" s="113">
        <v>43723</v>
      </c>
      <c r="K2242" s="111" t="s">
        <v>8</v>
      </c>
      <c r="L2242" s="111" t="s">
        <v>12</v>
      </c>
      <c r="M2242" s="111" t="s">
        <v>4800</v>
      </c>
      <c r="N2242" s="111"/>
      <c r="O2242" s="231"/>
      <c r="P2242" s="111"/>
      <c r="Q2242" s="231"/>
      <c r="R2242" s="114">
        <v>3</v>
      </c>
      <c r="S2242" s="114">
        <v>2.5</v>
      </c>
      <c r="T2242" s="114">
        <v>3</v>
      </c>
      <c r="U2242" s="114">
        <v>2.5</v>
      </c>
      <c r="V2242" s="114">
        <v>3</v>
      </c>
      <c r="W2242" s="111" t="s">
        <v>60</v>
      </c>
      <c r="X2242" s="111"/>
      <c r="Y2242" s="113">
        <v>43726</v>
      </c>
      <c r="Z2242" s="111" t="s">
        <v>66</v>
      </c>
      <c r="AA2242" s="113">
        <v>43730</v>
      </c>
      <c r="AB2242" s="111" t="s">
        <v>5188</v>
      </c>
    </row>
    <row r="2243" spans="1:28" ht="15.75" customHeight="1" thickTop="1">
      <c r="A2243" s="284" t="s">
        <v>3129</v>
      </c>
      <c r="C2243" s="25">
        <v>141</v>
      </c>
      <c r="D2243" s="25">
        <v>25073</v>
      </c>
      <c r="E2243" s="25" t="s">
        <v>5170</v>
      </c>
      <c r="F2243" s="26">
        <v>29604010100536</v>
      </c>
      <c r="G2243" s="25" t="s">
        <v>34</v>
      </c>
      <c r="H2243" s="25" t="s">
        <v>5171</v>
      </c>
      <c r="I2243" s="25" t="s">
        <v>4315</v>
      </c>
      <c r="J2243" s="27">
        <v>43703</v>
      </c>
      <c r="K2243" s="25" t="s">
        <v>8</v>
      </c>
      <c r="L2243" s="25" t="s">
        <v>12</v>
      </c>
      <c r="M2243" s="25" t="s">
        <v>103</v>
      </c>
      <c r="N2243" s="25"/>
      <c r="O2243" s="224"/>
      <c r="P2243" s="25"/>
      <c r="Q2243" s="224"/>
      <c r="R2243" s="77">
        <v>3</v>
      </c>
      <c r="S2243" s="77">
        <v>3</v>
      </c>
      <c r="T2243" s="77">
        <v>2.5</v>
      </c>
      <c r="U2243" s="77">
        <v>2</v>
      </c>
      <c r="V2243" s="77">
        <v>3</v>
      </c>
      <c r="W2243" s="25" t="s">
        <v>170</v>
      </c>
      <c r="X2243" s="25"/>
      <c r="Y2243" s="27">
        <v>43759</v>
      </c>
      <c r="Z2243" s="25" t="s">
        <v>66</v>
      </c>
      <c r="AA2243" s="27">
        <v>43766</v>
      </c>
      <c r="AB2243" s="25" t="s">
        <v>3924</v>
      </c>
    </row>
    <row r="2244" spans="1:28">
      <c r="A2244" s="285"/>
      <c r="C2244" s="25">
        <v>141</v>
      </c>
      <c r="D2244" s="103">
        <v>25074</v>
      </c>
      <c r="E2244" s="103" t="s">
        <v>5172</v>
      </c>
      <c r="F2244" s="3">
        <v>29309300100627</v>
      </c>
      <c r="G2244" s="103" t="s">
        <v>4131</v>
      </c>
      <c r="H2244" s="103" t="s">
        <v>5173</v>
      </c>
      <c r="I2244" s="103" t="s">
        <v>4315</v>
      </c>
      <c r="J2244" s="45">
        <v>43703</v>
      </c>
      <c r="K2244" s="103" t="s">
        <v>8</v>
      </c>
      <c r="L2244" s="103" t="s">
        <v>12</v>
      </c>
      <c r="M2244" s="103" t="s">
        <v>4753</v>
      </c>
      <c r="N2244" s="103"/>
      <c r="R2244" s="77">
        <v>3</v>
      </c>
      <c r="S2244" s="77">
        <v>3</v>
      </c>
      <c r="T2244" s="77">
        <v>3</v>
      </c>
      <c r="U2244" s="77">
        <v>2</v>
      </c>
      <c r="V2244" s="77">
        <v>3</v>
      </c>
      <c r="W2244" s="103" t="s">
        <v>60</v>
      </c>
      <c r="X2244" s="103"/>
      <c r="Y2244" s="45">
        <v>43731</v>
      </c>
      <c r="Z2244" s="103" t="s">
        <v>66</v>
      </c>
      <c r="AA2244" s="45">
        <v>43737</v>
      </c>
      <c r="AB2244" s="103"/>
    </row>
    <row r="2245" spans="1:28">
      <c r="A2245" s="285"/>
      <c r="C2245" s="25">
        <v>141</v>
      </c>
      <c r="D2245" s="103">
        <v>25075</v>
      </c>
      <c r="E2245" s="103" t="s">
        <v>5174</v>
      </c>
      <c r="F2245" s="3">
        <v>29603221400891</v>
      </c>
      <c r="G2245" s="103" t="s">
        <v>34</v>
      </c>
      <c r="H2245" s="103" t="s">
        <v>5175</v>
      </c>
      <c r="I2245" s="103" t="s">
        <v>4315</v>
      </c>
      <c r="J2245" s="45">
        <v>43703</v>
      </c>
      <c r="K2245" s="103" t="s">
        <v>8</v>
      </c>
      <c r="L2245" s="103" t="s">
        <v>12</v>
      </c>
      <c r="M2245" s="103" t="s">
        <v>4257</v>
      </c>
      <c r="N2245" s="103"/>
      <c r="R2245" s="77">
        <v>3</v>
      </c>
      <c r="S2245" s="77">
        <v>3</v>
      </c>
      <c r="T2245" s="77">
        <v>2</v>
      </c>
      <c r="U2245" s="77">
        <v>2.5</v>
      </c>
      <c r="V2245" s="77">
        <v>3</v>
      </c>
      <c r="W2245" s="103" t="s">
        <v>61</v>
      </c>
      <c r="X2245" s="103"/>
      <c r="Y2245" s="45">
        <v>43731</v>
      </c>
      <c r="Z2245" s="103" t="s">
        <v>66</v>
      </c>
      <c r="AA2245" s="45">
        <v>43730</v>
      </c>
      <c r="AB2245" s="103"/>
    </row>
    <row r="2246" spans="1:28">
      <c r="A2246" s="285"/>
      <c r="C2246" s="25">
        <v>141</v>
      </c>
      <c r="D2246" s="103">
        <v>25076</v>
      </c>
      <c r="E2246" s="103" t="s">
        <v>3945</v>
      </c>
      <c r="F2246" s="3">
        <v>29301180106153</v>
      </c>
      <c r="G2246" s="103" t="s">
        <v>34</v>
      </c>
      <c r="H2246" s="103" t="s">
        <v>3946</v>
      </c>
      <c r="I2246" s="103" t="s">
        <v>4315</v>
      </c>
      <c r="J2246" s="45">
        <v>43703</v>
      </c>
      <c r="K2246" s="103" t="s">
        <v>8</v>
      </c>
      <c r="L2246" s="103" t="s">
        <v>12</v>
      </c>
      <c r="M2246" s="103" t="s">
        <v>551</v>
      </c>
      <c r="N2246" s="103"/>
      <c r="R2246" s="77">
        <v>3</v>
      </c>
      <c r="S2246" s="77">
        <v>2.5</v>
      </c>
      <c r="T2246" s="77">
        <v>2.5</v>
      </c>
      <c r="U2246" s="77">
        <v>2</v>
      </c>
      <c r="V2246" s="77">
        <v>3</v>
      </c>
      <c r="W2246" s="103" t="s">
        <v>170</v>
      </c>
      <c r="X2246" s="103" t="s">
        <v>66</v>
      </c>
      <c r="Y2246" s="45">
        <v>43753</v>
      </c>
      <c r="Z2246" s="103" t="s">
        <v>66</v>
      </c>
      <c r="AA2246" s="45"/>
      <c r="AB2246" s="103" t="s">
        <v>5375</v>
      </c>
    </row>
    <row r="2247" spans="1:28">
      <c r="A2247" s="285"/>
      <c r="C2247" s="25">
        <v>141</v>
      </c>
      <c r="D2247" s="103">
        <v>25077</v>
      </c>
      <c r="E2247" s="103" t="s">
        <v>5176</v>
      </c>
      <c r="F2247" s="3">
        <v>29409230102001</v>
      </c>
      <c r="G2247" s="103" t="s">
        <v>34</v>
      </c>
      <c r="H2247" s="103" t="s">
        <v>5177</v>
      </c>
      <c r="I2247" s="103" t="s">
        <v>4315</v>
      </c>
      <c r="J2247" s="45">
        <v>43703</v>
      </c>
      <c r="K2247" s="103" t="s">
        <v>8</v>
      </c>
      <c r="L2247" s="103" t="s">
        <v>12</v>
      </c>
      <c r="M2247" s="103" t="s">
        <v>4257</v>
      </c>
      <c r="N2247" s="103"/>
      <c r="R2247" s="77">
        <v>3</v>
      </c>
      <c r="S2247" s="77">
        <v>2.5</v>
      </c>
      <c r="T2247" s="77">
        <v>2.5</v>
      </c>
      <c r="U2247" s="77">
        <v>2</v>
      </c>
      <c r="V2247" s="77">
        <v>3</v>
      </c>
      <c r="W2247" s="103" t="s">
        <v>170</v>
      </c>
      <c r="X2247" s="103"/>
      <c r="Y2247" s="45">
        <v>43731</v>
      </c>
      <c r="Z2247" s="103" t="s">
        <v>66</v>
      </c>
      <c r="AA2247" s="27">
        <v>43737</v>
      </c>
      <c r="AB2247" s="103"/>
    </row>
    <row r="2248" spans="1:28">
      <c r="A2248" s="285"/>
      <c r="C2248" s="25">
        <v>141</v>
      </c>
      <c r="D2248" s="103">
        <v>25078</v>
      </c>
      <c r="E2248" s="103" t="s">
        <v>5178</v>
      </c>
      <c r="F2248" s="3">
        <v>29801042101879</v>
      </c>
      <c r="G2248" s="103" t="s">
        <v>34</v>
      </c>
      <c r="H2248" s="103" t="s">
        <v>5179</v>
      </c>
      <c r="I2248" s="103" t="s">
        <v>4315</v>
      </c>
      <c r="J2248" s="45">
        <v>43703</v>
      </c>
      <c r="K2248" s="103" t="s">
        <v>8</v>
      </c>
      <c r="L2248" s="103" t="s">
        <v>12</v>
      </c>
      <c r="M2248" s="103" t="s">
        <v>4257</v>
      </c>
      <c r="N2248" s="103"/>
      <c r="R2248" s="77">
        <v>3</v>
      </c>
      <c r="S2248" s="77">
        <v>2.5</v>
      </c>
      <c r="T2248" s="77">
        <v>2</v>
      </c>
      <c r="U2248" s="77">
        <v>1.5</v>
      </c>
      <c r="V2248" s="77">
        <v>3</v>
      </c>
      <c r="W2248" s="103" t="s">
        <v>62</v>
      </c>
      <c r="X2248" s="103"/>
      <c r="Y2248" s="45">
        <v>43731</v>
      </c>
      <c r="Z2248" s="103" t="s">
        <v>66</v>
      </c>
      <c r="AA2248" s="45">
        <v>43746</v>
      </c>
      <c r="AB2248" s="103" t="s">
        <v>5808</v>
      </c>
    </row>
    <row r="2249" spans="1:28">
      <c r="A2249" s="285"/>
      <c r="C2249" s="25">
        <v>141</v>
      </c>
      <c r="D2249" s="103">
        <v>25079</v>
      </c>
      <c r="E2249" s="103" t="s">
        <v>5180</v>
      </c>
      <c r="F2249" s="3">
        <v>29812180201223</v>
      </c>
      <c r="G2249" s="103" t="s">
        <v>4131</v>
      </c>
      <c r="H2249" s="103" t="s">
        <v>5181</v>
      </c>
      <c r="I2249" s="103" t="s">
        <v>4315</v>
      </c>
      <c r="J2249" s="45">
        <v>43703</v>
      </c>
      <c r="K2249" s="103" t="s">
        <v>8</v>
      </c>
      <c r="L2249" s="103" t="s">
        <v>12</v>
      </c>
      <c r="M2249" s="103" t="s">
        <v>551</v>
      </c>
      <c r="N2249" s="103"/>
      <c r="R2249" s="77">
        <v>3</v>
      </c>
      <c r="S2249" s="77">
        <v>2.5</v>
      </c>
      <c r="T2249" s="77">
        <v>2.5</v>
      </c>
      <c r="U2249" s="77">
        <v>2</v>
      </c>
      <c r="V2249" s="77">
        <v>3</v>
      </c>
      <c r="W2249" s="103" t="s">
        <v>170</v>
      </c>
      <c r="X2249" s="103" t="s">
        <v>66</v>
      </c>
      <c r="Y2249" s="45">
        <v>43753</v>
      </c>
      <c r="Z2249" s="103" t="s">
        <v>66</v>
      </c>
      <c r="AA2249" s="45">
        <v>43766</v>
      </c>
      <c r="AB2249" s="103"/>
    </row>
    <row r="2250" spans="1:28">
      <c r="A2250" s="285"/>
      <c r="C2250" s="25">
        <v>141</v>
      </c>
      <c r="D2250" s="103">
        <v>15428</v>
      </c>
      <c r="E2250" s="103" t="s">
        <v>5182</v>
      </c>
      <c r="F2250" s="3">
        <v>29303148800458</v>
      </c>
      <c r="G2250" s="103" t="s">
        <v>34</v>
      </c>
      <c r="H2250" s="103" t="s">
        <v>5183</v>
      </c>
      <c r="I2250" s="103" t="s">
        <v>4305</v>
      </c>
      <c r="J2250" s="45">
        <v>43703</v>
      </c>
      <c r="K2250" s="103" t="s">
        <v>8</v>
      </c>
      <c r="L2250" s="103" t="s">
        <v>12</v>
      </c>
      <c r="M2250" s="103" t="s">
        <v>4257</v>
      </c>
      <c r="N2250" s="103"/>
      <c r="R2250" s="77">
        <v>3</v>
      </c>
      <c r="S2250" s="77">
        <v>2.5</v>
      </c>
      <c r="T2250" s="77">
        <v>2</v>
      </c>
      <c r="U2250" s="77">
        <v>2.5</v>
      </c>
      <c r="V2250" s="77">
        <v>3</v>
      </c>
      <c r="W2250" s="103" t="s">
        <v>61</v>
      </c>
      <c r="X2250" s="103" t="s">
        <v>66</v>
      </c>
      <c r="Y2250" s="45">
        <v>43753</v>
      </c>
      <c r="Z2250" s="103" t="s">
        <v>66</v>
      </c>
      <c r="AA2250" s="45">
        <v>43754</v>
      </c>
      <c r="AB2250" s="103"/>
    </row>
    <row r="2251" spans="1:28">
      <c r="A2251" s="285"/>
      <c r="C2251" s="25">
        <v>141</v>
      </c>
      <c r="D2251" s="103">
        <v>24613</v>
      </c>
      <c r="E2251" s="103" t="s">
        <v>4961</v>
      </c>
      <c r="F2251" s="3">
        <v>29807142103559</v>
      </c>
      <c r="G2251" s="103" t="s">
        <v>4</v>
      </c>
      <c r="H2251" s="103" t="s">
        <v>4962</v>
      </c>
      <c r="I2251" s="103"/>
      <c r="J2251" s="45"/>
      <c r="K2251" s="103"/>
      <c r="L2251" s="103"/>
      <c r="M2251" s="103"/>
      <c r="N2251" s="103"/>
      <c r="R2251" s="77">
        <v>3</v>
      </c>
      <c r="S2251" s="77">
        <v>2.5</v>
      </c>
      <c r="T2251" s="77">
        <v>2.5</v>
      </c>
      <c r="U2251" s="77">
        <v>2.5</v>
      </c>
      <c r="V2251" s="77">
        <v>3</v>
      </c>
      <c r="W2251" s="103" t="s">
        <v>170</v>
      </c>
      <c r="X2251" s="103"/>
      <c r="Y2251" s="45">
        <v>43731</v>
      </c>
      <c r="Z2251" s="103" t="s">
        <v>66</v>
      </c>
      <c r="AA2251" s="45">
        <v>43737</v>
      </c>
      <c r="AB2251" s="103"/>
    </row>
    <row r="2252" spans="1:28" ht="15.75" thickBot="1">
      <c r="A2252" s="286"/>
      <c r="C2252" s="28">
        <v>141</v>
      </c>
      <c r="D2252" s="28">
        <v>24611</v>
      </c>
      <c r="E2252" s="28" t="s">
        <v>4957</v>
      </c>
      <c r="F2252" s="29">
        <v>28602012113469</v>
      </c>
      <c r="G2252" s="28" t="s">
        <v>34</v>
      </c>
      <c r="H2252" s="28" t="s">
        <v>4958</v>
      </c>
      <c r="I2252" s="28"/>
      <c r="J2252" s="30"/>
      <c r="K2252" s="28"/>
      <c r="L2252" s="28"/>
      <c r="M2252" s="28"/>
      <c r="N2252" s="28"/>
      <c r="O2252" s="226"/>
      <c r="P2252" s="28"/>
      <c r="Q2252" s="226"/>
      <c r="R2252" s="37">
        <v>3</v>
      </c>
      <c r="S2252" s="37">
        <v>2.5</v>
      </c>
      <c r="T2252" s="37">
        <v>2</v>
      </c>
      <c r="U2252" s="37">
        <v>2.5</v>
      </c>
      <c r="V2252" s="37">
        <v>3</v>
      </c>
      <c r="W2252" s="28" t="s">
        <v>171</v>
      </c>
      <c r="X2252" s="28"/>
      <c r="Y2252" s="30">
        <v>43731</v>
      </c>
      <c r="Z2252" s="28" t="s">
        <v>66</v>
      </c>
      <c r="AA2252" s="30">
        <v>43730</v>
      </c>
      <c r="AB2252" s="28"/>
    </row>
    <row r="2253" spans="1:28" ht="15.75" thickTop="1">
      <c r="A2253" s="284" t="s">
        <v>3120</v>
      </c>
      <c r="C2253" s="25">
        <v>142</v>
      </c>
      <c r="D2253" s="25">
        <v>25080</v>
      </c>
      <c r="E2253" s="25" t="s">
        <v>5144</v>
      </c>
      <c r="F2253" s="26">
        <v>29708191400501</v>
      </c>
      <c r="G2253" s="25" t="s">
        <v>34</v>
      </c>
      <c r="H2253" s="25" t="s">
        <v>5145</v>
      </c>
      <c r="I2253" s="25" t="s">
        <v>4315</v>
      </c>
      <c r="J2253" s="27">
        <v>43704</v>
      </c>
      <c r="K2253" s="25" t="s">
        <v>8</v>
      </c>
      <c r="L2253" s="25" t="s">
        <v>12</v>
      </c>
      <c r="M2253" s="25" t="s">
        <v>551</v>
      </c>
      <c r="N2253" s="25"/>
      <c r="O2253" s="224"/>
      <c r="P2253" s="25"/>
      <c r="Q2253" s="224"/>
      <c r="R2253" s="77">
        <v>3</v>
      </c>
      <c r="S2253" s="77">
        <v>2.5</v>
      </c>
      <c r="T2253" s="77">
        <v>3</v>
      </c>
      <c r="U2253" s="77">
        <v>2.5</v>
      </c>
      <c r="V2253" s="77">
        <v>3</v>
      </c>
      <c r="W2253" s="25" t="s">
        <v>60</v>
      </c>
      <c r="X2253" s="25"/>
      <c r="Y2253" s="27">
        <v>43732</v>
      </c>
      <c r="Z2253" s="25" t="s">
        <v>66</v>
      </c>
      <c r="AA2253" s="27">
        <v>43737</v>
      </c>
      <c r="AB2253" s="103"/>
    </row>
    <row r="2254" spans="1:28">
      <c r="A2254" s="285"/>
      <c r="C2254" s="25">
        <v>142</v>
      </c>
      <c r="D2254" s="103">
        <v>25081</v>
      </c>
      <c r="E2254" s="103" t="s">
        <v>5146</v>
      </c>
      <c r="F2254" s="3">
        <v>29709110100548</v>
      </c>
      <c r="G2254" s="103" t="s">
        <v>34</v>
      </c>
      <c r="H2254" s="103" t="s">
        <v>5147</v>
      </c>
      <c r="I2254" s="103" t="s">
        <v>4315</v>
      </c>
      <c r="J2254" s="45">
        <v>43704</v>
      </c>
      <c r="K2254" s="103" t="s">
        <v>8</v>
      </c>
      <c r="L2254" s="103" t="s">
        <v>12</v>
      </c>
      <c r="M2254" s="103" t="s">
        <v>4800</v>
      </c>
      <c r="N2254" s="103"/>
      <c r="R2254" s="77">
        <v>3</v>
      </c>
      <c r="S2254" s="77">
        <v>2.5</v>
      </c>
      <c r="T2254" s="77">
        <v>2.5</v>
      </c>
      <c r="U2254" s="77">
        <v>2</v>
      </c>
      <c r="V2254" s="77">
        <v>3</v>
      </c>
      <c r="W2254" s="103" t="s">
        <v>61</v>
      </c>
      <c r="X2254" s="103" t="s">
        <v>66</v>
      </c>
      <c r="Y2254" s="45">
        <v>43753</v>
      </c>
      <c r="Z2254" s="103" t="s">
        <v>66</v>
      </c>
      <c r="AA2254" s="45">
        <v>43787</v>
      </c>
      <c r="AB2254" s="103" t="s">
        <v>5490</v>
      </c>
    </row>
    <row r="2255" spans="1:28">
      <c r="A2255" s="285"/>
      <c r="C2255" s="25">
        <v>142</v>
      </c>
      <c r="D2255" s="103">
        <v>25082</v>
      </c>
      <c r="E2255" s="103" t="s">
        <v>5148</v>
      </c>
      <c r="F2255" s="3">
        <v>29101100101475</v>
      </c>
      <c r="G2255" s="103" t="s">
        <v>34</v>
      </c>
      <c r="H2255" s="103" t="s">
        <v>5149</v>
      </c>
      <c r="I2255" s="103" t="s">
        <v>4315</v>
      </c>
      <c r="J2255" s="45">
        <v>43704</v>
      </c>
      <c r="K2255" s="103" t="s">
        <v>8</v>
      </c>
      <c r="L2255" s="103" t="s">
        <v>12</v>
      </c>
      <c r="M2255" s="103" t="s">
        <v>4257</v>
      </c>
      <c r="N2255" s="103"/>
      <c r="R2255" s="103"/>
      <c r="S2255" s="103"/>
      <c r="T2255" s="103"/>
      <c r="U2255" s="103"/>
      <c r="V2255" s="103"/>
      <c r="W2255" s="103" t="s">
        <v>64</v>
      </c>
      <c r="X2255" s="103"/>
      <c r="Y2255" s="45"/>
      <c r="Z2255" s="103" t="s">
        <v>67</v>
      </c>
      <c r="AA2255" s="45"/>
      <c r="AB2255" s="103"/>
    </row>
    <row r="2256" spans="1:28">
      <c r="A2256" s="285"/>
      <c r="C2256" s="25">
        <v>142</v>
      </c>
      <c r="D2256" s="103">
        <v>25083</v>
      </c>
      <c r="E2256" s="103" t="s">
        <v>5150</v>
      </c>
      <c r="F2256" s="3">
        <v>29408258800506</v>
      </c>
      <c r="G2256" s="103" t="s">
        <v>34</v>
      </c>
      <c r="H2256" s="103" t="s">
        <v>5151</v>
      </c>
      <c r="I2256" s="103" t="s">
        <v>4315</v>
      </c>
      <c r="J2256" s="45">
        <v>43704</v>
      </c>
      <c r="K2256" s="103" t="s">
        <v>8</v>
      </c>
      <c r="L2256" s="103" t="s">
        <v>12</v>
      </c>
      <c r="M2256" s="103" t="s">
        <v>5152</v>
      </c>
      <c r="N2256" s="103"/>
      <c r="R2256" s="77">
        <v>3</v>
      </c>
      <c r="S2256" s="77">
        <v>2.5</v>
      </c>
      <c r="T2256" s="77">
        <v>3</v>
      </c>
      <c r="U2256" s="77">
        <v>2.5</v>
      </c>
      <c r="V2256" s="77">
        <v>3</v>
      </c>
      <c r="W2256" s="103" t="s">
        <v>170</v>
      </c>
      <c r="X2256" s="103"/>
      <c r="Y2256" s="45">
        <v>43732</v>
      </c>
      <c r="Z2256" s="103" t="s">
        <v>66</v>
      </c>
      <c r="AA2256" s="45">
        <v>43737</v>
      </c>
      <c r="AB2256" s="103"/>
    </row>
    <row r="2257" spans="1:28">
      <c r="A2257" s="285"/>
      <c r="C2257" s="25">
        <v>142</v>
      </c>
      <c r="D2257" s="103">
        <v>25084</v>
      </c>
      <c r="E2257" s="103" t="s">
        <v>5153</v>
      </c>
      <c r="F2257" s="3">
        <v>29806012112291</v>
      </c>
      <c r="G2257" s="103" t="s">
        <v>34</v>
      </c>
      <c r="H2257" s="103" t="s">
        <v>5154</v>
      </c>
      <c r="I2257" s="103" t="s">
        <v>4315</v>
      </c>
      <c r="J2257" s="45">
        <v>43704</v>
      </c>
      <c r="K2257" s="103" t="s">
        <v>8</v>
      </c>
      <c r="L2257" s="103" t="s">
        <v>12</v>
      </c>
      <c r="M2257" s="103" t="s">
        <v>5155</v>
      </c>
      <c r="N2257" s="103"/>
      <c r="R2257" s="77">
        <v>3</v>
      </c>
      <c r="S2257" s="77">
        <v>2.5</v>
      </c>
      <c r="T2257" s="77">
        <v>2</v>
      </c>
      <c r="U2257" s="77">
        <v>2</v>
      </c>
      <c r="V2257" s="77">
        <v>3</v>
      </c>
      <c r="W2257" s="103" t="s">
        <v>62</v>
      </c>
      <c r="X2257" s="103"/>
      <c r="Y2257" s="45">
        <v>43732</v>
      </c>
      <c r="Z2257" s="103" t="s">
        <v>67</v>
      </c>
      <c r="AA2257" s="45"/>
      <c r="AB2257" s="103" t="s">
        <v>5524</v>
      </c>
    </row>
    <row r="2258" spans="1:28">
      <c r="A2258" s="285"/>
      <c r="C2258" s="25">
        <v>142</v>
      </c>
      <c r="D2258" s="103">
        <v>25085</v>
      </c>
      <c r="E2258" s="103" t="s">
        <v>5156</v>
      </c>
      <c r="F2258" s="3">
        <v>29508200105951</v>
      </c>
      <c r="G2258" s="103" t="s">
        <v>34</v>
      </c>
      <c r="H2258" s="103" t="s">
        <v>5157</v>
      </c>
      <c r="I2258" s="103" t="s">
        <v>4315</v>
      </c>
      <c r="J2258" s="45">
        <v>43704</v>
      </c>
      <c r="K2258" s="103" t="s">
        <v>8</v>
      </c>
      <c r="L2258" s="103" t="s">
        <v>12</v>
      </c>
      <c r="M2258" s="103" t="s">
        <v>4480</v>
      </c>
      <c r="N2258" s="103"/>
      <c r="R2258" s="77">
        <v>3</v>
      </c>
      <c r="S2258" s="77">
        <v>2.5</v>
      </c>
      <c r="T2258" s="77">
        <v>2</v>
      </c>
      <c r="U2258" s="77">
        <v>2</v>
      </c>
      <c r="V2258" s="77">
        <v>3</v>
      </c>
      <c r="W2258" s="103" t="s">
        <v>62</v>
      </c>
      <c r="X2258" s="103"/>
      <c r="Y2258" s="45">
        <v>43732</v>
      </c>
      <c r="Z2258" s="103" t="s">
        <v>66</v>
      </c>
      <c r="AA2258" s="45">
        <v>43737</v>
      </c>
      <c r="AB2258" s="103" t="s">
        <v>3967</v>
      </c>
    </row>
    <row r="2259" spans="1:28">
      <c r="A2259" s="285"/>
      <c r="C2259" s="25">
        <v>142</v>
      </c>
      <c r="D2259" s="103">
        <v>25086</v>
      </c>
      <c r="E2259" s="103" t="s">
        <v>5158</v>
      </c>
      <c r="F2259" s="3">
        <v>29910231302102</v>
      </c>
      <c r="G2259" s="103" t="s">
        <v>4131</v>
      </c>
      <c r="H2259" s="103" t="s">
        <v>5159</v>
      </c>
      <c r="I2259" s="103" t="s">
        <v>4315</v>
      </c>
      <c r="J2259" s="45">
        <v>43704</v>
      </c>
      <c r="K2259" s="103" t="s">
        <v>8</v>
      </c>
      <c r="L2259" s="103" t="s">
        <v>12</v>
      </c>
      <c r="M2259" s="103" t="s">
        <v>103</v>
      </c>
      <c r="N2259" s="103"/>
      <c r="R2259" s="77">
        <v>3</v>
      </c>
      <c r="S2259" s="77">
        <v>2.5</v>
      </c>
      <c r="T2259" s="77">
        <v>3</v>
      </c>
      <c r="U2259" s="77">
        <v>2.5</v>
      </c>
      <c r="V2259" s="77">
        <v>3</v>
      </c>
      <c r="W2259" s="103" t="s">
        <v>60</v>
      </c>
      <c r="X2259" s="103"/>
      <c r="Y2259" s="45">
        <v>43732</v>
      </c>
      <c r="Z2259" s="103" t="s">
        <v>66</v>
      </c>
      <c r="AA2259" s="45">
        <v>43737</v>
      </c>
      <c r="AB2259" s="103"/>
    </row>
    <row r="2260" spans="1:28">
      <c r="A2260" s="285"/>
      <c r="C2260" s="25">
        <v>142</v>
      </c>
      <c r="D2260" s="103">
        <v>25087</v>
      </c>
      <c r="E2260" s="103" t="s">
        <v>5160</v>
      </c>
      <c r="F2260" s="3">
        <v>29607220101861</v>
      </c>
      <c r="G2260" s="103" t="s">
        <v>34</v>
      </c>
      <c r="H2260" s="103" t="s">
        <v>5161</v>
      </c>
      <c r="I2260" s="103" t="s">
        <v>4315</v>
      </c>
      <c r="J2260" s="45">
        <v>43704</v>
      </c>
      <c r="K2260" s="103" t="s">
        <v>8</v>
      </c>
      <c r="L2260" s="103" t="s">
        <v>12</v>
      </c>
      <c r="M2260" s="103" t="s">
        <v>4623</v>
      </c>
      <c r="N2260" s="103"/>
      <c r="R2260" s="77">
        <v>3</v>
      </c>
      <c r="S2260" s="77">
        <v>2.5</v>
      </c>
      <c r="T2260" s="77">
        <v>2.5</v>
      </c>
      <c r="U2260" s="77">
        <v>2</v>
      </c>
      <c r="V2260" s="77">
        <v>3</v>
      </c>
      <c r="W2260" s="103" t="s">
        <v>170</v>
      </c>
      <c r="X2260" s="103"/>
      <c r="Y2260" s="45">
        <v>43732</v>
      </c>
      <c r="Z2260" s="103" t="s">
        <v>66</v>
      </c>
      <c r="AA2260" s="45"/>
      <c r="AB2260" s="103" t="s">
        <v>3894</v>
      </c>
    </row>
    <row r="2261" spans="1:28">
      <c r="A2261" s="285"/>
      <c r="C2261" s="25">
        <v>142</v>
      </c>
      <c r="D2261" s="103">
        <v>24606</v>
      </c>
      <c r="E2261" s="103" t="s">
        <v>4947</v>
      </c>
      <c r="F2261" s="3">
        <v>29004100102638</v>
      </c>
      <c r="G2261" s="103" t="s">
        <v>34</v>
      </c>
      <c r="H2261" s="103" t="s">
        <v>4948</v>
      </c>
      <c r="I2261" s="103"/>
      <c r="J2261" s="45"/>
      <c r="K2261" s="103"/>
      <c r="L2261" s="103"/>
      <c r="M2261" s="103"/>
      <c r="N2261" s="103"/>
      <c r="R2261" s="77">
        <v>3</v>
      </c>
      <c r="S2261" s="77">
        <v>2.5</v>
      </c>
      <c r="T2261" s="77">
        <v>2</v>
      </c>
      <c r="U2261" s="77">
        <v>2.5</v>
      </c>
      <c r="V2261" s="77">
        <v>3</v>
      </c>
      <c r="W2261" s="103" t="s">
        <v>171</v>
      </c>
      <c r="X2261" s="103"/>
      <c r="Y2261" s="45">
        <v>43732</v>
      </c>
      <c r="Z2261" s="103" t="s">
        <v>66</v>
      </c>
      <c r="AA2261" s="45">
        <v>43754</v>
      </c>
      <c r="AB2261" s="103"/>
    </row>
    <row r="2262" spans="1:28">
      <c r="A2262" s="285"/>
      <c r="C2262" s="25">
        <v>142</v>
      </c>
      <c r="D2262" s="103">
        <v>24607</v>
      </c>
      <c r="E2262" s="103" t="s">
        <v>4949</v>
      </c>
      <c r="F2262" s="3">
        <v>29412190100184</v>
      </c>
      <c r="G2262" s="103" t="s">
        <v>34</v>
      </c>
      <c r="H2262" s="103" t="s">
        <v>4950</v>
      </c>
      <c r="I2262" s="103"/>
      <c r="J2262" s="45"/>
      <c r="K2262" s="103"/>
      <c r="L2262" s="103"/>
      <c r="M2262" s="103"/>
      <c r="N2262" s="103"/>
      <c r="R2262" s="77">
        <v>3</v>
      </c>
      <c r="S2262" s="77">
        <v>2.5</v>
      </c>
      <c r="T2262" s="77">
        <v>2</v>
      </c>
      <c r="U2262" s="77">
        <v>2</v>
      </c>
      <c r="V2262" s="77">
        <v>3</v>
      </c>
      <c r="W2262" s="103" t="s">
        <v>62</v>
      </c>
      <c r="X2262" s="103"/>
      <c r="Y2262" s="45">
        <v>43732</v>
      </c>
      <c r="Z2262" s="103" t="s">
        <v>66</v>
      </c>
      <c r="AA2262" s="45">
        <v>43746</v>
      </c>
      <c r="AB2262" s="103" t="s">
        <v>5465</v>
      </c>
    </row>
    <row r="2263" spans="1:28">
      <c r="A2263" s="285"/>
      <c r="C2263" s="25">
        <v>142</v>
      </c>
      <c r="D2263" s="103">
        <v>24610</v>
      </c>
      <c r="E2263" s="103" t="s">
        <v>4955</v>
      </c>
      <c r="F2263" s="3">
        <v>29208230101565</v>
      </c>
      <c r="G2263" s="103" t="s">
        <v>34</v>
      </c>
      <c r="H2263" s="103" t="s">
        <v>4956</v>
      </c>
      <c r="I2263" s="103"/>
      <c r="J2263" s="45"/>
      <c r="K2263" s="103"/>
      <c r="L2263" s="103"/>
      <c r="M2263" s="103"/>
      <c r="N2263" s="103"/>
      <c r="R2263" s="77">
        <v>3</v>
      </c>
      <c r="S2263" s="77">
        <v>2.5</v>
      </c>
      <c r="T2263" s="77">
        <v>2.5</v>
      </c>
      <c r="U2263" s="77">
        <v>2</v>
      </c>
      <c r="V2263" s="77">
        <v>3</v>
      </c>
      <c r="W2263" s="103" t="s">
        <v>4212</v>
      </c>
      <c r="X2263" s="103"/>
      <c r="Y2263" s="45">
        <v>43732</v>
      </c>
      <c r="Z2263" s="103" t="s">
        <v>66</v>
      </c>
      <c r="AA2263" s="45">
        <v>43740</v>
      </c>
      <c r="AB2263" s="103"/>
    </row>
    <row r="2264" spans="1:28">
      <c r="A2264" s="285"/>
      <c r="C2264" s="25">
        <v>142</v>
      </c>
      <c r="D2264" s="103">
        <v>24612</v>
      </c>
      <c r="E2264" s="103" t="s">
        <v>4959</v>
      </c>
      <c r="F2264" s="3">
        <v>30103090104398</v>
      </c>
      <c r="G2264" s="103" t="s">
        <v>4</v>
      </c>
      <c r="H2264" s="103" t="s">
        <v>4960</v>
      </c>
      <c r="I2264" s="103"/>
      <c r="J2264" s="45"/>
      <c r="K2264" s="103"/>
      <c r="L2264" s="103"/>
      <c r="M2264" s="103"/>
      <c r="N2264" s="103"/>
      <c r="R2264" s="77">
        <v>3</v>
      </c>
      <c r="S2264" s="77">
        <v>3</v>
      </c>
      <c r="T2264" s="77">
        <v>2.5</v>
      </c>
      <c r="U2264" s="77">
        <v>2.5</v>
      </c>
      <c r="V2264" s="77">
        <v>3</v>
      </c>
      <c r="W2264" s="103" t="s">
        <v>60</v>
      </c>
      <c r="X2264" s="103"/>
      <c r="Y2264" s="45">
        <v>43732</v>
      </c>
      <c r="Z2264" s="103" t="s">
        <v>66</v>
      </c>
      <c r="AA2264" s="45">
        <v>43737</v>
      </c>
      <c r="AB2264" s="103"/>
    </row>
    <row r="2265" spans="1:28">
      <c r="A2265" s="285"/>
      <c r="C2265" s="25">
        <v>142</v>
      </c>
      <c r="D2265" s="103">
        <v>25090</v>
      </c>
      <c r="E2265" s="103" t="s">
        <v>5162</v>
      </c>
      <c r="F2265" s="3" t="s">
        <v>5163</v>
      </c>
      <c r="G2265" s="103" t="s">
        <v>34</v>
      </c>
      <c r="H2265" s="103" t="s">
        <v>5164</v>
      </c>
      <c r="I2265" s="103" t="s">
        <v>4315</v>
      </c>
      <c r="J2265" s="45">
        <v>43704</v>
      </c>
      <c r="K2265" s="103" t="s">
        <v>8</v>
      </c>
      <c r="L2265" s="103" t="s">
        <v>12</v>
      </c>
      <c r="M2265" s="103" t="s">
        <v>103</v>
      </c>
      <c r="N2265" s="103"/>
      <c r="R2265" s="77">
        <v>3</v>
      </c>
      <c r="S2265" s="77">
        <v>2.5</v>
      </c>
      <c r="T2265" s="77">
        <v>2</v>
      </c>
      <c r="U2265" s="77">
        <v>1.5</v>
      </c>
      <c r="V2265" s="77">
        <v>3</v>
      </c>
      <c r="W2265" s="103" t="s">
        <v>3321</v>
      </c>
      <c r="X2265" s="103"/>
      <c r="Y2265" s="45">
        <v>43732</v>
      </c>
      <c r="Z2265" s="103" t="s">
        <v>66</v>
      </c>
      <c r="AA2265" s="45">
        <v>43746</v>
      </c>
      <c r="AB2265" s="103" t="s">
        <v>5467</v>
      </c>
    </row>
    <row r="2266" spans="1:28">
      <c r="A2266" s="285"/>
      <c r="C2266" s="25">
        <v>142</v>
      </c>
      <c r="D2266" s="103">
        <v>25091</v>
      </c>
      <c r="E2266" s="103" t="s">
        <v>5165</v>
      </c>
      <c r="F2266" s="3">
        <v>4160863</v>
      </c>
      <c r="G2266" s="103" t="s">
        <v>4652</v>
      </c>
      <c r="H2266" s="103" t="s">
        <v>5166</v>
      </c>
      <c r="I2266" s="103" t="s">
        <v>4315</v>
      </c>
      <c r="J2266" s="45">
        <v>43704</v>
      </c>
      <c r="K2266" s="103" t="s">
        <v>8</v>
      </c>
      <c r="L2266" s="103" t="s">
        <v>12</v>
      </c>
      <c r="M2266" s="103" t="s">
        <v>769</v>
      </c>
      <c r="N2266" s="103"/>
      <c r="R2266" s="77">
        <v>3</v>
      </c>
      <c r="S2266" s="77">
        <v>3</v>
      </c>
      <c r="T2266" s="77">
        <v>2.5</v>
      </c>
      <c r="U2266" s="77">
        <v>2.5</v>
      </c>
      <c r="V2266" s="77">
        <v>3</v>
      </c>
      <c r="W2266" s="103" t="s">
        <v>60</v>
      </c>
      <c r="X2266" s="103"/>
      <c r="Y2266" s="45">
        <v>43732</v>
      </c>
      <c r="Z2266" s="103" t="s">
        <v>66</v>
      </c>
      <c r="AA2266" s="45">
        <v>43737</v>
      </c>
      <c r="AB2266" s="103"/>
    </row>
    <row r="2267" spans="1:28" ht="15.75" thickBot="1">
      <c r="A2267" s="286"/>
      <c r="C2267" s="28">
        <v>142</v>
      </c>
      <c r="D2267" s="28">
        <v>25092</v>
      </c>
      <c r="E2267" s="28" t="s">
        <v>5167</v>
      </c>
      <c r="F2267" s="29">
        <v>29710011310725</v>
      </c>
      <c r="G2267" s="28" t="s">
        <v>34</v>
      </c>
      <c r="H2267" s="28" t="s">
        <v>5168</v>
      </c>
      <c r="I2267" s="28" t="s">
        <v>4315</v>
      </c>
      <c r="J2267" s="30">
        <v>43704</v>
      </c>
      <c r="K2267" s="28" t="s">
        <v>8</v>
      </c>
      <c r="L2267" s="28" t="s">
        <v>12</v>
      </c>
      <c r="M2267" s="28" t="s">
        <v>5169</v>
      </c>
      <c r="N2267" s="28"/>
      <c r="O2267" s="226"/>
      <c r="P2267" s="28"/>
      <c r="Q2267" s="226"/>
      <c r="R2267" s="37">
        <v>3</v>
      </c>
      <c r="S2267" s="37">
        <v>3</v>
      </c>
      <c r="T2267" s="37">
        <v>2.5</v>
      </c>
      <c r="U2267" s="37">
        <v>2.5</v>
      </c>
      <c r="V2267" s="37">
        <v>3</v>
      </c>
      <c r="W2267" s="28" t="s">
        <v>60</v>
      </c>
      <c r="X2267" s="28"/>
      <c r="Y2267" s="30">
        <v>43732</v>
      </c>
      <c r="Z2267" s="28" t="s">
        <v>66</v>
      </c>
      <c r="AA2267" s="30">
        <v>43737</v>
      </c>
      <c r="AB2267" s="28"/>
    </row>
    <row r="2268" spans="1:28" ht="15.75" thickTop="1">
      <c r="A2268" s="284" t="s">
        <v>4077</v>
      </c>
      <c r="C2268" s="2">
        <v>143</v>
      </c>
      <c r="D2268" s="2">
        <v>24995</v>
      </c>
      <c r="E2268" s="2" t="s">
        <v>4999</v>
      </c>
      <c r="F2268" s="3">
        <v>29801252103106</v>
      </c>
      <c r="G2268" s="2" t="s">
        <v>34</v>
      </c>
      <c r="H2268" s="2" t="s">
        <v>5015</v>
      </c>
      <c r="R2268" s="92">
        <v>3</v>
      </c>
      <c r="S2268" s="92">
        <v>2.5</v>
      </c>
      <c r="T2268" s="92">
        <v>2.5</v>
      </c>
      <c r="U2268" s="92">
        <v>2</v>
      </c>
      <c r="V2268" s="92">
        <v>3</v>
      </c>
      <c r="W2268" s="16" t="s">
        <v>170</v>
      </c>
      <c r="Y2268" s="7">
        <v>43739</v>
      </c>
      <c r="Z2268" s="16" t="s">
        <v>66</v>
      </c>
      <c r="AA2268" s="7">
        <v>43737</v>
      </c>
    </row>
    <row r="2269" spans="1:28">
      <c r="A2269" s="285"/>
      <c r="C2269" s="103">
        <v>143</v>
      </c>
      <c r="D2269" s="2">
        <v>24998</v>
      </c>
      <c r="E2269" s="2" t="s">
        <v>5002</v>
      </c>
      <c r="F2269" s="3">
        <v>29411012604091</v>
      </c>
      <c r="G2269" s="2" t="s">
        <v>4131</v>
      </c>
      <c r="H2269" s="2" t="s">
        <v>5018</v>
      </c>
      <c r="R2269" s="77">
        <v>3</v>
      </c>
      <c r="S2269" s="77">
        <v>2</v>
      </c>
      <c r="T2269" s="77">
        <v>2</v>
      </c>
      <c r="U2269" s="77">
        <v>2</v>
      </c>
      <c r="V2269" s="77">
        <v>3</v>
      </c>
      <c r="W2269" s="16" t="s">
        <v>62</v>
      </c>
      <c r="Y2269" s="7">
        <v>43739</v>
      </c>
      <c r="Z2269" s="16" t="s">
        <v>66</v>
      </c>
      <c r="AA2269" s="7">
        <v>43746</v>
      </c>
      <c r="AB2269" s="2" t="s">
        <v>4821</v>
      </c>
    </row>
    <row r="2270" spans="1:28">
      <c r="A2270" s="285"/>
      <c r="C2270" s="103">
        <v>143</v>
      </c>
      <c r="D2270" s="2">
        <v>24999</v>
      </c>
      <c r="E2270" s="2" t="s">
        <v>5003</v>
      </c>
      <c r="F2270" s="3">
        <v>29608240100581</v>
      </c>
      <c r="G2270" s="2" t="s">
        <v>34</v>
      </c>
      <c r="H2270" s="2" t="s">
        <v>5019</v>
      </c>
      <c r="R2270" s="77">
        <v>3</v>
      </c>
      <c r="S2270" s="77">
        <v>3</v>
      </c>
      <c r="T2270" s="77">
        <v>2.5</v>
      </c>
      <c r="U2270" s="77">
        <v>2.5</v>
      </c>
      <c r="V2270" s="77">
        <v>3</v>
      </c>
      <c r="W2270" s="16" t="s">
        <v>60</v>
      </c>
      <c r="Y2270" s="7">
        <v>43739</v>
      </c>
      <c r="Z2270" s="103" t="s">
        <v>66</v>
      </c>
      <c r="AA2270" s="45">
        <v>43737</v>
      </c>
    </row>
    <row r="2271" spans="1:28">
      <c r="A2271" s="285"/>
      <c r="C2271" s="103">
        <v>143</v>
      </c>
      <c r="D2271" s="2">
        <v>25000</v>
      </c>
      <c r="E2271" s="2" t="s">
        <v>5004</v>
      </c>
      <c r="F2271" s="3">
        <v>29904090104107</v>
      </c>
      <c r="G2271" s="2" t="s">
        <v>4025</v>
      </c>
      <c r="H2271" s="2" t="s">
        <v>5020</v>
      </c>
      <c r="R2271" s="77">
        <v>3</v>
      </c>
      <c r="S2271" s="77">
        <v>2.5</v>
      </c>
      <c r="T2271" s="77">
        <v>2.5</v>
      </c>
      <c r="U2271" s="77">
        <v>2.5</v>
      </c>
      <c r="V2271" s="77">
        <v>3</v>
      </c>
      <c r="W2271" s="16" t="s">
        <v>60</v>
      </c>
      <c r="Y2271" s="7">
        <v>43739</v>
      </c>
      <c r="Z2271" s="16" t="s">
        <v>66</v>
      </c>
      <c r="AA2271" s="7">
        <v>43737</v>
      </c>
    </row>
    <row r="2272" spans="1:28">
      <c r="A2272" s="285"/>
      <c r="C2272" s="103">
        <v>143</v>
      </c>
      <c r="D2272" s="2">
        <v>25002</v>
      </c>
      <c r="E2272" s="2" t="s">
        <v>5006</v>
      </c>
      <c r="F2272" s="3">
        <v>29708210101031</v>
      </c>
      <c r="G2272" s="2" t="s">
        <v>34</v>
      </c>
      <c r="H2272" s="2" t="s">
        <v>5022</v>
      </c>
      <c r="R2272" s="77">
        <v>3</v>
      </c>
      <c r="S2272" s="77">
        <v>2.5</v>
      </c>
      <c r="T2272" s="77">
        <v>2.5</v>
      </c>
      <c r="U2272" s="77">
        <v>2</v>
      </c>
      <c r="V2272" s="77">
        <v>3</v>
      </c>
      <c r="W2272" s="16" t="s">
        <v>170</v>
      </c>
      <c r="Y2272" s="7">
        <v>43739</v>
      </c>
      <c r="Z2272" s="16" t="s">
        <v>66</v>
      </c>
      <c r="AA2272" s="7">
        <v>43823</v>
      </c>
      <c r="AB2272" s="2" t="s">
        <v>5646</v>
      </c>
    </row>
    <row r="2273" spans="1:28">
      <c r="A2273" s="285"/>
      <c r="C2273" s="103">
        <v>143</v>
      </c>
      <c r="D2273" s="2">
        <v>25005</v>
      </c>
      <c r="E2273" s="2" t="s">
        <v>5009</v>
      </c>
      <c r="F2273" s="3">
        <v>29504230102331</v>
      </c>
      <c r="G2273" s="2" t="s">
        <v>34</v>
      </c>
      <c r="H2273" s="2" t="s">
        <v>5025</v>
      </c>
      <c r="R2273" s="77">
        <v>3</v>
      </c>
      <c r="S2273" s="77">
        <v>3</v>
      </c>
      <c r="T2273" s="77">
        <v>2.5</v>
      </c>
      <c r="U2273" s="77">
        <v>2.5</v>
      </c>
      <c r="V2273" s="77">
        <v>3</v>
      </c>
      <c r="W2273" s="16" t="s">
        <v>60</v>
      </c>
      <c r="Y2273" s="7">
        <v>43739</v>
      </c>
      <c r="Z2273" s="16" t="s">
        <v>66</v>
      </c>
      <c r="AA2273" s="45">
        <v>43737</v>
      </c>
    </row>
    <row r="2274" spans="1:28">
      <c r="A2274" s="285"/>
      <c r="C2274" s="103">
        <v>143</v>
      </c>
      <c r="D2274" s="2">
        <v>25006</v>
      </c>
      <c r="E2274" s="2" t="s">
        <v>5010</v>
      </c>
      <c r="F2274" s="3">
        <v>29701090202151</v>
      </c>
      <c r="G2274" s="2" t="s">
        <v>34</v>
      </c>
      <c r="H2274" s="2" t="s">
        <v>5026</v>
      </c>
      <c r="R2274" s="77">
        <v>3</v>
      </c>
      <c r="S2274" s="77">
        <v>2.5</v>
      </c>
      <c r="T2274" s="77">
        <v>2.5</v>
      </c>
      <c r="U2274" s="77">
        <v>2</v>
      </c>
      <c r="V2274" s="77">
        <v>3</v>
      </c>
      <c r="W2274" s="16" t="s">
        <v>170</v>
      </c>
      <c r="Y2274" s="7">
        <v>43739</v>
      </c>
      <c r="Z2274" s="16" t="s">
        <v>66</v>
      </c>
      <c r="AA2274" s="45">
        <v>43737</v>
      </c>
    </row>
    <row r="2275" spans="1:28">
      <c r="A2275" s="285"/>
      <c r="C2275" s="103">
        <v>143</v>
      </c>
      <c r="D2275" s="2">
        <v>25327</v>
      </c>
      <c r="E2275" s="2" t="s">
        <v>5189</v>
      </c>
      <c r="F2275" s="3">
        <v>29506282102544</v>
      </c>
      <c r="G2275" s="2" t="s">
        <v>34</v>
      </c>
      <c r="H2275" s="2" t="s">
        <v>5194</v>
      </c>
      <c r="I2275" s="2" t="s">
        <v>4315</v>
      </c>
      <c r="J2275" s="4">
        <v>43712</v>
      </c>
      <c r="K2275" s="2" t="s">
        <v>8</v>
      </c>
      <c r="L2275" s="2" t="s">
        <v>12</v>
      </c>
      <c r="M2275" s="2" t="s">
        <v>696</v>
      </c>
      <c r="R2275" s="77">
        <v>3</v>
      </c>
      <c r="S2275" s="77">
        <v>3</v>
      </c>
      <c r="T2275" s="77">
        <v>2</v>
      </c>
      <c r="U2275" s="77">
        <v>2</v>
      </c>
      <c r="V2275" s="77">
        <v>3</v>
      </c>
      <c r="W2275" s="103" t="s">
        <v>61</v>
      </c>
      <c r="X2275" s="2" t="s">
        <v>67</v>
      </c>
      <c r="Z2275" s="16" t="s">
        <v>66</v>
      </c>
      <c r="AB2275" s="2" t="s">
        <v>5377</v>
      </c>
    </row>
    <row r="2276" spans="1:28">
      <c r="A2276" s="285"/>
      <c r="C2276" s="103">
        <v>143</v>
      </c>
      <c r="D2276" s="2">
        <v>25328</v>
      </c>
      <c r="E2276" s="2" t="s">
        <v>5190</v>
      </c>
      <c r="F2276" s="3">
        <v>29602070103515</v>
      </c>
      <c r="G2276" s="2" t="s">
        <v>34</v>
      </c>
      <c r="H2276" s="8" t="s">
        <v>5283</v>
      </c>
      <c r="I2276" s="2" t="s">
        <v>4315</v>
      </c>
      <c r="J2276" s="4">
        <v>43712</v>
      </c>
      <c r="K2276" s="2" t="s">
        <v>8</v>
      </c>
      <c r="L2276" s="2" t="s">
        <v>12</v>
      </c>
      <c r="M2276" s="2" t="s">
        <v>4257</v>
      </c>
      <c r="R2276" s="77">
        <v>3</v>
      </c>
      <c r="S2276" s="77">
        <v>3</v>
      </c>
      <c r="T2276" s="77">
        <v>2</v>
      </c>
      <c r="U2276" s="77">
        <v>2.5</v>
      </c>
      <c r="V2276" s="77">
        <v>3</v>
      </c>
      <c r="W2276" s="16" t="s">
        <v>61</v>
      </c>
      <c r="Y2276" s="7">
        <v>43739</v>
      </c>
      <c r="Z2276" s="16" t="s">
        <v>66</v>
      </c>
      <c r="AA2276" s="7">
        <v>43754</v>
      </c>
    </row>
    <row r="2277" spans="1:28">
      <c r="A2277" s="285"/>
      <c r="C2277" s="103">
        <v>143</v>
      </c>
      <c r="D2277" s="2">
        <v>25329</v>
      </c>
      <c r="E2277" s="2" t="s">
        <v>5191</v>
      </c>
      <c r="F2277" s="3">
        <v>28902188800733</v>
      </c>
      <c r="G2277" s="2" t="s">
        <v>34</v>
      </c>
      <c r="H2277" s="2" t="s">
        <v>5195</v>
      </c>
      <c r="I2277" s="2" t="s">
        <v>4315</v>
      </c>
      <c r="J2277" s="4">
        <v>43712</v>
      </c>
      <c r="K2277" s="2" t="s">
        <v>8</v>
      </c>
      <c r="L2277" s="2" t="s">
        <v>12</v>
      </c>
      <c r="M2277" s="2" t="s">
        <v>696</v>
      </c>
      <c r="R2277" s="77">
        <v>3</v>
      </c>
      <c r="S2277" s="77">
        <v>3</v>
      </c>
      <c r="T2277" s="77">
        <v>2</v>
      </c>
      <c r="U2277" s="77">
        <v>2</v>
      </c>
      <c r="V2277" s="77">
        <v>3</v>
      </c>
      <c r="W2277" s="103" t="s">
        <v>61</v>
      </c>
      <c r="X2277" s="2" t="s">
        <v>67</v>
      </c>
      <c r="Z2277" s="16" t="s">
        <v>66</v>
      </c>
      <c r="AB2277" s="103" t="s">
        <v>5377</v>
      </c>
    </row>
    <row r="2278" spans="1:28">
      <c r="A2278" s="285"/>
      <c r="C2278" s="103">
        <v>143</v>
      </c>
      <c r="D2278" s="2">
        <v>25330</v>
      </c>
      <c r="E2278" s="2" t="s">
        <v>5192</v>
      </c>
      <c r="F2278" s="3">
        <v>29510011409315</v>
      </c>
      <c r="G2278" s="2" t="s">
        <v>34</v>
      </c>
      <c r="H2278" s="2" t="s">
        <v>5196</v>
      </c>
      <c r="I2278" s="2" t="s">
        <v>4315</v>
      </c>
      <c r="J2278" s="4">
        <v>43712</v>
      </c>
      <c r="K2278" s="2" t="s">
        <v>8</v>
      </c>
      <c r="L2278" s="2" t="s">
        <v>12</v>
      </c>
      <c r="M2278" s="2" t="s">
        <v>103</v>
      </c>
      <c r="R2278" s="77">
        <v>3</v>
      </c>
      <c r="S2278" s="77">
        <v>3</v>
      </c>
      <c r="T2278" s="77">
        <v>2.5</v>
      </c>
      <c r="U2278" s="77">
        <v>2.5</v>
      </c>
      <c r="V2278" s="77">
        <v>3</v>
      </c>
      <c r="W2278" s="16" t="s">
        <v>61</v>
      </c>
      <c r="X2278" s="2" t="s">
        <v>66</v>
      </c>
      <c r="Y2278" s="7">
        <v>43783</v>
      </c>
      <c r="Z2278" s="16" t="s">
        <v>66</v>
      </c>
      <c r="AA2278" s="7">
        <v>43787</v>
      </c>
    </row>
    <row r="2279" spans="1:28" ht="15.75" thickBot="1">
      <c r="A2279" s="286"/>
      <c r="C2279" s="28">
        <v>143</v>
      </c>
      <c r="D2279" s="28">
        <v>25331</v>
      </c>
      <c r="E2279" s="28" t="s">
        <v>5193</v>
      </c>
      <c r="F2279" s="29">
        <v>29712192101807</v>
      </c>
      <c r="G2279" s="28" t="s">
        <v>34</v>
      </c>
      <c r="H2279" s="28" t="s">
        <v>5197</v>
      </c>
      <c r="I2279" s="28" t="s">
        <v>4315</v>
      </c>
      <c r="J2279" s="30">
        <v>43712</v>
      </c>
      <c r="K2279" s="28" t="s">
        <v>8</v>
      </c>
      <c r="L2279" s="28" t="s">
        <v>12</v>
      </c>
      <c r="M2279" s="28" t="s">
        <v>551</v>
      </c>
      <c r="N2279" s="28"/>
      <c r="O2279" s="226"/>
      <c r="P2279" s="28"/>
      <c r="Q2279" s="226"/>
      <c r="R2279" s="37">
        <v>3</v>
      </c>
      <c r="S2279" s="37">
        <v>2.5</v>
      </c>
      <c r="T2279" s="37">
        <v>2.5</v>
      </c>
      <c r="U2279" s="37">
        <v>2.5</v>
      </c>
      <c r="V2279" s="37">
        <v>3</v>
      </c>
      <c r="W2279" s="28" t="s">
        <v>4212</v>
      </c>
      <c r="X2279" s="28" t="s">
        <v>66</v>
      </c>
      <c r="Y2279" s="30">
        <v>43783</v>
      </c>
      <c r="Z2279" s="28" t="s">
        <v>66</v>
      </c>
      <c r="AA2279" s="30">
        <v>43795</v>
      </c>
      <c r="AB2279" s="28"/>
    </row>
    <row r="2280" spans="1:28" ht="15.75" thickTop="1">
      <c r="A2280" s="284" t="s">
        <v>4519</v>
      </c>
      <c r="C2280" s="125" t="s">
        <v>5235</v>
      </c>
      <c r="D2280" s="25">
        <v>23375</v>
      </c>
      <c r="E2280" s="25" t="s">
        <v>4130</v>
      </c>
      <c r="F2280" s="26">
        <v>29711082101279</v>
      </c>
      <c r="G2280" s="25" t="s">
        <v>4131</v>
      </c>
      <c r="H2280" s="25" t="s">
        <v>5200</v>
      </c>
      <c r="I2280" s="25" t="s">
        <v>4305</v>
      </c>
      <c r="J2280" s="27">
        <v>43718</v>
      </c>
      <c r="K2280" s="25" t="s">
        <v>798</v>
      </c>
      <c r="L2280" s="25" t="s">
        <v>12</v>
      </c>
      <c r="M2280" s="25" t="s">
        <v>5123</v>
      </c>
      <c r="N2280" s="25"/>
      <c r="O2280" s="224"/>
      <c r="P2280" s="25"/>
      <c r="Q2280" s="224"/>
      <c r="R2280" s="77">
        <v>3</v>
      </c>
      <c r="S2280" s="77">
        <v>2.5</v>
      </c>
      <c r="T2280" s="77">
        <v>2</v>
      </c>
      <c r="U2280" s="77">
        <v>1.5</v>
      </c>
      <c r="V2280" s="77">
        <v>3</v>
      </c>
      <c r="W2280" s="25" t="s">
        <v>62</v>
      </c>
      <c r="X2280" s="25"/>
      <c r="Y2280" s="27">
        <v>43746</v>
      </c>
      <c r="Z2280" s="25" t="s">
        <v>66</v>
      </c>
      <c r="AA2280" s="27">
        <v>43786</v>
      </c>
      <c r="AB2280" s="25" t="s">
        <v>5287</v>
      </c>
    </row>
    <row r="2281" spans="1:28">
      <c r="A2281" s="285"/>
      <c r="C2281" s="25" t="s">
        <v>5235</v>
      </c>
      <c r="D2281" s="2">
        <v>25332</v>
      </c>
      <c r="E2281" s="2" t="s">
        <v>5201</v>
      </c>
      <c r="F2281" s="3">
        <v>28612042102718</v>
      </c>
      <c r="G2281" s="2" t="s">
        <v>129</v>
      </c>
      <c r="H2281" s="2" t="s">
        <v>5202</v>
      </c>
      <c r="I2281" s="2" t="s">
        <v>4315</v>
      </c>
      <c r="J2281" s="4">
        <v>43718</v>
      </c>
      <c r="K2281" s="2" t="s">
        <v>798</v>
      </c>
      <c r="L2281" s="2" t="s">
        <v>12</v>
      </c>
      <c r="M2281" s="2" t="s">
        <v>103</v>
      </c>
      <c r="R2281" s="77">
        <v>3</v>
      </c>
      <c r="S2281" s="77">
        <v>2.5</v>
      </c>
      <c r="T2281" s="77">
        <v>2</v>
      </c>
      <c r="U2281" s="77">
        <v>2</v>
      </c>
      <c r="V2281" s="77">
        <v>3</v>
      </c>
      <c r="W2281" s="16" t="s">
        <v>3321</v>
      </c>
      <c r="Y2281" s="7">
        <v>43746</v>
      </c>
      <c r="Z2281" s="16" t="s">
        <v>66</v>
      </c>
      <c r="AA2281" s="7">
        <v>43754</v>
      </c>
      <c r="AB2281" s="25" t="s">
        <v>5287</v>
      </c>
    </row>
    <row r="2282" spans="1:28">
      <c r="A2282" s="285"/>
      <c r="C2282" s="25" t="s">
        <v>5235</v>
      </c>
      <c r="D2282" s="2">
        <v>25333</v>
      </c>
      <c r="E2282" s="2" t="s">
        <v>5203</v>
      </c>
      <c r="F2282" s="3">
        <v>29211102100751</v>
      </c>
      <c r="G2282" s="2" t="s">
        <v>34</v>
      </c>
      <c r="H2282" s="2" t="s">
        <v>5204</v>
      </c>
      <c r="I2282" s="2" t="s">
        <v>4315</v>
      </c>
      <c r="J2282" s="4">
        <v>43718</v>
      </c>
      <c r="K2282" s="2" t="s">
        <v>798</v>
      </c>
      <c r="L2282" s="2" t="s">
        <v>12</v>
      </c>
      <c r="M2282" s="2" t="s">
        <v>5205</v>
      </c>
      <c r="W2282" s="103" t="s">
        <v>64</v>
      </c>
      <c r="Z2282" s="16" t="s">
        <v>67</v>
      </c>
    </row>
    <row r="2283" spans="1:28">
      <c r="A2283" s="285"/>
      <c r="C2283" s="25" t="s">
        <v>5235</v>
      </c>
      <c r="D2283" s="2">
        <v>25334</v>
      </c>
      <c r="E2283" s="2" t="s">
        <v>5206</v>
      </c>
      <c r="F2283" s="3">
        <v>29705168800285</v>
      </c>
      <c r="G2283" s="2" t="s">
        <v>129</v>
      </c>
      <c r="H2283" s="2" t="s">
        <v>5207</v>
      </c>
      <c r="I2283" s="2" t="s">
        <v>4315</v>
      </c>
      <c r="J2283" s="4">
        <v>43718</v>
      </c>
      <c r="K2283" s="2" t="s">
        <v>798</v>
      </c>
      <c r="L2283" s="2" t="s">
        <v>12</v>
      </c>
      <c r="M2283" s="2" t="s">
        <v>105</v>
      </c>
      <c r="R2283" s="77">
        <v>3</v>
      </c>
      <c r="S2283" s="77">
        <v>2.5</v>
      </c>
      <c r="T2283" s="77">
        <v>2</v>
      </c>
      <c r="U2283" s="77">
        <v>2</v>
      </c>
      <c r="V2283" s="77">
        <v>3</v>
      </c>
      <c r="W2283" s="16" t="s">
        <v>4970</v>
      </c>
      <c r="Y2283" s="7">
        <v>43746</v>
      </c>
    </row>
    <row r="2284" spans="1:28">
      <c r="A2284" s="285"/>
      <c r="C2284" s="25" t="s">
        <v>5235</v>
      </c>
      <c r="D2284" s="2">
        <v>25335</v>
      </c>
      <c r="E2284" s="2" t="s">
        <v>5208</v>
      </c>
      <c r="F2284" s="3">
        <v>28908300102783</v>
      </c>
      <c r="G2284" s="2" t="s">
        <v>129</v>
      </c>
      <c r="H2284" s="2" t="s">
        <v>5209</v>
      </c>
      <c r="I2284" s="2" t="s">
        <v>4315</v>
      </c>
      <c r="J2284" s="4">
        <v>43718</v>
      </c>
      <c r="K2284" s="2" t="s">
        <v>798</v>
      </c>
      <c r="L2284" s="2" t="s">
        <v>12</v>
      </c>
      <c r="M2284" s="2" t="s">
        <v>5210</v>
      </c>
      <c r="R2284" s="77">
        <v>3</v>
      </c>
      <c r="S2284" s="77">
        <v>2.5</v>
      </c>
      <c r="T2284" s="77">
        <v>2</v>
      </c>
      <c r="U2284" s="77">
        <v>2</v>
      </c>
      <c r="V2284" s="77">
        <v>3</v>
      </c>
      <c r="W2284" s="16" t="s">
        <v>62</v>
      </c>
      <c r="Y2284" s="7">
        <v>43746</v>
      </c>
      <c r="Z2284" s="16" t="s">
        <v>66</v>
      </c>
      <c r="AA2284" s="7">
        <v>43754</v>
      </c>
      <c r="AB2284" s="25" t="s">
        <v>5287</v>
      </c>
    </row>
    <row r="2285" spans="1:28">
      <c r="A2285" s="285"/>
      <c r="C2285" s="25" t="s">
        <v>5235</v>
      </c>
      <c r="D2285" s="2">
        <v>25336</v>
      </c>
      <c r="E2285" s="2" t="s">
        <v>5211</v>
      </c>
      <c r="F2285" s="3">
        <v>29501013200503</v>
      </c>
      <c r="G2285" s="2" t="s">
        <v>129</v>
      </c>
      <c r="H2285" s="2" t="s">
        <v>5212</v>
      </c>
      <c r="I2285" s="2" t="s">
        <v>4315</v>
      </c>
      <c r="J2285" s="4">
        <v>43718</v>
      </c>
      <c r="K2285" s="2" t="s">
        <v>798</v>
      </c>
      <c r="L2285" s="2" t="s">
        <v>12</v>
      </c>
      <c r="M2285" s="2" t="s">
        <v>4257</v>
      </c>
      <c r="R2285" s="77">
        <v>3</v>
      </c>
      <c r="S2285" s="77">
        <v>2.5</v>
      </c>
      <c r="T2285" s="77">
        <v>2</v>
      </c>
      <c r="U2285" s="77">
        <v>1.5</v>
      </c>
      <c r="V2285" s="77">
        <v>3</v>
      </c>
      <c r="W2285" s="103" t="s">
        <v>62</v>
      </c>
      <c r="Y2285" s="45">
        <v>43751</v>
      </c>
      <c r="Z2285" s="16" t="s">
        <v>66</v>
      </c>
      <c r="AA2285" s="7">
        <v>43760</v>
      </c>
      <c r="AB2285" s="2" t="s">
        <v>6352</v>
      </c>
    </row>
    <row r="2286" spans="1:28">
      <c r="A2286" s="285"/>
      <c r="C2286" s="25" t="s">
        <v>5235</v>
      </c>
      <c r="D2286" s="2">
        <v>25337</v>
      </c>
      <c r="E2286" s="2" t="s">
        <v>5213</v>
      </c>
      <c r="F2286" s="3">
        <v>29510010110367</v>
      </c>
      <c r="G2286" s="2" t="s">
        <v>4025</v>
      </c>
      <c r="H2286" s="2" t="s">
        <v>5214</v>
      </c>
      <c r="I2286" s="2" t="s">
        <v>4315</v>
      </c>
      <c r="J2286" s="4">
        <v>43718</v>
      </c>
      <c r="K2286" s="2" t="s">
        <v>798</v>
      </c>
      <c r="L2286" s="2" t="s">
        <v>12</v>
      </c>
      <c r="M2286" s="2" t="s">
        <v>4257</v>
      </c>
      <c r="R2286" s="77">
        <v>3</v>
      </c>
      <c r="S2286" s="77">
        <v>2</v>
      </c>
      <c r="T2286" s="77">
        <v>2</v>
      </c>
      <c r="U2286" s="77">
        <v>2</v>
      </c>
      <c r="V2286" s="77">
        <v>3</v>
      </c>
      <c r="W2286" s="16" t="s">
        <v>62</v>
      </c>
      <c r="Y2286" s="7">
        <v>43746</v>
      </c>
      <c r="Z2286" s="16" t="s">
        <v>66</v>
      </c>
      <c r="AA2286" s="7">
        <v>43782</v>
      </c>
      <c r="AB2286" s="25" t="s">
        <v>4821</v>
      </c>
    </row>
    <row r="2287" spans="1:28">
      <c r="A2287" s="285"/>
      <c r="C2287" s="25" t="s">
        <v>5235</v>
      </c>
      <c r="D2287" s="2">
        <v>25338</v>
      </c>
      <c r="E2287" s="2" t="s">
        <v>5215</v>
      </c>
      <c r="F2287" s="3">
        <v>29706122100609</v>
      </c>
      <c r="G2287" s="2" t="s">
        <v>129</v>
      </c>
      <c r="H2287" s="2" t="s">
        <v>5216</v>
      </c>
      <c r="I2287" s="2" t="s">
        <v>4315</v>
      </c>
      <c r="J2287" s="4">
        <v>43718</v>
      </c>
      <c r="K2287" s="2" t="s">
        <v>798</v>
      </c>
      <c r="L2287" s="2" t="s">
        <v>12</v>
      </c>
      <c r="M2287" s="2" t="s">
        <v>4669</v>
      </c>
      <c r="R2287" s="77">
        <v>3</v>
      </c>
      <c r="S2287" s="77">
        <v>2.5</v>
      </c>
      <c r="T2287" s="77">
        <v>2</v>
      </c>
      <c r="U2287" s="77">
        <v>2</v>
      </c>
      <c r="V2287" s="77">
        <v>3</v>
      </c>
      <c r="W2287" s="16" t="s">
        <v>62</v>
      </c>
      <c r="Y2287" s="7">
        <v>43746</v>
      </c>
      <c r="Z2287" s="16" t="s">
        <v>66</v>
      </c>
      <c r="AA2287" s="45">
        <v>43754</v>
      </c>
      <c r="AB2287" s="25" t="s">
        <v>5287</v>
      </c>
    </row>
    <row r="2288" spans="1:28">
      <c r="A2288" s="285"/>
      <c r="C2288" s="25" t="s">
        <v>5235</v>
      </c>
      <c r="D2288" s="2">
        <v>25339</v>
      </c>
      <c r="E2288" s="2" t="s">
        <v>5217</v>
      </c>
      <c r="F2288" s="3">
        <v>28408270101571</v>
      </c>
      <c r="G2288" s="2" t="s">
        <v>129</v>
      </c>
      <c r="H2288" s="2" t="s">
        <v>5218</v>
      </c>
      <c r="I2288" s="2" t="s">
        <v>4315</v>
      </c>
      <c r="J2288" s="4">
        <v>43718</v>
      </c>
      <c r="K2288" s="2" t="s">
        <v>798</v>
      </c>
      <c r="L2288" s="2" t="s">
        <v>12</v>
      </c>
      <c r="M2288" s="2" t="s">
        <v>4800</v>
      </c>
      <c r="R2288" s="77">
        <v>3</v>
      </c>
      <c r="S2288" s="77">
        <v>1.5</v>
      </c>
      <c r="T2288" s="77">
        <v>2</v>
      </c>
      <c r="U2288" s="77">
        <v>1.5</v>
      </c>
      <c r="V2288" s="77">
        <v>3</v>
      </c>
      <c r="W2288" s="16" t="s">
        <v>3818</v>
      </c>
      <c r="Y2288" s="7">
        <v>43746</v>
      </c>
    </row>
    <row r="2289" spans="1:28">
      <c r="A2289" s="285"/>
      <c r="C2289" s="25" t="s">
        <v>5235</v>
      </c>
      <c r="D2289" s="2">
        <v>25340</v>
      </c>
      <c r="E2289" s="2" t="s">
        <v>5219</v>
      </c>
      <c r="F2289" s="3">
        <v>28805118800633</v>
      </c>
      <c r="G2289" s="2" t="s">
        <v>129</v>
      </c>
      <c r="H2289" s="2" t="s">
        <v>5220</v>
      </c>
      <c r="I2289" s="2" t="s">
        <v>4315</v>
      </c>
      <c r="J2289" s="4">
        <v>43718</v>
      </c>
      <c r="K2289" s="2" t="s">
        <v>798</v>
      </c>
      <c r="L2289" s="2" t="s">
        <v>12</v>
      </c>
      <c r="M2289" s="2" t="s">
        <v>4527</v>
      </c>
      <c r="W2289" s="16" t="s">
        <v>63</v>
      </c>
      <c r="Z2289" s="103" t="s">
        <v>67</v>
      </c>
    </row>
    <row r="2290" spans="1:28">
      <c r="A2290" s="285"/>
      <c r="C2290" s="25" t="s">
        <v>5235</v>
      </c>
      <c r="D2290" s="2">
        <v>25341</v>
      </c>
      <c r="E2290" s="2" t="s">
        <v>5221</v>
      </c>
      <c r="F2290" s="3">
        <v>29609241300921</v>
      </c>
      <c r="G2290" s="2" t="s">
        <v>129</v>
      </c>
      <c r="H2290" s="2" t="s">
        <v>5222</v>
      </c>
      <c r="I2290" s="2" t="s">
        <v>4315</v>
      </c>
      <c r="J2290" s="4">
        <v>43718</v>
      </c>
      <c r="K2290" s="2" t="s">
        <v>798</v>
      </c>
      <c r="L2290" s="2" t="s">
        <v>12</v>
      </c>
      <c r="M2290" s="2" t="s">
        <v>5205</v>
      </c>
      <c r="W2290" s="103" t="s">
        <v>63</v>
      </c>
      <c r="Z2290" s="103" t="s">
        <v>67</v>
      </c>
    </row>
    <row r="2291" spans="1:28">
      <c r="A2291" s="285"/>
      <c r="C2291" s="25" t="s">
        <v>5235</v>
      </c>
      <c r="D2291" s="2">
        <v>25342</v>
      </c>
      <c r="E2291" s="2" t="s">
        <v>5223</v>
      </c>
      <c r="F2291" s="3">
        <v>29109102102321</v>
      </c>
      <c r="G2291" s="2" t="s">
        <v>129</v>
      </c>
      <c r="H2291" s="2" t="s">
        <v>5224</v>
      </c>
      <c r="I2291" s="2" t="s">
        <v>4315</v>
      </c>
      <c r="J2291" s="4">
        <v>43718</v>
      </c>
      <c r="K2291" s="2" t="s">
        <v>798</v>
      </c>
      <c r="L2291" s="2" t="s">
        <v>12</v>
      </c>
      <c r="M2291" s="2" t="s">
        <v>4257</v>
      </c>
      <c r="R2291" s="77">
        <v>3</v>
      </c>
      <c r="S2291" s="77">
        <v>2.5</v>
      </c>
      <c r="T2291" s="77">
        <v>1.5</v>
      </c>
      <c r="U2291" s="77">
        <v>1.5</v>
      </c>
      <c r="V2291" s="77">
        <v>3</v>
      </c>
      <c r="W2291" s="16" t="s">
        <v>3818</v>
      </c>
      <c r="Y2291" s="7">
        <v>43746</v>
      </c>
    </row>
    <row r="2292" spans="1:28">
      <c r="A2292" s="285"/>
      <c r="C2292" s="25" t="s">
        <v>5235</v>
      </c>
      <c r="D2292" s="2">
        <v>25343</v>
      </c>
      <c r="E2292" s="2" t="s">
        <v>5225</v>
      </c>
      <c r="F2292" s="3">
        <v>29906032301612</v>
      </c>
      <c r="G2292" s="2" t="s">
        <v>4</v>
      </c>
      <c r="H2292" s="2" t="s">
        <v>5226</v>
      </c>
      <c r="I2292" s="2" t="s">
        <v>4315</v>
      </c>
      <c r="J2292" s="4">
        <v>43718</v>
      </c>
      <c r="K2292" s="2" t="s">
        <v>798</v>
      </c>
      <c r="L2292" s="2" t="s">
        <v>12</v>
      </c>
      <c r="M2292" s="2" t="s">
        <v>4257</v>
      </c>
      <c r="R2292" s="77">
        <v>3</v>
      </c>
      <c r="S2292" s="77">
        <v>2</v>
      </c>
      <c r="T2292" s="77">
        <v>1</v>
      </c>
      <c r="U2292" s="77">
        <v>1</v>
      </c>
      <c r="V2292" s="77">
        <v>2.5</v>
      </c>
      <c r="W2292" s="16" t="s">
        <v>3818</v>
      </c>
      <c r="Y2292" s="7">
        <v>43746</v>
      </c>
    </row>
    <row r="2293" spans="1:28">
      <c r="A2293" s="285"/>
      <c r="C2293" s="25" t="s">
        <v>5235</v>
      </c>
      <c r="D2293" s="2">
        <v>25344</v>
      </c>
      <c r="E2293" s="2" t="s">
        <v>5227</v>
      </c>
      <c r="F2293" s="3">
        <v>29510010124651</v>
      </c>
      <c r="G2293" s="2" t="s">
        <v>129</v>
      </c>
      <c r="H2293" s="2" t="s">
        <v>5228</v>
      </c>
      <c r="I2293" s="2" t="s">
        <v>4315</v>
      </c>
      <c r="J2293" s="4">
        <v>43718</v>
      </c>
      <c r="K2293" s="2" t="s">
        <v>798</v>
      </c>
      <c r="L2293" s="2" t="s">
        <v>12</v>
      </c>
      <c r="M2293" s="2" t="s">
        <v>4480</v>
      </c>
      <c r="R2293" s="77">
        <v>3</v>
      </c>
      <c r="S2293" s="77">
        <v>3</v>
      </c>
      <c r="T2293" s="77">
        <v>2</v>
      </c>
      <c r="U2293" s="77">
        <v>2</v>
      </c>
      <c r="V2293" s="77">
        <v>3</v>
      </c>
      <c r="W2293" s="16" t="s">
        <v>3244</v>
      </c>
      <c r="Y2293" s="7">
        <v>43746</v>
      </c>
    </row>
    <row r="2294" spans="1:28">
      <c r="A2294" s="285"/>
      <c r="C2294" s="25" t="s">
        <v>5235</v>
      </c>
      <c r="D2294" s="2">
        <v>25345</v>
      </c>
      <c r="E2294" s="2" t="s">
        <v>5229</v>
      </c>
      <c r="F2294" s="3">
        <v>29506090102729</v>
      </c>
      <c r="G2294" s="2" t="s">
        <v>34</v>
      </c>
      <c r="H2294" s="2" t="s">
        <v>5230</v>
      </c>
      <c r="I2294" s="2" t="s">
        <v>4315</v>
      </c>
      <c r="J2294" s="4">
        <v>43718</v>
      </c>
      <c r="K2294" s="2" t="s">
        <v>798</v>
      </c>
      <c r="L2294" s="2" t="s">
        <v>12</v>
      </c>
      <c r="M2294" s="2" t="s">
        <v>4669</v>
      </c>
      <c r="R2294" s="77">
        <v>3</v>
      </c>
      <c r="S2294" s="77">
        <v>2.5</v>
      </c>
      <c r="T2294" s="77">
        <v>2</v>
      </c>
      <c r="U2294" s="77">
        <v>2</v>
      </c>
      <c r="V2294" s="77">
        <v>3</v>
      </c>
      <c r="W2294" s="16" t="s">
        <v>3244</v>
      </c>
      <c r="Y2294" s="7">
        <v>43746</v>
      </c>
    </row>
    <row r="2295" spans="1:28">
      <c r="A2295" s="285"/>
      <c r="C2295" s="25" t="s">
        <v>5235</v>
      </c>
      <c r="D2295" s="2">
        <v>25346</v>
      </c>
      <c r="E2295" s="2" t="s">
        <v>5231</v>
      </c>
      <c r="F2295" s="3">
        <v>29210251301186</v>
      </c>
      <c r="G2295" s="2" t="s">
        <v>129</v>
      </c>
      <c r="H2295" s="2" t="s">
        <v>5232</v>
      </c>
      <c r="I2295" s="2" t="s">
        <v>4315</v>
      </c>
      <c r="J2295" s="4">
        <v>43718</v>
      </c>
      <c r="K2295" s="2" t="s">
        <v>798</v>
      </c>
      <c r="L2295" s="2" t="s">
        <v>12</v>
      </c>
      <c r="M2295" s="2" t="s">
        <v>4257</v>
      </c>
      <c r="R2295" s="77">
        <v>3</v>
      </c>
      <c r="S2295" s="77">
        <v>2</v>
      </c>
      <c r="T2295" s="77">
        <v>2</v>
      </c>
      <c r="U2295" s="77">
        <v>2</v>
      </c>
      <c r="V2295" s="77">
        <v>3</v>
      </c>
      <c r="W2295" s="16" t="s">
        <v>62</v>
      </c>
      <c r="Y2295" s="7">
        <v>43746</v>
      </c>
      <c r="Z2295" s="16" t="s">
        <v>66</v>
      </c>
      <c r="AA2295" s="7">
        <v>43754</v>
      </c>
      <c r="AB2295" s="25" t="s">
        <v>5287</v>
      </c>
    </row>
    <row r="2296" spans="1:28" ht="15.75" thickBot="1">
      <c r="A2296" s="286"/>
      <c r="C2296" s="38" t="s">
        <v>5235</v>
      </c>
      <c r="D2296" s="28">
        <v>25347</v>
      </c>
      <c r="E2296" s="28" t="s">
        <v>5233</v>
      </c>
      <c r="F2296" s="29">
        <v>28712171701193</v>
      </c>
      <c r="G2296" s="28" t="s">
        <v>129</v>
      </c>
      <c r="H2296" s="28" t="s">
        <v>5234</v>
      </c>
      <c r="I2296" s="28" t="s">
        <v>4315</v>
      </c>
      <c r="J2296" s="30">
        <v>43718</v>
      </c>
      <c r="K2296" s="28" t="s">
        <v>798</v>
      </c>
      <c r="L2296" s="28" t="s">
        <v>12</v>
      </c>
      <c r="M2296" s="28" t="s">
        <v>103</v>
      </c>
      <c r="N2296" s="28"/>
      <c r="O2296" s="226"/>
      <c r="P2296" s="28"/>
      <c r="Q2296" s="226"/>
      <c r="R2296" s="37">
        <v>3</v>
      </c>
      <c r="S2296" s="37">
        <v>2</v>
      </c>
      <c r="T2296" s="37">
        <v>2</v>
      </c>
      <c r="U2296" s="37">
        <v>2</v>
      </c>
      <c r="V2296" s="37">
        <v>3</v>
      </c>
      <c r="W2296" s="28" t="s">
        <v>3321</v>
      </c>
      <c r="X2296" s="28"/>
      <c r="Y2296" s="30">
        <v>43746</v>
      </c>
      <c r="Z2296" s="28" t="s">
        <v>67</v>
      </c>
      <c r="AA2296" s="30"/>
      <c r="AB2296" s="28" t="s">
        <v>5809</v>
      </c>
    </row>
    <row r="2297" spans="1:28" ht="15.75" thickTop="1">
      <c r="A2297" s="284" t="s">
        <v>5262</v>
      </c>
      <c r="C2297" s="25">
        <v>144</v>
      </c>
      <c r="D2297" s="25">
        <v>25361</v>
      </c>
      <c r="E2297" s="25" t="s">
        <v>5236</v>
      </c>
      <c r="F2297" s="26">
        <v>28107010400893</v>
      </c>
      <c r="G2297" s="25" t="s">
        <v>34</v>
      </c>
      <c r="H2297" s="25" t="s">
        <v>5247</v>
      </c>
      <c r="I2297" s="25" t="s">
        <v>4315</v>
      </c>
      <c r="J2297" s="27">
        <v>43723</v>
      </c>
      <c r="K2297" s="25" t="s">
        <v>8</v>
      </c>
      <c r="L2297" s="25" t="s">
        <v>12</v>
      </c>
      <c r="M2297" s="25" t="s">
        <v>551</v>
      </c>
      <c r="N2297" s="25"/>
      <c r="O2297" s="224"/>
      <c r="P2297" s="25"/>
      <c r="Q2297" s="224"/>
      <c r="R2297" s="25"/>
      <c r="S2297" s="25"/>
      <c r="T2297" s="25"/>
      <c r="U2297" s="25"/>
      <c r="V2297" s="25"/>
      <c r="W2297" s="25" t="s">
        <v>64</v>
      </c>
      <c r="X2297" s="25"/>
      <c r="Y2297" s="27"/>
      <c r="Z2297" s="25" t="s">
        <v>67</v>
      </c>
      <c r="AA2297" s="27"/>
      <c r="AB2297" s="25" t="s">
        <v>6586</v>
      </c>
    </row>
    <row r="2298" spans="1:28">
      <c r="A2298" s="285"/>
      <c r="C2298" s="25">
        <v>144</v>
      </c>
      <c r="D2298" s="2">
        <v>25362</v>
      </c>
      <c r="E2298" s="2" t="s">
        <v>5237</v>
      </c>
      <c r="F2298" s="3">
        <v>29303188800272</v>
      </c>
      <c r="G2298" s="2" t="s">
        <v>184</v>
      </c>
      <c r="H2298" s="2" t="s">
        <v>5248</v>
      </c>
      <c r="I2298" s="2" t="s">
        <v>4315</v>
      </c>
      <c r="J2298" s="4">
        <v>43723</v>
      </c>
      <c r="K2298" s="2" t="s">
        <v>8</v>
      </c>
      <c r="L2298" s="2" t="s">
        <v>12</v>
      </c>
      <c r="M2298" s="2" t="s">
        <v>4706</v>
      </c>
      <c r="R2298" s="77">
        <v>3</v>
      </c>
      <c r="S2298" s="77">
        <v>3</v>
      </c>
      <c r="T2298" s="77">
        <v>2.5</v>
      </c>
      <c r="U2298" s="77">
        <v>2.5</v>
      </c>
      <c r="V2298" s="77">
        <v>3</v>
      </c>
      <c r="W2298" s="16" t="s">
        <v>60</v>
      </c>
      <c r="Y2298" s="7">
        <v>43751</v>
      </c>
      <c r="Z2298" s="16" t="s">
        <v>66</v>
      </c>
      <c r="AA2298" s="7">
        <v>43753</v>
      </c>
    </row>
    <row r="2299" spans="1:28">
      <c r="A2299" s="285"/>
      <c r="C2299" s="25">
        <v>144</v>
      </c>
      <c r="D2299" s="2">
        <v>25363</v>
      </c>
      <c r="E2299" s="2" t="s">
        <v>5238</v>
      </c>
      <c r="F2299" s="3">
        <v>29601012717647</v>
      </c>
      <c r="G2299" s="2" t="s">
        <v>34</v>
      </c>
      <c r="H2299" s="2" t="s">
        <v>5249</v>
      </c>
      <c r="I2299" s="2" t="s">
        <v>4315</v>
      </c>
      <c r="J2299" s="4">
        <v>43723</v>
      </c>
      <c r="K2299" s="2" t="s">
        <v>8</v>
      </c>
      <c r="L2299" s="2" t="s">
        <v>12</v>
      </c>
      <c r="M2299" s="2" t="s">
        <v>4257</v>
      </c>
      <c r="R2299" s="77">
        <v>3</v>
      </c>
      <c r="S2299" s="77">
        <v>2.5</v>
      </c>
      <c r="T2299" s="77">
        <v>2</v>
      </c>
      <c r="U2299" s="77">
        <v>2.5</v>
      </c>
      <c r="V2299" s="77">
        <v>3</v>
      </c>
      <c r="W2299" s="16" t="s">
        <v>171</v>
      </c>
      <c r="Y2299" s="45">
        <v>43751</v>
      </c>
      <c r="Z2299" s="16" t="s">
        <v>66</v>
      </c>
      <c r="AA2299" s="7">
        <v>43754</v>
      </c>
    </row>
    <row r="2300" spans="1:28">
      <c r="A2300" s="285"/>
      <c r="C2300" s="25">
        <v>144</v>
      </c>
      <c r="D2300" s="2">
        <v>25364</v>
      </c>
      <c r="E2300" s="2" t="s">
        <v>5239</v>
      </c>
      <c r="F2300" s="3">
        <v>29608032103771</v>
      </c>
      <c r="G2300" s="2" t="s">
        <v>34</v>
      </c>
      <c r="H2300" s="2" t="s">
        <v>5250</v>
      </c>
      <c r="I2300" s="2" t="s">
        <v>4315</v>
      </c>
      <c r="J2300" s="4">
        <v>43723</v>
      </c>
      <c r="K2300" s="2" t="s">
        <v>8</v>
      </c>
      <c r="L2300" s="2" t="s">
        <v>12</v>
      </c>
      <c r="M2300" s="2" t="s">
        <v>4830</v>
      </c>
      <c r="R2300" s="77">
        <v>3</v>
      </c>
      <c r="S2300" s="77">
        <v>3</v>
      </c>
      <c r="T2300" s="77">
        <v>2.5</v>
      </c>
      <c r="U2300" s="77">
        <v>2.5</v>
      </c>
      <c r="V2300" s="77">
        <v>3</v>
      </c>
      <c r="W2300" s="16" t="s">
        <v>502</v>
      </c>
      <c r="X2300" s="2" t="s">
        <v>66</v>
      </c>
      <c r="Y2300" s="45">
        <v>43783</v>
      </c>
      <c r="Z2300" s="16" t="s">
        <v>66</v>
      </c>
      <c r="AA2300" s="7">
        <v>43795</v>
      </c>
      <c r="AB2300" s="2" t="s">
        <v>5319</v>
      </c>
    </row>
    <row r="2301" spans="1:28">
      <c r="A2301" s="285"/>
      <c r="C2301" s="25">
        <v>144</v>
      </c>
      <c r="D2301" s="2">
        <v>25365</v>
      </c>
      <c r="E2301" s="2" t="s">
        <v>5240</v>
      </c>
      <c r="F2301" s="3">
        <v>29609242403341</v>
      </c>
      <c r="G2301" s="2" t="s">
        <v>34</v>
      </c>
      <c r="H2301" s="2" t="s">
        <v>5251</v>
      </c>
      <c r="I2301" s="2" t="s">
        <v>4315</v>
      </c>
      <c r="J2301" s="4">
        <v>43723</v>
      </c>
      <c r="K2301" s="2" t="s">
        <v>8</v>
      </c>
      <c r="L2301" s="2" t="s">
        <v>12</v>
      </c>
      <c r="M2301" s="2" t="s">
        <v>4923</v>
      </c>
      <c r="R2301" s="77">
        <v>3</v>
      </c>
      <c r="S2301" s="77">
        <v>2</v>
      </c>
      <c r="T2301" s="77">
        <v>2</v>
      </c>
      <c r="U2301" s="77">
        <v>2</v>
      </c>
      <c r="V2301" s="77">
        <v>3</v>
      </c>
      <c r="W2301" s="16" t="s">
        <v>62</v>
      </c>
      <c r="Y2301" s="45">
        <v>43751</v>
      </c>
      <c r="Z2301" s="16" t="s">
        <v>66</v>
      </c>
      <c r="AA2301" s="7">
        <v>43754</v>
      </c>
      <c r="AB2301" s="25" t="s">
        <v>5287</v>
      </c>
    </row>
    <row r="2302" spans="1:28">
      <c r="A2302" s="285"/>
      <c r="C2302" s="25">
        <v>144</v>
      </c>
      <c r="D2302" s="2">
        <v>25366</v>
      </c>
      <c r="E2302" s="2" t="s">
        <v>5241</v>
      </c>
      <c r="F2302" s="3">
        <v>30005272102844</v>
      </c>
      <c r="G2302" s="2" t="s">
        <v>3911</v>
      </c>
      <c r="H2302" s="2" t="s">
        <v>5252</v>
      </c>
      <c r="I2302" s="2" t="s">
        <v>4315</v>
      </c>
      <c r="J2302" s="4">
        <v>43723</v>
      </c>
      <c r="K2302" s="2" t="s">
        <v>8</v>
      </c>
      <c r="L2302" s="2" t="s">
        <v>12</v>
      </c>
      <c r="M2302" s="2" t="s">
        <v>769</v>
      </c>
      <c r="W2302" s="25" t="s">
        <v>64</v>
      </c>
      <c r="Z2302" s="16" t="s">
        <v>67</v>
      </c>
    </row>
    <row r="2303" spans="1:28">
      <c r="A2303" s="285"/>
      <c r="C2303" s="25">
        <v>144</v>
      </c>
      <c r="D2303" s="2">
        <v>25367</v>
      </c>
      <c r="E2303" s="2" t="s">
        <v>5242</v>
      </c>
      <c r="F2303" s="3">
        <v>29510160100963</v>
      </c>
      <c r="G2303" s="2" t="s">
        <v>34</v>
      </c>
      <c r="H2303" s="2" t="s">
        <v>5253</v>
      </c>
      <c r="I2303" s="2" t="s">
        <v>4315</v>
      </c>
      <c r="J2303" s="4">
        <v>43723</v>
      </c>
      <c r="K2303" s="2" t="s">
        <v>8</v>
      </c>
      <c r="L2303" s="2" t="s">
        <v>12</v>
      </c>
      <c r="M2303" s="2" t="s">
        <v>769</v>
      </c>
      <c r="R2303" s="77">
        <v>3</v>
      </c>
      <c r="S2303" s="77">
        <v>3</v>
      </c>
      <c r="T2303" s="77">
        <v>2</v>
      </c>
      <c r="U2303" s="77">
        <v>2.5</v>
      </c>
      <c r="V2303" s="77">
        <v>3</v>
      </c>
      <c r="W2303" s="16" t="s">
        <v>61</v>
      </c>
      <c r="Y2303" s="45">
        <v>43751</v>
      </c>
      <c r="Z2303" s="16" t="s">
        <v>66</v>
      </c>
      <c r="AA2303" s="7">
        <v>43754</v>
      </c>
    </row>
    <row r="2304" spans="1:28">
      <c r="A2304" s="285"/>
      <c r="C2304" s="25">
        <v>144</v>
      </c>
      <c r="D2304" s="2">
        <v>25368</v>
      </c>
      <c r="E2304" s="2" t="s">
        <v>5243</v>
      </c>
      <c r="F2304" s="3">
        <v>29110162100407</v>
      </c>
      <c r="G2304" s="2" t="s">
        <v>34</v>
      </c>
      <c r="H2304" s="2" t="s">
        <v>5254</v>
      </c>
      <c r="I2304" s="2" t="s">
        <v>4315</v>
      </c>
      <c r="J2304" s="4">
        <v>43723</v>
      </c>
      <c r="K2304" s="2" t="s">
        <v>8</v>
      </c>
      <c r="L2304" s="2" t="s">
        <v>12</v>
      </c>
      <c r="M2304" s="2" t="s">
        <v>4623</v>
      </c>
      <c r="W2304" s="25" t="s">
        <v>64</v>
      </c>
      <c r="Z2304" s="16" t="s">
        <v>67</v>
      </c>
    </row>
    <row r="2305" spans="1:28">
      <c r="A2305" s="285"/>
      <c r="C2305" s="25">
        <v>144</v>
      </c>
      <c r="D2305" s="2">
        <v>25369</v>
      </c>
      <c r="E2305" s="2" t="s">
        <v>5244</v>
      </c>
      <c r="F2305" s="3">
        <v>28405032102374</v>
      </c>
      <c r="G2305" s="2" t="s">
        <v>34</v>
      </c>
      <c r="H2305" s="2" t="s">
        <v>5255</v>
      </c>
      <c r="I2305" s="2" t="s">
        <v>4315</v>
      </c>
      <c r="J2305" s="4">
        <v>43723</v>
      </c>
      <c r="K2305" s="2" t="s">
        <v>8</v>
      </c>
      <c r="L2305" s="2" t="s">
        <v>12</v>
      </c>
      <c r="M2305" s="2" t="s">
        <v>4830</v>
      </c>
      <c r="R2305" s="77">
        <v>3</v>
      </c>
      <c r="S2305" s="77">
        <v>2</v>
      </c>
      <c r="T2305" s="77">
        <v>2</v>
      </c>
      <c r="U2305" s="77">
        <v>2</v>
      </c>
      <c r="V2305" s="77">
        <v>3</v>
      </c>
      <c r="W2305" s="16" t="s">
        <v>62</v>
      </c>
      <c r="Y2305" s="45">
        <v>43751</v>
      </c>
      <c r="Z2305" s="16" t="s">
        <v>66</v>
      </c>
      <c r="AA2305" s="7">
        <v>43754</v>
      </c>
      <c r="AB2305" s="25" t="s">
        <v>5287</v>
      </c>
    </row>
    <row r="2306" spans="1:28">
      <c r="A2306" s="285"/>
      <c r="C2306" s="25">
        <v>144</v>
      </c>
      <c r="D2306" s="2">
        <v>25370</v>
      </c>
      <c r="E2306" s="2" t="s">
        <v>5245</v>
      </c>
      <c r="F2306" s="3">
        <v>29708138800646</v>
      </c>
      <c r="G2306" s="2" t="s">
        <v>34</v>
      </c>
      <c r="H2306" s="2" t="s">
        <v>5256</v>
      </c>
      <c r="I2306" s="2" t="s">
        <v>4315</v>
      </c>
      <c r="J2306" s="4">
        <v>43723</v>
      </c>
      <c r="K2306" s="2" t="s">
        <v>8</v>
      </c>
      <c r="L2306" s="2" t="s">
        <v>12</v>
      </c>
      <c r="M2306" s="2" t="s">
        <v>5246</v>
      </c>
      <c r="R2306" s="77">
        <v>3</v>
      </c>
      <c r="S2306" s="77">
        <v>3</v>
      </c>
      <c r="T2306" s="77">
        <v>2.5</v>
      </c>
      <c r="U2306" s="77">
        <v>2</v>
      </c>
      <c r="V2306" s="77">
        <v>3</v>
      </c>
      <c r="W2306" s="16" t="s">
        <v>4212</v>
      </c>
      <c r="X2306" s="2" t="s">
        <v>66</v>
      </c>
      <c r="Y2306" s="45">
        <v>43783</v>
      </c>
      <c r="Z2306" s="16" t="s">
        <v>66</v>
      </c>
      <c r="AA2306" s="7">
        <v>43795</v>
      </c>
    </row>
    <row r="2307" spans="1:28">
      <c r="A2307" s="285"/>
      <c r="C2307" s="25">
        <v>144</v>
      </c>
      <c r="D2307" s="103">
        <v>25027</v>
      </c>
      <c r="E2307" s="103" t="s">
        <v>5066</v>
      </c>
      <c r="F2307" s="3">
        <v>29010011713054</v>
      </c>
      <c r="G2307" s="103" t="s">
        <v>34</v>
      </c>
      <c r="H2307" s="103" t="s">
        <v>5067</v>
      </c>
      <c r="R2307" s="77">
        <v>3</v>
      </c>
      <c r="S2307" s="77">
        <v>2.5</v>
      </c>
      <c r="T2307" s="77">
        <v>2.5</v>
      </c>
      <c r="U2307" s="77">
        <v>2.5</v>
      </c>
      <c r="V2307" s="77">
        <v>3</v>
      </c>
      <c r="W2307" s="16" t="s">
        <v>170</v>
      </c>
      <c r="Y2307" s="45">
        <v>43751</v>
      </c>
      <c r="Z2307" s="16" t="s">
        <v>66</v>
      </c>
      <c r="AA2307" s="7">
        <v>43753</v>
      </c>
    </row>
    <row r="2308" spans="1:28">
      <c r="A2308" s="285"/>
      <c r="C2308" s="25">
        <v>144</v>
      </c>
      <c r="D2308" s="103">
        <v>25030</v>
      </c>
      <c r="E2308" s="103" t="s">
        <v>5072</v>
      </c>
      <c r="F2308" s="3">
        <v>29108010206574</v>
      </c>
      <c r="G2308" s="103" t="s">
        <v>34</v>
      </c>
      <c r="H2308" s="103" t="s">
        <v>5073</v>
      </c>
      <c r="R2308" s="77">
        <v>3</v>
      </c>
      <c r="S2308" s="77">
        <v>2.5</v>
      </c>
      <c r="T2308" s="77">
        <v>2</v>
      </c>
      <c r="U2308" s="77">
        <v>2</v>
      </c>
      <c r="V2308" s="77">
        <v>3</v>
      </c>
      <c r="W2308" s="16" t="s">
        <v>62</v>
      </c>
      <c r="Y2308" s="45">
        <v>43751</v>
      </c>
      <c r="Z2308" s="16" t="s">
        <v>66</v>
      </c>
      <c r="AA2308" s="7">
        <v>43754</v>
      </c>
      <c r="AB2308" s="25" t="s">
        <v>5287</v>
      </c>
    </row>
    <row r="2309" spans="1:28">
      <c r="A2309" s="285"/>
      <c r="C2309" s="25">
        <v>144</v>
      </c>
      <c r="D2309" s="103">
        <v>25036</v>
      </c>
      <c r="E2309" s="103" t="s">
        <v>5084</v>
      </c>
      <c r="F2309" s="3">
        <v>29409052300091</v>
      </c>
      <c r="G2309" s="103" t="s">
        <v>34</v>
      </c>
      <c r="H2309" s="103" t="s">
        <v>5085</v>
      </c>
      <c r="R2309" s="77">
        <v>3</v>
      </c>
      <c r="S2309" s="77">
        <v>2.5</v>
      </c>
      <c r="T2309" s="77">
        <v>2.5</v>
      </c>
      <c r="U2309" s="77">
        <v>2.5</v>
      </c>
      <c r="V2309" s="77">
        <v>3</v>
      </c>
      <c r="W2309" s="16" t="s">
        <v>170</v>
      </c>
      <c r="Y2309" s="45">
        <v>43751</v>
      </c>
      <c r="Z2309" s="16" t="s">
        <v>66</v>
      </c>
      <c r="AA2309" s="7">
        <v>43753</v>
      </c>
    </row>
    <row r="2310" spans="1:28">
      <c r="A2310" s="285"/>
      <c r="C2310" s="25">
        <v>144</v>
      </c>
      <c r="D2310" s="103">
        <v>25089</v>
      </c>
      <c r="E2310" s="103" t="s">
        <v>5090</v>
      </c>
      <c r="F2310" s="3">
        <v>29205210103031</v>
      </c>
      <c r="G2310" s="103" t="s">
        <v>34</v>
      </c>
      <c r="H2310" s="103" t="s">
        <v>5091</v>
      </c>
      <c r="R2310" s="77">
        <v>3</v>
      </c>
      <c r="S2310" s="77">
        <v>2.5</v>
      </c>
      <c r="T2310" s="77">
        <v>2.5</v>
      </c>
      <c r="U2310" s="77">
        <v>2.5</v>
      </c>
      <c r="V2310" s="77">
        <v>3</v>
      </c>
      <c r="W2310" s="16" t="s">
        <v>170</v>
      </c>
      <c r="Y2310" s="45">
        <v>43751</v>
      </c>
      <c r="Z2310" s="16" t="s">
        <v>66</v>
      </c>
      <c r="AA2310" s="7">
        <v>43753</v>
      </c>
    </row>
    <row r="2311" spans="1:28">
      <c r="A2311" s="285"/>
      <c r="C2311" s="25">
        <v>144</v>
      </c>
      <c r="D2311" s="25">
        <v>25373</v>
      </c>
      <c r="E2311" s="25" t="s">
        <v>5257</v>
      </c>
      <c r="F2311" s="26" t="s">
        <v>5258</v>
      </c>
      <c r="G2311" s="25" t="s">
        <v>34</v>
      </c>
      <c r="H2311" s="25" t="s">
        <v>5259</v>
      </c>
      <c r="I2311" s="2" t="s">
        <v>4315</v>
      </c>
      <c r="J2311" s="4">
        <v>43723</v>
      </c>
      <c r="K2311" s="2" t="s">
        <v>8</v>
      </c>
      <c r="L2311" s="2" t="s">
        <v>12</v>
      </c>
      <c r="M2311" s="2" t="s">
        <v>4669</v>
      </c>
      <c r="R2311" s="77">
        <v>3</v>
      </c>
      <c r="S2311" s="77">
        <v>3</v>
      </c>
      <c r="T2311" s="77">
        <v>2</v>
      </c>
      <c r="U2311" s="77">
        <v>2.5</v>
      </c>
      <c r="V2311" s="77">
        <v>3</v>
      </c>
      <c r="W2311" s="16" t="s">
        <v>171</v>
      </c>
      <c r="Y2311" s="45">
        <v>43751</v>
      </c>
      <c r="Z2311" s="16" t="s">
        <v>66</v>
      </c>
      <c r="AA2311" s="45">
        <v>43754</v>
      </c>
    </row>
    <row r="2312" spans="1:28" ht="15.75" thickBot="1">
      <c r="A2312" s="286"/>
      <c r="C2312" s="28">
        <v>144</v>
      </c>
      <c r="D2312" s="28">
        <v>25374</v>
      </c>
      <c r="E2312" s="28" t="s">
        <v>5260</v>
      </c>
      <c r="F2312" s="29">
        <v>29109202102132</v>
      </c>
      <c r="G2312" s="28" t="s">
        <v>34</v>
      </c>
      <c r="H2312" s="28" t="s">
        <v>5261</v>
      </c>
      <c r="I2312" s="28" t="s">
        <v>4315</v>
      </c>
      <c r="J2312" s="30">
        <v>43723</v>
      </c>
      <c r="K2312" s="28" t="s">
        <v>8</v>
      </c>
      <c r="L2312" s="28" t="s">
        <v>12</v>
      </c>
      <c r="M2312" s="28" t="s">
        <v>3696</v>
      </c>
      <c r="N2312" s="28"/>
      <c r="O2312" s="226"/>
      <c r="P2312" s="28"/>
      <c r="Q2312" s="226"/>
      <c r="R2312" s="37">
        <v>3</v>
      </c>
      <c r="S2312" s="37">
        <v>2.5</v>
      </c>
      <c r="T2312" s="37">
        <v>2</v>
      </c>
      <c r="U2312" s="37">
        <v>2</v>
      </c>
      <c r="V2312" s="37">
        <v>3</v>
      </c>
      <c r="W2312" s="28" t="s">
        <v>61</v>
      </c>
      <c r="X2312" s="28" t="s">
        <v>67</v>
      </c>
      <c r="Y2312" s="30"/>
      <c r="Z2312" s="28" t="s">
        <v>66</v>
      </c>
      <c r="AA2312" s="30"/>
      <c r="AB2312" s="28" t="s">
        <v>5377</v>
      </c>
    </row>
    <row r="2313" spans="1:28" ht="15.75" thickTop="1">
      <c r="A2313" s="284" t="s">
        <v>3125</v>
      </c>
      <c r="C2313" s="25">
        <v>145</v>
      </c>
      <c r="D2313" s="25">
        <v>25375</v>
      </c>
      <c r="E2313" s="25" t="s">
        <v>5264</v>
      </c>
      <c r="F2313" s="26">
        <v>30108262100863</v>
      </c>
      <c r="G2313" s="25" t="s">
        <v>3911</v>
      </c>
      <c r="H2313" s="25" t="s">
        <v>5265</v>
      </c>
      <c r="I2313" s="25" t="s">
        <v>4315</v>
      </c>
      <c r="J2313" s="27">
        <v>43725</v>
      </c>
      <c r="K2313" s="25" t="s">
        <v>8</v>
      </c>
      <c r="L2313" s="25" t="s">
        <v>12</v>
      </c>
      <c r="M2313" s="25" t="s">
        <v>696</v>
      </c>
      <c r="N2313" s="25"/>
      <c r="O2313" s="224"/>
      <c r="P2313" s="25"/>
      <c r="Q2313" s="224"/>
      <c r="R2313" s="25"/>
      <c r="S2313" s="25"/>
      <c r="T2313" s="25"/>
      <c r="U2313" s="25"/>
      <c r="V2313" s="25"/>
      <c r="W2313" s="25" t="s">
        <v>64</v>
      </c>
      <c r="X2313" s="25"/>
      <c r="Y2313" s="27"/>
      <c r="Z2313" s="25" t="s">
        <v>67</v>
      </c>
      <c r="AA2313" s="27"/>
      <c r="AB2313" s="25"/>
    </row>
    <row r="2314" spans="1:28">
      <c r="A2314" s="285"/>
      <c r="C2314" s="25">
        <v>145</v>
      </c>
      <c r="D2314" s="2">
        <v>25376</v>
      </c>
      <c r="E2314" s="2" t="s">
        <v>5266</v>
      </c>
      <c r="F2314" s="3">
        <v>29801040100395</v>
      </c>
      <c r="G2314" s="2" t="s">
        <v>34</v>
      </c>
      <c r="H2314" s="2" t="s">
        <v>5267</v>
      </c>
      <c r="I2314" s="2" t="s">
        <v>4315</v>
      </c>
      <c r="J2314" s="4">
        <v>43725</v>
      </c>
      <c r="K2314" s="2" t="s">
        <v>8</v>
      </c>
      <c r="L2314" s="2" t="s">
        <v>12</v>
      </c>
      <c r="M2314" s="2" t="s">
        <v>103</v>
      </c>
      <c r="R2314" s="77">
        <v>3</v>
      </c>
      <c r="S2314" s="77">
        <v>3</v>
      </c>
      <c r="T2314" s="77">
        <v>2</v>
      </c>
      <c r="U2314" s="77">
        <v>2</v>
      </c>
      <c r="V2314" s="77">
        <v>3</v>
      </c>
      <c r="W2314" s="16" t="s">
        <v>62</v>
      </c>
      <c r="Y2314" s="7">
        <v>43752</v>
      </c>
      <c r="Z2314" s="16" t="s">
        <v>66</v>
      </c>
      <c r="AA2314" s="7">
        <v>43760</v>
      </c>
      <c r="AB2314" s="2" t="s">
        <v>6352</v>
      </c>
    </row>
    <row r="2315" spans="1:28">
      <c r="A2315" s="285"/>
      <c r="C2315" s="25">
        <v>145</v>
      </c>
      <c r="D2315" s="2">
        <v>25377</v>
      </c>
      <c r="E2315" s="2" t="s">
        <v>5268</v>
      </c>
      <c r="F2315" s="3">
        <v>29501178800882</v>
      </c>
      <c r="G2315" s="2" t="s">
        <v>34</v>
      </c>
      <c r="H2315" s="2" t="s">
        <v>5269</v>
      </c>
      <c r="I2315" s="2" t="s">
        <v>4315</v>
      </c>
      <c r="J2315" s="4">
        <v>43725</v>
      </c>
      <c r="K2315" s="2" t="s">
        <v>8</v>
      </c>
      <c r="L2315" s="2" t="s">
        <v>12</v>
      </c>
      <c r="M2315" s="2" t="s">
        <v>5123</v>
      </c>
      <c r="R2315" s="77">
        <v>3</v>
      </c>
      <c r="S2315" s="77">
        <v>1.5</v>
      </c>
      <c r="T2315" s="77">
        <v>2</v>
      </c>
      <c r="U2315" s="77">
        <v>2</v>
      </c>
      <c r="V2315" s="77">
        <v>3</v>
      </c>
      <c r="W2315" s="16" t="s">
        <v>3321</v>
      </c>
      <c r="Y2315" s="7">
        <v>43752</v>
      </c>
      <c r="Z2315" s="16" t="s">
        <v>66</v>
      </c>
      <c r="AA2315" s="45">
        <v>43760</v>
      </c>
      <c r="AB2315" s="103" t="s">
        <v>6352</v>
      </c>
    </row>
    <row r="2316" spans="1:28">
      <c r="A2316" s="285"/>
      <c r="C2316" s="25">
        <v>145</v>
      </c>
      <c r="D2316" s="2">
        <v>25378</v>
      </c>
      <c r="E2316" s="2" t="s">
        <v>5270</v>
      </c>
      <c r="F2316" s="3">
        <v>29409011404841</v>
      </c>
      <c r="G2316" s="2" t="s">
        <v>34</v>
      </c>
      <c r="H2316" s="2" t="s">
        <v>5271</v>
      </c>
      <c r="I2316" s="2" t="s">
        <v>4315</v>
      </c>
      <c r="J2316" s="4">
        <v>43725</v>
      </c>
      <c r="K2316" s="2" t="s">
        <v>8</v>
      </c>
      <c r="L2316" s="2" t="s">
        <v>12</v>
      </c>
      <c r="M2316" s="2" t="s">
        <v>551</v>
      </c>
      <c r="R2316" s="77">
        <v>3</v>
      </c>
      <c r="S2316" s="77">
        <v>2.5</v>
      </c>
      <c r="T2316" s="77">
        <v>2.5</v>
      </c>
      <c r="U2316" s="77">
        <v>2</v>
      </c>
      <c r="V2316" s="77">
        <v>3</v>
      </c>
      <c r="W2316" s="16" t="s">
        <v>170</v>
      </c>
      <c r="Y2316" s="7">
        <v>43752</v>
      </c>
      <c r="Z2316" s="16" t="s">
        <v>66</v>
      </c>
      <c r="AA2316" s="7">
        <v>43759</v>
      </c>
    </row>
    <row r="2317" spans="1:28">
      <c r="A2317" s="285"/>
      <c r="C2317" s="25">
        <v>145</v>
      </c>
      <c r="D2317" s="2">
        <v>25379</v>
      </c>
      <c r="E2317" s="2" t="s">
        <v>5272</v>
      </c>
      <c r="F2317" s="3">
        <v>29804202100768</v>
      </c>
      <c r="G2317" s="2" t="s">
        <v>4131</v>
      </c>
      <c r="H2317" s="2" t="s">
        <v>5273</v>
      </c>
      <c r="I2317" s="2" t="s">
        <v>4315</v>
      </c>
      <c r="J2317" s="4">
        <v>43725</v>
      </c>
      <c r="K2317" s="2" t="s">
        <v>8</v>
      </c>
      <c r="L2317" s="2" t="s">
        <v>12</v>
      </c>
      <c r="M2317" s="2" t="s">
        <v>4257</v>
      </c>
      <c r="W2317" s="16" t="s">
        <v>63</v>
      </c>
      <c r="Z2317" s="16" t="s">
        <v>67</v>
      </c>
    </row>
    <row r="2318" spans="1:28">
      <c r="A2318" s="285"/>
      <c r="C2318" s="25">
        <v>145</v>
      </c>
      <c r="D2318" s="2">
        <v>25380</v>
      </c>
      <c r="E2318" s="2" t="s">
        <v>5274</v>
      </c>
      <c r="F2318" s="3">
        <v>29508081100759</v>
      </c>
      <c r="G2318" s="2" t="s">
        <v>34</v>
      </c>
      <c r="H2318" s="2" t="s">
        <v>5275</v>
      </c>
      <c r="I2318" s="2" t="s">
        <v>4315</v>
      </c>
      <c r="J2318" s="4">
        <v>43725</v>
      </c>
      <c r="K2318" s="2" t="s">
        <v>8</v>
      </c>
      <c r="L2318" s="2" t="s">
        <v>12</v>
      </c>
      <c r="M2318" s="2" t="s">
        <v>5276</v>
      </c>
      <c r="W2318" s="25" t="s">
        <v>64</v>
      </c>
      <c r="Z2318" s="16" t="s">
        <v>67</v>
      </c>
    </row>
    <row r="2319" spans="1:28">
      <c r="A2319" s="285"/>
      <c r="C2319" s="25">
        <v>145</v>
      </c>
      <c r="D2319" s="2">
        <v>25381</v>
      </c>
      <c r="E2319" s="2" t="s">
        <v>5277</v>
      </c>
      <c r="F2319" s="3">
        <v>29302190105143</v>
      </c>
      <c r="G2319" s="2" t="s">
        <v>34</v>
      </c>
      <c r="H2319" s="2" t="s">
        <v>5278</v>
      </c>
      <c r="I2319" s="2" t="s">
        <v>4315</v>
      </c>
      <c r="J2319" s="4">
        <v>43725</v>
      </c>
      <c r="K2319" s="2" t="s">
        <v>8</v>
      </c>
      <c r="L2319" s="2" t="s">
        <v>12</v>
      </c>
      <c r="M2319" s="2" t="s">
        <v>5152</v>
      </c>
      <c r="R2319" s="77">
        <v>3</v>
      </c>
      <c r="S2319" s="77">
        <v>2.5</v>
      </c>
      <c r="T2319" s="77">
        <v>2.5</v>
      </c>
      <c r="U2319" s="77">
        <v>2.5</v>
      </c>
      <c r="V2319" s="77">
        <v>3</v>
      </c>
      <c r="W2319" s="16" t="s">
        <v>61</v>
      </c>
      <c r="X2319" s="2" t="s">
        <v>66</v>
      </c>
      <c r="Y2319" s="7">
        <v>43783</v>
      </c>
      <c r="Z2319" s="16" t="s">
        <v>66</v>
      </c>
      <c r="AA2319" s="7">
        <v>43787</v>
      </c>
      <c r="AB2319" s="2" t="s">
        <v>5491</v>
      </c>
    </row>
    <row r="2320" spans="1:28">
      <c r="A2320" s="285"/>
      <c r="C2320" s="25">
        <v>145</v>
      </c>
      <c r="D2320" s="2">
        <v>25382</v>
      </c>
      <c r="E2320" s="2" t="s">
        <v>5279</v>
      </c>
      <c r="F2320" s="3">
        <v>29205288800898</v>
      </c>
      <c r="G2320" s="2" t="s">
        <v>4652</v>
      </c>
      <c r="H2320" s="2" t="s">
        <v>5280</v>
      </c>
      <c r="I2320" s="2" t="s">
        <v>4315</v>
      </c>
      <c r="J2320" s="4">
        <v>43725</v>
      </c>
      <c r="K2320" s="2" t="s">
        <v>8</v>
      </c>
      <c r="L2320" s="2" t="s">
        <v>12</v>
      </c>
      <c r="M2320" s="2" t="s">
        <v>4257</v>
      </c>
      <c r="R2320" s="77">
        <v>3</v>
      </c>
      <c r="S2320" s="77">
        <v>3</v>
      </c>
      <c r="T2320" s="77">
        <v>2.5</v>
      </c>
      <c r="U2320" s="77">
        <v>2.5</v>
      </c>
      <c r="V2320" s="77">
        <v>3</v>
      </c>
      <c r="W2320" s="16" t="s">
        <v>60</v>
      </c>
      <c r="Y2320" s="7">
        <v>43752</v>
      </c>
      <c r="Z2320" s="16" t="s">
        <v>66</v>
      </c>
      <c r="AA2320" s="7">
        <v>43759</v>
      </c>
    </row>
    <row r="2321" spans="1:28">
      <c r="A2321" s="285"/>
      <c r="C2321" s="25">
        <v>145</v>
      </c>
      <c r="D2321" s="2">
        <v>25062</v>
      </c>
      <c r="E2321" s="2" t="s">
        <v>5131</v>
      </c>
      <c r="F2321" s="3">
        <v>29903290102412</v>
      </c>
      <c r="G2321" s="2" t="s">
        <v>184</v>
      </c>
      <c r="H2321" s="2" t="s">
        <v>5132</v>
      </c>
      <c r="I2321" s="2" t="s">
        <v>4315</v>
      </c>
      <c r="J2321" s="4">
        <v>43725</v>
      </c>
      <c r="K2321" s="2" t="s">
        <v>8</v>
      </c>
      <c r="L2321" s="2" t="s">
        <v>12</v>
      </c>
      <c r="M2321" s="2" t="s">
        <v>4923</v>
      </c>
      <c r="R2321" s="77">
        <v>3</v>
      </c>
      <c r="S2321" s="77">
        <v>2.5</v>
      </c>
      <c r="T2321" s="77">
        <v>2.5</v>
      </c>
      <c r="U2321" s="77">
        <v>2.5</v>
      </c>
      <c r="V2321" s="77">
        <v>3</v>
      </c>
      <c r="W2321" s="16" t="s">
        <v>170</v>
      </c>
      <c r="Y2321" s="7">
        <v>43752</v>
      </c>
      <c r="Z2321" s="16" t="s">
        <v>66</v>
      </c>
      <c r="AA2321" s="7">
        <v>43795</v>
      </c>
      <c r="AB2321" s="2" t="s">
        <v>5520</v>
      </c>
    </row>
    <row r="2322" spans="1:28" ht="15.75" thickBot="1">
      <c r="A2322" s="286"/>
      <c r="C2322" s="28">
        <v>145</v>
      </c>
      <c r="D2322" s="28">
        <v>25383</v>
      </c>
      <c r="E2322" s="28" t="s">
        <v>5281</v>
      </c>
      <c r="F2322" s="29">
        <v>29502211301087</v>
      </c>
      <c r="G2322" s="28" t="s">
        <v>34</v>
      </c>
      <c r="H2322" s="28" t="s">
        <v>5282</v>
      </c>
      <c r="I2322" s="28"/>
      <c r="J2322" s="30"/>
      <c r="K2322" s="28"/>
      <c r="L2322" s="28"/>
      <c r="M2322" s="28"/>
      <c r="N2322" s="28"/>
      <c r="O2322" s="226"/>
      <c r="P2322" s="28"/>
      <c r="Q2322" s="226"/>
      <c r="R2322" s="37">
        <v>3</v>
      </c>
      <c r="S2322" s="37">
        <v>2.5</v>
      </c>
      <c r="T2322" s="37">
        <v>2.5</v>
      </c>
      <c r="U2322" s="37">
        <v>2</v>
      </c>
      <c r="V2322" s="37">
        <v>3</v>
      </c>
      <c r="W2322" s="28" t="s">
        <v>60</v>
      </c>
      <c r="X2322" s="28"/>
      <c r="Y2322" s="30">
        <v>43752</v>
      </c>
      <c r="Z2322" s="28" t="s">
        <v>66</v>
      </c>
      <c r="AA2322" s="30">
        <v>43759</v>
      </c>
      <c r="AB2322" s="28"/>
    </row>
    <row r="2323" spans="1:28" ht="15.75" thickTop="1">
      <c r="A2323" s="284" t="s">
        <v>3129</v>
      </c>
      <c r="C2323" s="25" t="s">
        <v>5318</v>
      </c>
      <c r="D2323" s="25">
        <v>25394</v>
      </c>
      <c r="E2323" s="25" t="s">
        <v>5290</v>
      </c>
      <c r="F2323" s="26">
        <v>29612052103724</v>
      </c>
      <c r="G2323" s="25" t="s">
        <v>34</v>
      </c>
      <c r="H2323" s="25" t="s">
        <v>5291</v>
      </c>
      <c r="I2323" s="25" t="s">
        <v>4315</v>
      </c>
      <c r="J2323" s="27">
        <v>43732</v>
      </c>
      <c r="K2323" s="25" t="s">
        <v>798</v>
      </c>
      <c r="L2323" s="25" t="s">
        <v>12</v>
      </c>
      <c r="M2323" s="25" t="s">
        <v>4257</v>
      </c>
      <c r="N2323" s="25"/>
      <c r="O2323" s="224"/>
      <c r="P2323" s="25"/>
      <c r="Q2323" s="224"/>
      <c r="R2323" s="92">
        <v>3</v>
      </c>
      <c r="S2323" s="92">
        <v>3</v>
      </c>
      <c r="T2323" s="92">
        <v>2</v>
      </c>
      <c r="U2323" s="92">
        <v>2</v>
      </c>
      <c r="V2323" s="92">
        <v>3</v>
      </c>
      <c r="W2323" s="25" t="s">
        <v>3244</v>
      </c>
      <c r="X2323" s="25"/>
      <c r="Y2323" s="27">
        <v>43759</v>
      </c>
      <c r="Z2323" s="25"/>
      <c r="AA2323" s="27"/>
      <c r="AB2323" s="25"/>
    </row>
    <row r="2324" spans="1:28">
      <c r="A2324" s="285"/>
      <c r="C2324" s="25" t="s">
        <v>5318</v>
      </c>
      <c r="D2324" s="2">
        <v>25395</v>
      </c>
      <c r="E2324" s="2" t="s">
        <v>5292</v>
      </c>
      <c r="F2324" s="3">
        <v>29407091400717</v>
      </c>
      <c r="G2324" s="2" t="s">
        <v>34</v>
      </c>
      <c r="H2324" s="103" t="s">
        <v>5293</v>
      </c>
      <c r="I2324" s="2" t="s">
        <v>4315</v>
      </c>
      <c r="J2324" s="4">
        <v>43732</v>
      </c>
      <c r="K2324" s="2" t="s">
        <v>798</v>
      </c>
      <c r="L2324" s="2" t="s">
        <v>12</v>
      </c>
      <c r="M2324" s="2" t="s">
        <v>3696</v>
      </c>
      <c r="R2324" s="77">
        <v>3</v>
      </c>
      <c r="S2324" s="77">
        <v>2.5</v>
      </c>
      <c r="T2324" s="77">
        <v>2</v>
      </c>
      <c r="U2324" s="77">
        <v>1.5</v>
      </c>
      <c r="V2324" s="77">
        <v>3</v>
      </c>
      <c r="W2324" s="16" t="s">
        <v>62</v>
      </c>
      <c r="Y2324" s="7">
        <v>43759</v>
      </c>
      <c r="Z2324" s="16" t="s">
        <v>67</v>
      </c>
      <c r="AB2324" s="2" t="s">
        <v>5524</v>
      </c>
    </row>
    <row r="2325" spans="1:28">
      <c r="A2325" s="285"/>
      <c r="C2325" s="25" t="s">
        <v>5318</v>
      </c>
      <c r="D2325" s="2">
        <v>25396</v>
      </c>
      <c r="E2325" s="2" t="s">
        <v>5294</v>
      </c>
      <c r="F2325" s="3">
        <v>29603130100673</v>
      </c>
      <c r="G2325" s="2" t="s">
        <v>34</v>
      </c>
      <c r="H2325" s="103" t="s">
        <v>5295</v>
      </c>
      <c r="I2325" s="2" t="s">
        <v>4315</v>
      </c>
      <c r="J2325" s="4">
        <v>43732</v>
      </c>
      <c r="K2325" s="2" t="s">
        <v>798</v>
      </c>
      <c r="L2325" s="2" t="s">
        <v>12</v>
      </c>
      <c r="M2325" s="2" t="s">
        <v>4257</v>
      </c>
      <c r="R2325" s="77">
        <v>3</v>
      </c>
      <c r="S2325" s="77">
        <v>3</v>
      </c>
      <c r="T2325" s="77">
        <v>2</v>
      </c>
      <c r="U2325" s="77">
        <v>1.5</v>
      </c>
      <c r="V2325" s="77">
        <v>3</v>
      </c>
      <c r="W2325" s="16" t="s">
        <v>3321</v>
      </c>
      <c r="Y2325" s="7">
        <v>43759</v>
      </c>
      <c r="Z2325" s="16" t="s">
        <v>67</v>
      </c>
      <c r="AB2325" s="2" t="s">
        <v>5525</v>
      </c>
    </row>
    <row r="2326" spans="1:28">
      <c r="A2326" s="285"/>
      <c r="C2326" s="25" t="s">
        <v>5318</v>
      </c>
      <c r="D2326" s="2">
        <v>25397</v>
      </c>
      <c r="E2326" s="2" t="s">
        <v>5296</v>
      </c>
      <c r="F2326" s="3">
        <v>29708070102121</v>
      </c>
      <c r="G2326" s="2" t="s">
        <v>34</v>
      </c>
      <c r="H2326" s="103" t="s">
        <v>5297</v>
      </c>
      <c r="I2326" s="2" t="s">
        <v>4315</v>
      </c>
      <c r="J2326" s="4">
        <v>43732</v>
      </c>
      <c r="K2326" s="2" t="s">
        <v>798</v>
      </c>
      <c r="L2326" s="2" t="s">
        <v>12</v>
      </c>
      <c r="M2326" s="2" t="s">
        <v>4493</v>
      </c>
      <c r="R2326" s="77">
        <v>3</v>
      </c>
      <c r="S2326" s="77">
        <v>2</v>
      </c>
      <c r="T2326" s="77">
        <v>2</v>
      </c>
      <c r="U2326" s="77">
        <v>2</v>
      </c>
      <c r="V2326" s="77">
        <v>3</v>
      </c>
      <c r="W2326" s="16" t="s">
        <v>3818</v>
      </c>
      <c r="Y2326" s="7">
        <v>43759</v>
      </c>
    </row>
    <row r="2327" spans="1:28">
      <c r="A2327" s="285"/>
      <c r="C2327" s="25" t="s">
        <v>5318</v>
      </c>
      <c r="D2327" s="2">
        <v>25398</v>
      </c>
      <c r="E2327" s="2" t="s">
        <v>5298</v>
      </c>
      <c r="F2327" s="3">
        <v>28811050106059</v>
      </c>
      <c r="G2327" s="2" t="s">
        <v>34</v>
      </c>
      <c r="H2327" s="103" t="s">
        <v>5299</v>
      </c>
      <c r="I2327" s="2" t="s">
        <v>4315</v>
      </c>
      <c r="J2327" s="4">
        <v>43732</v>
      </c>
      <c r="K2327" s="2" t="s">
        <v>798</v>
      </c>
      <c r="L2327" s="2" t="s">
        <v>12</v>
      </c>
      <c r="M2327" s="2" t="s">
        <v>4800</v>
      </c>
      <c r="R2327" s="77">
        <v>3</v>
      </c>
      <c r="S2327" s="77">
        <v>2.5</v>
      </c>
      <c r="T2327" s="77">
        <v>2</v>
      </c>
      <c r="U2327" s="77">
        <v>1.5</v>
      </c>
      <c r="V2327" s="77">
        <v>3</v>
      </c>
      <c r="W2327" s="16" t="s">
        <v>3321</v>
      </c>
      <c r="Y2327" s="7">
        <v>43759</v>
      </c>
      <c r="Z2327" s="16" t="s">
        <v>67</v>
      </c>
      <c r="AB2327" s="2" t="s">
        <v>5810</v>
      </c>
    </row>
    <row r="2328" spans="1:28">
      <c r="A2328" s="285"/>
      <c r="C2328" s="25" t="s">
        <v>5318</v>
      </c>
      <c r="D2328" s="2">
        <v>25399</v>
      </c>
      <c r="E2328" s="2" t="s">
        <v>5300</v>
      </c>
      <c r="F2328" s="3">
        <v>29608060103809</v>
      </c>
      <c r="G2328" s="2" t="s">
        <v>34</v>
      </c>
      <c r="H2328" s="103" t="s">
        <v>5301</v>
      </c>
      <c r="I2328" s="2" t="s">
        <v>4315</v>
      </c>
      <c r="J2328" s="4">
        <v>43732</v>
      </c>
      <c r="K2328" s="2" t="s">
        <v>798</v>
      </c>
      <c r="L2328" s="2" t="s">
        <v>12</v>
      </c>
      <c r="M2328" s="2" t="s">
        <v>5302</v>
      </c>
      <c r="R2328" s="77">
        <v>3</v>
      </c>
      <c r="S2328" s="77">
        <v>2.5</v>
      </c>
      <c r="T2328" s="77">
        <v>2</v>
      </c>
      <c r="U2328" s="77">
        <v>2</v>
      </c>
      <c r="V2328" s="77">
        <v>3</v>
      </c>
      <c r="W2328" s="16" t="s">
        <v>4970</v>
      </c>
      <c r="Y2328" s="7">
        <v>43759</v>
      </c>
    </row>
    <row r="2329" spans="1:28">
      <c r="A2329" s="285"/>
      <c r="C2329" s="25" t="s">
        <v>5318</v>
      </c>
      <c r="D2329" s="2">
        <v>25400</v>
      </c>
      <c r="E2329" s="2" t="s">
        <v>5303</v>
      </c>
      <c r="F2329" s="3">
        <v>28612111600598</v>
      </c>
      <c r="G2329" s="2" t="s">
        <v>34</v>
      </c>
      <c r="H2329" s="103" t="s">
        <v>5304</v>
      </c>
      <c r="I2329" s="2" t="s">
        <v>4315</v>
      </c>
      <c r="J2329" s="4">
        <v>43732</v>
      </c>
      <c r="K2329" s="2" t="s">
        <v>798</v>
      </c>
      <c r="L2329" s="2" t="s">
        <v>12</v>
      </c>
      <c r="M2329" s="2" t="s">
        <v>769</v>
      </c>
      <c r="R2329" s="77">
        <v>3</v>
      </c>
      <c r="S2329" s="77">
        <v>2.5</v>
      </c>
      <c r="T2329" s="77">
        <v>1.5</v>
      </c>
      <c r="U2329" s="77">
        <v>1.5</v>
      </c>
      <c r="V2329" s="77">
        <v>3</v>
      </c>
      <c r="W2329" s="16" t="s">
        <v>3818</v>
      </c>
      <c r="Y2329" s="7">
        <v>43759</v>
      </c>
    </row>
    <row r="2330" spans="1:28">
      <c r="A2330" s="285"/>
      <c r="C2330" s="25" t="s">
        <v>5318</v>
      </c>
      <c r="D2330" s="2">
        <v>25401</v>
      </c>
      <c r="E2330" s="2" t="s">
        <v>5305</v>
      </c>
      <c r="F2330" s="3">
        <v>29708040101804</v>
      </c>
      <c r="G2330" s="2" t="s">
        <v>34</v>
      </c>
      <c r="H2330" s="103" t="s">
        <v>5306</v>
      </c>
      <c r="I2330" s="2" t="s">
        <v>4315</v>
      </c>
      <c r="J2330" s="4">
        <v>43732</v>
      </c>
      <c r="K2330" s="2" t="s">
        <v>798</v>
      </c>
      <c r="L2330" s="2" t="s">
        <v>12</v>
      </c>
      <c r="M2330" s="2" t="s">
        <v>4753</v>
      </c>
      <c r="R2330" s="77">
        <v>3</v>
      </c>
      <c r="S2330" s="77">
        <v>2</v>
      </c>
      <c r="T2330" s="77">
        <v>2</v>
      </c>
      <c r="U2330" s="77">
        <v>2</v>
      </c>
      <c r="V2330" s="77">
        <v>3</v>
      </c>
      <c r="W2330" s="16" t="s">
        <v>3321</v>
      </c>
      <c r="Y2330" s="7">
        <v>43759</v>
      </c>
      <c r="Z2330" s="16" t="s">
        <v>66</v>
      </c>
      <c r="AA2330" s="7">
        <v>43760</v>
      </c>
      <c r="AB2330" s="2" t="s">
        <v>5339</v>
      </c>
    </row>
    <row r="2331" spans="1:28">
      <c r="A2331" s="285"/>
      <c r="C2331" s="25" t="s">
        <v>5318</v>
      </c>
      <c r="D2331" s="2">
        <v>25402</v>
      </c>
      <c r="E2331" s="2" t="s">
        <v>5307</v>
      </c>
      <c r="F2331" s="3">
        <v>29605200101144</v>
      </c>
      <c r="G2331" s="2" t="s">
        <v>34</v>
      </c>
      <c r="H2331" s="103" t="s">
        <v>5308</v>
      </c>
      <c r="I2331" s="2" t="s">
        <v>4315</v>
      </c>
      <c r="J2331" s="4">
        <v>43732</v>
      </c>
      <c r="K2331" s="2" t="s">
        <v>798</v>
      </c>
      <c r="L2331" s="2" t="s">
        <v>12</v>
      </c>
      <c r="M2331" s="2" t="s">
        <v>103</v>
      </c>
      <c r="R2331" s="77">
        <v>3</v>
      </c>
      <c r="S2331" s="77">
        <v>2.5</v>
      </c>
      <c r="T2331" s="77">
        <v>2</v>
      </c>
      <c r="U2331" s="77">
        <v>1.5</v>
      </c>
      <c r="V2331" s="77">
        <v>3</v>
      </c>
      <c r="W2331" s="16" t="s">
        <v>3321</v>
      </c>
      <c r="Y2331" s="7">
        <v>43759</v>
      </c>
      <c r="Z2331" s="16" t="s">
        <v>66</v>
      </c>
      <c r="AA2331" s="7">
        <v>43782</v>
      </c>
      <c r="AB2331" s="2" t="s">
        <v>4821</v>
      </c>
    </row>
    <row r="2332" spans="1:28">
      <c r="A2332" s="285"/>
      <c r="C2332" s="25" t="s">
        <v>5318</v>
      </c>
      <c r="D2332" s="2">
        <v>25403</v>
      </c>
      <c r="E2332" s="2" t="s">
        <v>5309</v>
      </c>
      <c r="F2332" s="3">
        <v>29608228800578</v>
      </c>
      <c r="G2332" s="2" t="s">
        <v>34</v>
      </c>
      <c r="H2332" s="103" t="s">
        <v>5310</v>
      </c>
      <c r="I2332" s="2" t="s">
        <v>4315</v>
      </c>
      <c r="J2332" s="4">
        <v>43732</v>
      </c>
      <c r="K2332" s="2" t="s">
        <v>798</v>
      </c>
      <c r="L2332" s="2" t="s">
        <v>12</v>
      </c>
      <c r="M2332" s="2" t="s">
        <v>769</v>
      </c>
      <c r="R2332" s="77">
        <v>3</v>
      </c>
      <c r="S2332" s="77">
        <v>2.5</v>
      </c>
      <c r="T2332" s="77">
        <v>1.5</v>
      </c>
      <c r="U2332" s="77">
        <v>1.5</v>
      </c>
      <c r="V2332" s="77">
        <v>3</v>
      </c>
      <c r="W2332" s="16" t="s">
        <v>3818</v>
      </c>
      <c r="Y2332" s="7">
        <v>43759</v>
      </c>
    </row>
    <row r="2333" spans="1:28">
      <c r="A2333" s="285"/>
      <c r="C2333" s="25" t="s">
        <v>5318</v>
      </c>
      <c r="D2333" s="2">
        <v>25404</v>
      </c>
      <c r="E2333" s="2" t="s">
        <v>5311</v>
      </c>
      <c r="F2333" s="3">
        <v>28911210200922</v>
      </c>
      <c r="G2333" s="2" t="s">
        <v>4025</v>
      </c>
      <c r="H2333" s="103" t="s">
        <v>5312</v>
      </c>
      <c r="I2333" s="2" t="s">
        <v>4315</v>
      </c>
      <c r="J2333" s="4">
        <v>43732</v>
      </c>
      <c r="K2333" s="2" t="s">
        <v>798</v>
      </c>
      <c r="L2333" s="2" t="s">
        <v>12</v>
      </c>
      <c r="M2333" s="2" t="s">
        <v>103</v>
      </c>
      <c r="R2333" s="77">
        <v>3</v>
      </c>
      <c r="S2333" s="77">
        <v>2.5</v>
      </c>
      <c r="T2333" s="77">
        <v>2.5</v>
      </c>
      <c r="U2333" s="77">
        <v>1.5</v>
      </c>
      <c r="V2333" s="77">
        <v>3</v>
      </c>
      <c r="W2333" s="16" t="s">
        <v>4970</v>
      </c>
      <c r="Y2333" s="7">
        <v>43759</v>
      </c>
    </row>
    <row r="2334" spans="1:28">
      <c r="A2334" s="285"/>
      <c r="C2334" s="25" t="s">
        <v>5318</v>
      </c>
      <c r="D2334" s="2">
        <v>25405</v>
      </c>
      <c r="E2334" s="2" t="s">
        <v>5313</v>
      </c>
      <c r="F2334" s="3">
        <v>29601012111986</v>
      </c>
      <c r="G2334" s="2" t="s">
        <v>34</v>
      </c>
      <c r="H2334" s="103" t="s">
        <v>5314</v>
      </c>
      <c r="I2334" s="2" t="s">
        <v>4315</v>
      </c>
      <c r="J2334" s="4">
        <v>43732</v>
      </c>
      <c r="K2334" s="2" t="s">
        <v>798</v>
      </c>
      <c r="L2334" s="2" t="s">
        <v>12</v>
      </c>
      <c r="M2334" s="2" t="s">
        <v>4923</v>
      </c>
      <c r="R2334" s="77">
        <v>3</v>
      </c>
      <c r="S2334" s="77">
        <v>2.5</v>
      </c>
      <c r="T2334" s="77">
        <v>2</v>
      </c>
      <c r="U2334" s="77">
        <v>2</v>
      </c>
      <c r="V2334" s="77">
        <v>3</v>
      </c>
      <c r="W2334" s="16" t="s">
        <v>3244</v>
      </c>
      <c r="Y2334" s="7">
        <v>43759</v>
      </c>
    </row>
    <row r="2335" spans="1:28" ht="15.75" thickBot="1">
      <c r="A2335" s="286"/>
      <c r="C2335" s="28" t="s">
        <v>5318</v>
      </c>
      <c r="D2335" s="28">
        <v>25406</v>
      </c>
      <c r="E2335" s="28" t="s">
        <v>5315</v>
      </c>
      <c r="F2335" s="29" t="s">
        <v>5316</v>
      </c>
      <c r="G2335" s="28" t="s">
        <v>34</v>
      </c>
      <c r="H2335" s="28" t="s">
        <v>5317</v>
      </c>
      <c r="I2335" s="28" t="s">
        <v>4315</v>
      </c>
      <c r="J2335" s="30">
        <v>43732</v>
      </c>
      <c r="K2335" s="28" t="s">
        <v>798</v>
      </c>
      <c r="L2335" s="28" t="s">
        <v>12</v>
      </c>
      <c r="M2335" s="28" t="s">
        <v>769</v>
      </c>
      <c r="N2335" s="28"/>
      <c r="O2335" s="226"/>
      <c r="P2335" s="28"/>
      <c r="Q2335" s="226"/>
      <c r="R2335" s="37">
        <v>3</v>
      </c>
      <c r="S2335" s="37">
        <v>2.5</v>
      </c>
      <c r="T2335" s="37">
        <v>1.5</v>
      </c>
      <c r="U2335" s="37">
        <v>2</v>
      </c>
      <c r="V2335" s="37">
        <v>3</v>
      </c>
      <c r="W2335" s="28" t="s">
        <v>3818</v>
      </c>
      <c r="X2335" s="28"/>
      <c r="Y2335" s="30">
        <v>43759</v>
      </c>
      <c r="Z2335" s="28"/>
      <c r="AA2335" s="30"/>
      <c r="AB2335" s="28"/>
    </row>
    <row r="2336" spans="1:28" ht="15.75" thickTop="1">
      <c r="A2336" s="284" t="s">
        <v>4517</v>
      </c>
      <c r="C2336" s="25">
        <v>146</v>
      </c>
      <c r="D2336" s="25">
        <v>25386</v>
      </c>
      <c r="E2336" s="25" t="s">
        <v>5320</v>
      </c>
      <c r="F2336" s="26">
        <v>29501148800535</v>
      </c>
      <c r="G2336" s="25" t="s">
        <v>34</v>
      </c>
      <c r="H2336" s="25" t="s">
        <v>5321</v>
      </c>
      <c r="I2336" s="25" t="s">
        <v>4315</v>
      </c>
      <c r="J2336" s="27">
        <v>43732</v>
      </c>
      <c r="K2336" s="25" t="s">
        <v>8</v>
      </c>
      <c r="L2336" s="25" t="s">
        <v>12</v>
      </c>
      <c r="M2336" s="25" t="s">
        <v>736</v>
      </c>
      <c r="N2336" s="25"/>
      <c r="O2336" s="224"/>
      <c r="P2336" s="25"/>
      <c r="Q2336" s="224"/>
      <c r="R2336" s="92">
        <v>3</v>
      </c>
      <c r="S2336" s="92">
        <v>2.5</v>
      </c>
      <c r="T2336" s="92">
        <v>2</v>
      </c>
      <c r="U2336" s="92">
        <v>2.5</v>
      </c>
      <c r="V2336" s="92">
        <v>3</v>
      </c>
      <c r="W2336" s="25" t="s">
        <v>61</v>
      </c>
      <c r="X2336" s="25"/>
      <c r="Y2336" s="27">
        <v>43760</v>
      </c>
      <c r="Z2336" s="25" t="s">
        <v>66</v>
      </c>
      <c r="AA2336" s="27"/>
      <c r="AB2336" s="25" t="s">
        <v>5375</v>
      </c>
    </row>
    <row r="2337" spans="1:28">
      <c r="A2337" s="285"/>
      <c r="C2337" s="25">
        <v>146</v>
      </c>
      <c r="D2337" s="2">
        <v>25387</v>
      </c>
      <c r="E2337" s="2" t="s">
        <v>5322</v>
      </c>
      <c r="F2337" s="3">
        <v>29411260100423</v>
      </c>
      <c r="G2337" s="2" t="s">
        <v>34</v>
      </c>
      <c r="H2337" s="2" t="s">
        <v>5323</v>
      </c>
      <c r="I2337" s="2" t="s">
        <v>4315</v>
      </c>
      <c r="J2337" s="4">
        <v>43732</v>
      </c>
      <c r="K2337" s="2" t="s">
        <v>8</v>
      </c>
      <c r="L2337" s="2" t="s">
        <v>12</v>
      </c>
      <c r="M2337" s="2" t="s">
        <v>5324</v>
      </c>
      <c r="R2337" s="77">
        <v>3</v>
      </c>
      <c r="S2337" s="77">
        <v>2.5</v>
      </c>
      <c r="T2337" s="77">
        <v>2</v>
      </c>
      <c r="U2337" s="77">
        <v>2.5</v>
      </c>
      <c r="V2337" s="77">
        <v>3</v>
      </c>
      <c r="W2337" s="16" t="s">
        <v>61</v>
      </c>
      <c r="Y2337" s="7">
        <v>43760</v>
      </c>
      <c r="Z2337" s="16" t="s">
        <v>66</v>
      </c>
      <c r="AB2337" s="25" t="s">
        <v>5375</v>
      </c>
    </row>
    <row r="2338" spans="1:28">
      <c r="A2338" s="285"/>
      <c r="C2338" s="25">
        <v>146</v>
      </c>
      <c r="D2338" s="2">
        <v>25388</v>
      </c>
      <c r="E2338" s="2" t="s">
        <v>5325</v>
      </c>
      <c r="F2338" s="3">
        <v>29705120102233</v>
      </c>
      <c r="G2338" s="2" t="s">
        <v>34</v>
      </c>
      <c r="H2338" s="2" t="s">
        <v>5326</v>
      </c>
      <c r="I2338" s="2" t="s">
        <v>4315</v>
      </c>
      <c r="J2338" s="4">
        <v>43732</v>
      </c>
      <c r="K2338" s="2" t="s">
        <v>8</v>
      </c>
      <c r="L2338" s="2" t="s">
        <v>12</v>
      </c>
      <c r="M2338" s="2" t="s">
        <v>4706</v>
      </c>
      <c r="R2338" s="77">
        <v>3</v>
      </c>
      <c r="S2338" s="77">
        <v>2.5</v>
      </c>
      <c r="T2338" s="77">
        <v>2</v>
      </c>
      <c r="U2338" s="77">
        <v>2.5</v>
      </c>
      <c r="V2338" s="77">
        <v>3</v>
      </c>
      <c r="W2338" s="16" t="s">
        <v>171</v>
      </c>
      <c r="X2338" s="2" t="s">
        <v>66</v>
      </c>
      <c r="Y2338" s="7">
        <v>43783</v>
      </c>
      <c r="Z2338" s="16" t="s">
        <v>66</v>
      </c>
      <c r="AA2338" s="45">
        <v>43787</v>
      </c>
    </row>
    <row r="2339" spans="1:28">
      <c r="A2339" s="285"/>
      <c r="C2339" s="25">
        <v>146</v>
      </c>
      <c r="D2339" s="2">
        <v>25389</v>
      </c>
      <c r="E2339" s="2" t="s">
        <v>5327</v>
      </c>
      <c r="F2339" s="3">
        <v>29712180103871</v>
      </c>
      <c r="G2339" s="2" t="s">
        <v>34</v>
      </c>
      <c r="H2339" s="2" t="s">
        <v>5328</v>
      </c>
      <c r="I2339" s="2" t="s">
        <v>4315</v>
      </c>
      <c r="J2339" s="4">
        <v>43732</v>
      </c>
      <c r="K2339" s="2" t="s">
        <v>8</v>
      </c>
      <c r="L2339" s="2" t="s">
        <v>12</v>
      </c>
      <c r="M2339" s="2" t="s">
        <v>4706</v>
      </c>
      <c r="R2339" s="77">
        <v>3</v>
      </c>
      <c r="S2339" s="77">
        <v>2.5</v>
      </c>
      <c r="T2339" s="77">
        <v>2</v>
      </c>
      <c r="U2339" s="77">
        <v>2.5</v>
      </c>
      <c r="V2339" s="77">
        <v>3</v>
      </c>
      <c r="W2339" s="16" t="s">
        <v>171</v>
      </c>
      <c r="X2339" s="2" t="s">
        <v>66</v>
      </c>
      <c r="Y2339" s="7">
        <v>43783</v>
      </c>
      <c r="Z2339" s="16" t="s">
        <v>66</v>
      </c>
      <c r="AA2339" s="7">
        <v>43787</v>
      </c>
    </row>
    <row r="2340" spans="1:28">
      <c r="A2340" s="285"/>
      <c r="C2340" s="25">
        <v>146</v>
      </c>
      <c r="D2340" s="2">
        <v>25390</v>
      </c>
      <c r="E2340" s="2" t="s">
        <v>5329</v>
      </c>
      <c r="F2340" s="3">
        <v>29809201400824</v>
      </c>
      <c r="G2340" s="2" t="s">
        <v>4025</v>
      </c>
      <c r="H2340" s="2" t="s">
        <v>5330</v>
      </c>
      <c r="I2340" s="2" t="s">
        <v>4315</v>
      </c>
      <c r="J2340" s="4">
        <v>43732</v>
      </c>
      <c r="K2340" s="2" t="s">
        <v>8</v>
      </c>
      <c r="L2340" s="2" t="s">
        <v>12</v>
      </c>
      <c r="M2340" s="2" t="s">
        <v>551</v>
      </c>
      <c r="R2340" s="77">
        <v>3</v>
      </c>
      <c r="S2340" s="77">
        <v>3</v>
      </c>
      <c r="T2340" s="77">
        <v>2.5</v>
      </c>
      <c r="U2340" s="77">
        <v>2</v>
      </c>
      <c r="V2340" s="77">
        <v>3</v>
      </c>
      <c r="W2340" s="16" t="s">
        <v>170</v>
      </c>
      <c r="Y2340" s="7">
        <v>43760</v>
      </c>
      <c r="Z2340" s="16" t="s">
        <v>66</v>
      </c>
      <c r="AA2340" s="7">
        <v>43766</v>
      </c>
    </row>
    <row r="2341" spans="1:28">
      <c r="A2341" s="285"/>
      <c r="C2341" s="25">
        <v>146</v>
      </c>
      <c r="D2341" s="2">
        <v>25391</v>
      </c>
      <c r="E2341" s="2" t="s">
        <v>5331</v>
      </c>
      <c r="F2341" s="3">
        <v>29501011255319</v>
      </c>
      <c r="G2341" s="2" t="s">
        <v>34</v>
      </c>
      <c r="H2341" s="2" t="s">
        <v>5332</v>
      </c>
      <c r="I2341" s="2" t="s">
        <v>4315</v>
      </c>
      <c r="J2341" s="4">
        <v>43732</v>
      </c>
      <c r="K2341" s="2" t="s">
        <v>8</v>
      </c>
      <c r="L2341" s="2" t="s">
        <v>12</v>
      </c>
      <c r="M2341" s="2" t="s">
        <v>4923</v>
      </c>
      <c r="R2341" s="77">
        <v>3</v>
      </c>
      <c r="S2341" s="77">
        <v>2.5</v>
      </c>
      <c r="T2341" s="77">
        <v>2</v>
      </c>
      <c r="U2341" s="77">
        <v>1.5</v>
      </c>
      <c r="V2341" s="77">
        <v>3</v>
      </c>
      <c r="W2341" s="16" t="s">
        <v>3321</v>
      </c>
      <c r="Y2341" s="7">
        <v>43760</v>
      </c>
      <c r="Z2341" s="16" t="s">
        <v>66</v>
      </c>
      <c r="AA2341" s="7">
        <v>43787</v>
      </c>
      <c r="AB2341" s="2" t="s">
        <v>5527</v>
      </c>
    </row>
    <row r="2342" spans="1:28">
      <c r="A2342" s="285"/>
      <c r="C2342" s="25">
        <v>146</v>
      </c>
      <c r="D2342" s="2">
        <v>25392</v>
      </c>
      <c r="E2342" s="2" t="s">
        <v>5333</v>
      </c>
      <c r="F2342" s="3">
        <v>29701210100765</v>
      </c>
      <c r="G2342" s="2" t="s">
        <v>34</v>
      </c>
      <c r="H2342" s="2" t="s">
        <v>5334</v>
      </c>
      <c r="I2342" s="2" t="s">
        <v>4315</v>
      </c>
      <c r="J2342" s="4">
        <v>43732</v>
      </c>
      <c r="K2342" s="2" t="s">
        <v>8</v>
      </c>
      <c r="L2342" s="2" t="s">
        <v>12</v>
      </c>
      <c r="M2342" s="2" t="s">
        <v>736</v>
      </c>
      <c r="R2342" s="77">
        <v>3</v>
      </c>
      <c r="S2342" s="77">
        <v>2.5</v>
      </c>
      <c r="T2342" s="77">
        <v>2.5</v>
      </c>
      <c r="U2342" s="77">
        <v>2.5</v>
      </c>
      <c r="V2342" s="77">
        <v>3</v>
      </c>
      <c r="W2342" s="16" t="s">
        <v>170</v>
      </c>
      <c r="Y2342" s="7">
        <v>43760</v>
      </c>
      <c r="Z2342" s="16" t="s">
        <v>66</v>
      </c>
      <c r="AA2342" s="7">
        <v>43766</v>
      </c>
      <c r="AB2342" s="103"/>
    </row>
    <row r="2343" spans="1:28">
      <c r="A2343" s="285"/>
      <c r="C2343" s="25">
        <v>146</v>
      </c>
      <c r="D2343" s="2">
        <v>25393</v>
      </c>
      <c r="E2343" s="2" t="s">
        <v>5335</v>
      </c>
      <c r="F2343" s="3">
        <v>29109300106529</v>
      </c>
      <c r="G2343" s="2" t="s">
        <v>34</v>
      </c>
      <c r="H2343" s="2" t="s">
        <v>5336</v>
      </c>
      <c r="I2343" s="2" t="s">
        <v>4315</v>
      </c>
      <c r="J2343" s="4">
        <v>43732</v>
      </c>
      <c r="K2343" s="2" t="s">
        <v>8</v>
      </c>
      <c r="L2343" s="2" t="s">
        <v>12</v>
      </c>
      <c r="M2343" s="2" t="s">
        <v>5123</v>
      </c>
      <c r="R2343" s="77">
        <v>3</v>
      </c>
      <c r="S2343" s="77">
        <v>2.5</v>
      </c>
      <c r="T2343" s="77">
        <v>2.5</v>
      </c>
      <c r="U2343" s="77">
        <v>2.5</v>
      </c>
      <c r="V2343" s="77">
        <v>3</v>
      </c>
      <c r="W2343" s="16" t="s">
        <v>171</v>
      </c>
      <c r="X2343" s="2" t="s">
        <v>66</v>
      </c>
      <c r="Y2343" s="7">
        <v>43783</v>
      </c>
      <c r="Z2343" s="16" t="s">
        <v>66</v>
      </c>
      <c r="AA2343" s="45">
        <v>43787</v>
      </c>
    </row>
    <row r="2344" spans="1:28" ht="15.75" thickBot="1">
      <c r="A2344" s="286"/>
      <c r="C2344" s="28">
        <v>146</v>
      </c>
      <c r="D2344" s="28">
        <v>25407</v>
      </c>
      <c r="E2344" s="28" t="s">
        <v>5337</v>
      </c>
      <c r="F2344" s="29">
        <v>4389637</v>
      </c>
      <c r="G2344" s="28" t="s">
        <v>4025</v>
      </c>
      <c r="H2344" s="28" t="s">
        <v>5338</v>
      </c>
      <c r="I2344" s="28" t="s">
        <v>4315</v>
      </c>
      <c r="J2344" s="30">
        <v>43732</v>
      </c>
      <c r="K2344" s="28" t="s">
        <v>8</v>
      </c>
      <c r="L2344" s="28" t="s">
        <v>12</v>
      </c>
      <c r="M2344" s="28" t="s">
        <v>4706</v>
      </c>
      <c r="N2344" s="28"/>
      <c r="O2344" s="226"/>
      <c r="P2344" s="28"/>
      <c r="Q2344" s="226"/>
      <c r="R2344" s="37">
        <v>3</v>
      </c>
      <c r="S2344" s="37">
        <v>2.5</v>
      </c>
      <c r="T2344" s="37">
        <v>2</v>
      </c>
      <c r="U2344" s="37">
        <v>2.5</v>
      </c>
      <c r="V2344" s="37">
        <v>3</v>
      </c>
      <c r="W2344" s="28" t="s">
        <v>171</v>
      </c>
      <c r="X2344" s="28"/>
      <c r="Y2344" s="30">
        <v>43760</v>
      </c>
      <c r="Z2344" s="28" t="s">
        <v>67</v>
      </c>
      <c r="AA2344" s="30"/>
      <c r="AB2344" s="28" t="s">
        <v>5522</v>
      </c>
    </row>
    <row r="2345" spans="1:28" ht="15.75" thickTop="1">
      <c r="A2345" s="284" t="s">
        <v>4077</v>
      </c>
      <c r="C2345" s="25">
        <v>147</v>
      </c>
      <c r="D2345" s="25">
        <v>25713</v>
      </c>
      <c r="E2345" s="25" t="s">
        <v>5342</v>
      </c>
      <c r="F2345" s="26">
        <v>29404190101315</v>
      </c>
      <c r="G2345" s="25" t="s">
        <v>34</v>
      </c>
      <c r="H2345" s="25" t="s">
        <v>5343</v>
      </c>
      <c r="I2345" s="25" t="s">
        <v>4315</v>
      </c>
      <c r="J2345" s="27">
        <v>43744</v>
      </c>
      <c r="K2345" s="25" t="s">
        <v>8</v>
      </c>
      <c r="L2345" s="25" t="s">
        <v>12</v>
      </c>
      <c r="M2345" s="25" t="s">
        <v>4623</v>
      </c>
      <c r="N2345" s="25"/>
      <c r="O2345" s="224"/>
      <c r="P2345" s="25"/>
      <c r="Q2345" s="224"/>
      <c r="R2345" s="77">
        <v>3</v>
      </c>
      <c r="S2345" s="77">
        <v>2.5</v>
      </c>
      <c r="T2345" s="77">
        <v>2</v>
      </c>
      <c r="U2345" s="77">
        <v>2.5</v>
      </c>
      <c r="V2345" s="77">
        <v>3</v>
      </c>
      <c r="W2345" s="25" t="s">
        <v>4212</v>
      </c>
      <c r="X2345" s="25" t="s">
        <v>66</v>
      </c>
      <c r="Y2345" s="27">
        <v>43803</v>
      </c>
      <c r="Z2345" s="25" t="s">
        <v>66</v>
      </c>
      <c r="AA2345" s="27"/>
      <c r="AB2345" s="25" t="s">
        <v>5612</v>
      </c>
    </row>
    <row r="2346" spans="1:28">
      <c r="A2346" s="285"/>
      <c r="C2346" s="103">
        <v>147</v>
      </c>
      <c r="D2346" s="2">
        <v>25714</v>
      </c>
      <c r="E2346" s="2" t="s">
        <v>5344</v>
      </c>
      <c r="F2346" s="3">
        <v>29509010104857</v>
      </c>
      <c r="G2346" s="2" t="s">
        <v>129</v>
      </c>
      <c r="H2346" s="2" t="s">
        <v>5345</v>
      </c>
      <c r="I2346" s="2" t="s">
        <v>4315</v>
      </c>
      <c r="J2346" s="4">
        <v>43744</v>
      </c>
      <c r="K2346" s="2" t="s">
        <v>8</v>
      </c>
      <c r="L2346" s="2" t="s">
        <v>12</v>
      </c>
      <c r="M2346" s="2" t="s">
        <v>4968</v>
      </c>
      <c r="R2346" s="77">
        <v>3</v>
      </c>
      <c r="S2346" s="77">
        <v>2.5</v>
      </c>
      <c r="T2346" s="77">
        <v>2</v>
      </c>
      <c r="U2346" s="77">
        <v>2</v>
      </c>
      <c r="V2346" s="77">
        <v>3</v>
      </c>
      <c r="W2346" s="16" t="s">
        <v>62</v>
      </c>
      <c r="Y2346" s="7">
        <v>43772</v>
      </c>
      <c r="Z2346" s="16" t="s">
        <v>67</v>
      </c>
      <c r="AB2346" s="2" t="s">
        <v>5378</v>
      </c>
    </row>
    <row r="2347" spans="1:28">
      <c r="A2347" s="285"/>
      <c r="C2347" s="25">
        <v>147</v>
      </c>
      <c r="D2347" s="2">
        <v>25715</v>
      </c>
      <c r="E2347" s="2" t="s">
        <v>5346</v>
      </c>
      <c r="F2347" s="3">
        <v>29605050104751</v>
      </c>
      <c r="G2347" s="2" t="s">
        <v>129</v>
      </c>
      <c r="H2347" s="2" t="s">
        <v>5347</v>
      </c>
      <c r="I2347" s="2" t="s">
        <v>4315</v>
      </c>
      <c r="J2347" s="4">
        <v>43744</v>
      </c>
      <c r="K2347" s="2" t="s">
        <v>8</v>
      </c>
      <c r="L2347" s="2" t="s">
        <v>12</v>
      </c>
      <c r="M2347" s="2" t="s">
        <v>103</v>
      </c>
      <c r="R2347" s="77">
        <v>3</v>
      </c>
      <c r="S2347" s="77">
        <v>2.5</v>
      </c>
      <c r="T2347" s="77">
        <v>2.5</v>
      </c>
      <c r="U2347" s="77">
        <v>2</v>
      </c>
      <c r="V2347" s="77">
        <v>3</v>
      </c>
      <c r="W2347" s="16" t="s">
        <v>170</v>
      </c>
      <c r="Y2347" s="7">
        <v>43772</v>
      </c>
      <c r="Z2347" s="16" t="s">
        <v>66</v>
      </c>
      <c r="AA2347" s="7">
        <v>43808</v>
      </c>
    </row>
    <row r="2348" spans="1:28">
      <c r="A2348" s="285"/>
      <c r="C2348" s="25">
        <v>147</v>
      </c>
      <c r="D2348" s="2">
        <v>25716</v>
      </c>
      <c r="E2348" s="2" t="s">
        <v>5348</v>
      </c>
      <c r="F2348" s="3">
        <v>29708251803261</v>
      </c>
      <c r="G2348" s="2" t="s">
        <v>3970</v>
      </c>
      <c r="H2348" s="2" t="s">
        <v>5349</v>
      </c>
      <c r="I2348" s="2" t="s">
        <v>4315</v>
      </c>
      <c r="J2348" s="4">
        <v>43744</v>
      </c>
      <c r="K2348" s="2" t="s">
        <v>8</v>
      </c>
      <c r="L2348" s="2" t="s">
        <v>12</v>
      </c>
      <c r="M2348" s="2" t="s">
        <v>4493</v>
      </c>
      <c r="R2348" s="77">
        <v>3</v>
      </c>
      <c r="S2348" s="77">
        <v>2.5</v>
      </c>
      <c r="T2348" s="77">
        <v>2.5</v>
      </c>
      <c r="U2348" s="77">
        <v>2.5</v>
      </c>
      <c r="V2348" s="77">
        <v>3</v>
      </c>
      <c r="W2348" s="16" t="s">
        <v>60</v>
      </c>
      <c r="X2348" s="2" t="s">
        <v>66</v>
      </c>
      <c r="Y2348" s="7">
        <v>43803</v>
      </c>
      <c r="Z2348" s="16" t="s">
        <v>66</v>
      </c>
      <c r="AA2348" s="7">
        <v>43850</v>
      </c>
    </row>
    <row r="2349" spans="1:28">
      <c r="A2349" s="285"/>
      <c r="C2349" s="25">
        <v>147</v>
      </c>
      <c r="D2349" s="2">
        <v>25717</v>
      </c>
      <c r="E2349" s="2" t="s">
        <v>5350</v>
      </c>
      <c r="F2349" s="3">
        <v>29409072102538</v>
      </c>
      <c r="G2349" s="2" t="s">
        <v>129</v>
      </c>
      <c r="H2349" s="2" t="s">
        <v>5351</v>
      </c>
      <c r="I2349" s="2" t="s">
        <v>4315</v>
      </c>
      <c r="J2349" s="4">
        <v>43744</v>
      </c>
      <c r="K2349" s="2" t="s">
        <v>8</v>
      </c>
      <c r="L2349" s="2" t="s">
        <v>12</v>
      </c>
      <c r="M2349" s="2" t="s">
        <v>4706</v>
      </c>
      <c r="W2349" s="16" t="s">
        <v>63</v>
      </c>
      <c r="Z2349" s="16" t="s">
        <v>67</v>
      </c>
    </row>
    <row r="2350" spans="1:28">
      <c r="A2350" s="285"/>
      <c r="C2350" s="25">
        <v>147</v>
      </c>
      <c r="D2350" s="2">
        <v>25718</v>
      </c>
      <c r="E2350" s="2" t="s">
        <v>5352</v>
      </c>
      <c r="F2350" s="3">
        <v>29203308800765</v>
      </c>
      <c r="G2350" s="2" t="s">
        <v>129</v>
      </c>
      <c r="H2350" s="2" t="s">
        <v>5353</v>
      </c>
      <c r="I2350" s="2" t="s">
        <v>4315</v>
      </c>
      <c r="J2350" s="4">
        <v>43744</v>
      </c>
      <c r="K2350" s="2" t="s">
        <v>8</v>
      </c>
      <c r="L2350" s="2" t="s">
        <v>12</v>
      </c>
      <c r="M2350" s="2" t="s">
        <v>294</v>
      </c>
      <c r="R2350" s="77">
        <v>3</v>
      </c>
      <c r="S2350" s="77">
        <v>2.5</v>
      </c>
      <c r="T2350" s="77">
        <v>2.5</v>
      </c>
      <c r="U2350" s="77">
        <v>2</v>
      </c>
      <c r="V2350" s="77">
        <v>3</v>
      </c>
      <c r="W2350" s="16" t="s">
        <v>170</v>
      </c>
      <c r="X2350" s="2" t="s">
        <v>66</v>
      </c>
      <c r="Y2350" s="7">
        <v>43803</v>
      </c>
      <c r="AB2350" s="2" t="s">
        <v>5569</v>
      </c>
    </row>
    <row r="2351" spans="1:28">
      <c r="A2351" s="285"/>
      <c r="C2351" s="25">
        <v>147</v>
      </c>
      <c r="D2351" s="2">
        <v>25719</v>
      </c>
      <c r="E2351" s="2" t="s">
        <v>5354</v>
      </c>
      <c r="F2351" s="3">
        <v>28709300113278</v>
      </c>
      <c r="G2351" s="2" t="s">
        <v>34</v>
      </c>
      <c r="H2351" s="2" t="s">
        <v>5355</v>
      </c>
      <c r="I2351" s="2" t="s">
        <v>4315</v>
      </c>
      <c r="J2351" s="4">
        <v>43744</v>
      </c>
      <c r="K2351" s="2" t="s">
        <v>8</v>
      </c>
      <c r="L2351" s="2" t="s">
        <v>12</v>
      </c>
      <c r="M2351" s="2" t="s">
        <v>696</v>
      </c>
      <c r="R2351" s="77">
        <v>3</v>
      </c>
      <c r="S2351" s="77">
        <v>2.5</v>
      </c>
      <c r="T2351" s="77">
        <v>2</v>
      </c>
      <c r="U2351" s="77">
        <v>2</v>
      </c>
      <c r="V2351" s="77">
        <v>3</v>
      </c>
      <c r="W2351" s="16" t="s">
        <v>62</v>
      </c>
      <c r="Y2351" s="7">
        <v>43772</v>
      </c>
      <c r="Z2351" s="16" t="s">
        <v>66</v>
      </c>
      <c r="AA2351" s="7">
        <v>43787</v>
      </c>
      <c r="AB2351" s="2" t="s">
        <v>4411</v>
      </c>
    </row>
    <row r="2352" spans="1:28">
      <c r="A2352" s="285"/>
      <c r="C2352" s="25">
        <v>147</v>
      </c>
      <c r="D2352" s="2">
        <v>25720</v>
      </c>
      <c r="E2352" s="2" t="s">
        <v>5356</v>
      </c>
      <c r="F2352" s="3">
        <v>29303192101168</v>
      </c>
      <c r="G2352" s="2" t="s">
        <v>34</v>
      </c>
      <c r="H2352" s="2" t="s">
        <v>5357</v>
      </c>
      <c r="I2352" s="2" t="s">
        <v>4315</v>
      </c>
      <c r="J2352" s="4">
        <v>43744</v>
      </c>
      <c r="K2352" s="2" t="s">
        <v>8</v>
      </c>
      <c r="L2352" s="2" t="s">
        <v>12</v>
      </c>
      <c r="M2352" s="2" t="s">
        <v>5324</v>
      </c>
      <c r="R2352" s="77">
        <v>3</v>
      </c>
      <c r="S2352" s="77">
        <v>2.5</v>
      </c>
      <c r="T2352" s="77">
        <v>2</v>
      </c>
      <c r="U2352" s="77">
        <v>2</v>
      </c>
      <c r="V2352" s="77">
        <v>3</v>
      </c>
      <c r="W2352" s="16" t="s">
        <v>62</v>
      </c>
      <c r="Y2352" s="7">
        <v>43772</v>
      </c>
      <c r="Z2352" s="16" t="s">
        <v>66</v>
      </c>
      <c r="AA2352" s="7">
        <v>43782</v>
      </c>
      <c r="AB2352" s="2" t="s">
        <v>6516</v>
      </c>
    </row>
    <row r="2353" spans="1:28">
      <c r="A2353" s="285"/>
      <c r="C2353" s="25">
        <v>147</v>
      </c>
      <c r="D2353" s="2">
        <v>25721</v>
      </c>
      <c r="E2353" s="2" t="s">
        <v>5358</v>
      </c>
      <c r="F2353" s="3">
        <v>29710178800228</v>
      </c>
      <c r="G2353" s="2" t="s">
        <v>129</v>
      </c>
      <c r="H2353" s="2" t="s">
        <v>5359</v>
      </c>
      <c r="I2353" s="2" t="s">
        <v>4315</v>
      </c>
      <c r="J2353" s="4">
        <v>43744</v>
      </c>
      <c r="K2353" s="2" t="s">
        <v>8</v>
      </c>
      <c r="L2353" s="2" t="s">
        <v>12</v>
      </c>
      <c r="M2353" s="2" t="s">
        <v>109</v>
      </c>
      <c r="R2353" s="77">
        <v>3</v>
      </c>
      <c r="S2353" s="77">
        <v>2.5</v>
      </c>
      <c r="T2353" s="77">
        <v>2.5</v>
      </c>
      <c r="U2353" s="77">
        <v>2</v>
      </c>
      <c r="V2353" s="77">
        <v>3</v>
      </c>
      <c r="W2353" s="16" t="s">
        <v>170</v>
      </c>
      <c r="Y2353" s="7">
        <v>43772</v>
      </c>
      <c r="Z2353" s="16" t="s">
        <v>66</v>
      </c>
      <c r="AA2353" s="45">
        <v>43808</v>
      </c>
    </row>
    <row r="2354" spans="1:28">
      <c r="A2354" s="285"/>
      <c r="C2354" s="25">
        <v>147</v>
      </c>
      <c r="D2354" s="2">
        <v>25722</v>
      </c>
      <c r="E2354" s="2" t="s">
        <v>5360</v>
      </c>
      <c r="F2354" s="3">
        <v>29704040300186</v>
      </c>
      <c r="G2354" s="2" t="s">
        <v>34</v>
      </c>
      <c r="H2354" s="2" t="s">
        <v>5361</v>
      </c>
      <c r="I2354" s="2" t="s">
        <v>4315</v>
      </c>
      <c r="J2354" s="4">
        <v>43744</v>
      </c>
      <c r="K2354" s="2" t="s">
        <v>8</v>
      </c>
      <c r="L2354" s="2" t="s">
        <v>12</v>
      </c>
      <c r="M2354" s="2" t="s">
        <v>4923</v>
      </c>
      <c r="R2354" s="77">
        <v>3</v>
      </c>
      <c r="S2354" s="77">
        <v>2.5</v>
      </c>
      <c r="T2354" s="77">
        <v>2.5</v>
      </c>
      <c r="U2354" s="77">
        <v>2.5</v>
      </c>
      <c r="V2354" s="77">
        <v>3</v>
      </c>
      <c r="W2354" s="16" t="s">
        <v>170</v>
      </c>
      <c r="X2354" s="2" t="s">
        <v>66</v>
      </c>
      <c r="Y2354" s="7">
        <v>43803</v>
      </c>
      <c r="Z2354" s="16" t="s">
        <v>66</v>
      </c>
      <c r="AA2354" s="45">
        <v>43808</v>
      </c>
    </row>
    <row r="2355" spans="1:28">
      <c r="A2355" s="285"/>
      <c r="C2355" s="25">
        <v>147</v>
      </c>
      <c r="D2355" s="2">
        <v>25723</v>
      </c>
      <c r="E2355" s="2" t="s">
        <v>5362</v>
      </c>
      <c r="F2355" s="3">
        <v>29009250102425</v>
      </c>
      <c r="G2355" s="2" t="s">
        <v>34</v>
      </c>
      <c r="H2355" s="2" t="s">
        <v>5363</v>
      </c>
      <c r="I2355" s="2" t="s">
        <v>4315</v>
      </c>
      <c r="J2355" s="4">
        <v>43744</v>
      </c>
      <c r="K2355" s="2" t="s">
        <v>8</v>
      </c>
      <c r="L2355" s="2" t="s">
        <v>12</v>
      </c>
      <c r="M2355" s="2" t="s">
        <v>5276</v>
      </c>
      <c r="R2355" s="77">
        <v>3</v>
      </c>
      <c r="S2355" s="77">
        <v>2.5</v>
      </c>
      <c r="T2355" s="77">
        <v>2</v>
      </c>
      <c r="U2355" s="77">
        <v>2</v>
      </c>
      <c r="V2355" s="77">
        <v>3</v>
      </c>
      <c r="W2355" s="16" t="s">
        <v>62</v>
      </c>
      <c r="Y2355" s="7">
        <v>43772</v>
      </c>
      <c r="Z2355" s="16" t="s">
        <v>67</v>
      </c>
      <c r="AB2355" s="2" t="s">
        <v>5526</v>
      </c>
    </row>
    <row r="2356" spans="1:28">
      <c r="A2356" s="285"/>
      <c r="C2356" s="25">
        <v>147</v>
      </c>
      <c r="D2356" s="2">
        <v>25724</v>
      </c>
      <c r="E2356" s="2" t="s">
        <v>5364</v>
      </c>
      <c r="F2356" s="3">
        <v>29607302700746</v>
      </c>
      <c r="G2356" s="2" t="s">
        <v>34</v>
      </c>
      <c r="H2356" s="2" t="s">
        <v>5365</v>
      </c>
      <c r="I2356" s="2" t="s">
        <v>4315</v>
      </c>
      <c r="J2356" s="4">
        <v>43744</v>
      </c>
      <c r="K2356" s="2" t="s">
        <v>8</v>
      </c>
      <c r="L2356" s="2" t="s">
        <v>12</v>
      </c>
      <c r="M2356" s="2" t="s">
        <v>4257</v>
      </c>
      <c r="R2356" s="77">
        <v>3</v>
      </c>
      <c r="S2356" s="77">
        <v>3</v>
      </c>
      <c r="T2356" s="77">
        <v>2.5</v>
      </c>
      <c r="U2356" s="77">
        <v>2.5</v>
      </c>
      <c r="V2356" s="77">
        <v>3</v>
      </c>
      <c r="W2356" s="16" t="s">
        <v>61</v>
      </c>
      <c r="Y2356" s="7">
        <v>43772</v>
      </c>
      <c r="Z2356" s="16" t="s">
        <v>66</v>
      </c>
      <c r="AA2356" s="7">
        <v>43787</v>
      </c>
    </row>
    <row r="2357" spans="1:28">
      <c r="A2357" s="285"/>
      <c r="C2357" s="25">
        <v>147</v>
      </c>
      <c r="D2357" s="2">
        <v>25725</v>
      </c>
      <c r="E2357" s="2" t="s">
        <v>5366</v>
      </c>
      <c r="F2357" s="3">
        <v>29506070103176</v>
      </c>
      <c r="G2357" s="2" t="s">
        <v>34</v>
      </c>
      <c r="H2357" s="2" t="s">
        <v>5367</v>
      </c>
      <c r="I2357" s="2" t="s">
        <v>4315</v>
      </c>
      <c r="J2357" s="4">
        <v>43744</v>
      </c>
      <c r="K2357" s="2" t="s">
        <v>8</v>
      </c>
      <c r="L2357" s="2" t="s">
        <v>12</v>
      </c>
      <c r="M2357" s="2" t="s">
        <v>696</v>
      </c>
      <c r="R2357" s="77">
        <v>3</v>
      </c>
      <c r="S2357" s="77">
        <v>2.5</v>
      </c>
      <c r="T2357" s="77">
        <v>2</v>
      </c>
      <c r="U2357" s="77">
        <v>2.5</v>
      </c>
      <c r="V2357" s="77">
        <v>3</v>
      </c>
      <c r="W2357" s="16" t="s">
        <v>171</v>
      </c>
      <c r="Y2357" s="7">
        <v>43772</v>
      </c>
      <c r="Z2357" s="16" t="s">
        <v>66</v>
      </c>
      <c r="AA2357" s="27">
        <v>43781</v>
      </c>
    </row>
    <row r="2358" spans="1:28">
      <c r="A2358" s="285"/>
      <c r="C2358" s="25">
        <v>147</v>
      </c>
      <c r="D2358" s="2">
        <v>25726</v>
      </c>
      <c r="E2358" s="2" t="s">
        <v>5368</v>
      </c>
      <c r="F2358" s="3">
        <v>29702032100621</v>
      </c>
      <c r="G2358" s="2" t="s">
        <v>34</v>
      </c>
      <c r="H2358" s="2" t="s">
        <v>5369</v>
      </c>
      <c r="I2358" s="2" t="s">
        <v>4315</v>
      </c>
      <c r="J2358" s="4">
        <v>43744</v>
      </c>
      <c r="K2358" s="2" t="s">
        <v>8</v>
      </c>
      <c r="L2358" s="2" t="s">
        <v>12</v>
      </c>
      <c r="M2358" s="2" t="s">
        <v>4923</v>
      </c>
      <c r="R2358" s="77">
        <v>3</v>
      </c>
      <c r="S2358" s="77">
        <v>2.5</v>
      </c>
      <c r="T2358" s="77">
        <v>2.5</v>
      </c>
      <c r="U2358" s="77">
        <v>2</v>
      </c>
      <c r="V2358" s="77">
        <v>3</v>
      </c>
      <c r="W2358" s="16" t="s">
        <v>170</v>
      </c>
      <c r="X2358" s="2" t="s">
        <v>66</v>
      </c>
      <c r="Y2358" s="7">
        <v>43803</v>
      </c>
      <c r="Z2358" s="16" t="s">
        <v>66</v>
      </c>
      <c r="AA2358" s="45">
        <v>43808</v>
      </c>
    </row>
    <row r="2359" spans="1:28">
      <c r="A2359" s="285"/>
      <c r="C2359" s="25">
        <v>147</v>
      </c>
      <c r="D2359" s="2">
        <v>25727</v>
      </c>
      <c r="E2359" s="2" t="s">
        <v>5370</v>
      </c>
      <c r="F2359" s="3" t="s">
        <v>5371</v>
      </c>
      <c r="G2359" s="2" t="s">
        <v>34</v>
      </c>
      <c r="H2359" s="2" t="s">
        <v>5372</v>
      </c>
      <c r="I2359" s="2" t="s">
        <v>4315</v>
      </c>
      <c r="J2359" s="4">
        <v>43744</v>
      </c>
      <c r="K2359" s="2" t="s">
        <v>8</v>
      </c>
      <c r="L2359" s="2" t="s">
        <v>12</v>
      </c>
      <c r="M2359" s="2" t="s">
        <v>5373</v>
      </c>
      <c r="W2359" s="16" t="s">
        <v>64</v>
      </c>
      <c r="Z2359" s="16" t="s">
        <v>67</v>
      </c>
    </row>
    <row r="2360" spans="1:28" ht="15.75" thickBot="1">
      <c r="A2360" s="285"/>
      <c r="C2360" s="38">
        <v>147</v>
      </c>
      <c r="D2360" s="28">
        <v>25058</v>
      </c>
      <c r="E2360" s="28" t="s">
        <v>5121</v>
      </c>
      <c r="F2360" s="29">
        <v>29307051900496</v>
      </c>
      <c r="G2360" s="28" t="s">
        <v>34</v>
      </c>
      <c r="H2360" s="28" t="s">
        <v>5122</v>
      </c>
      <c r="I2360" s="28" t="s">
        <v>4305</v>
      </c>
      <c r="J2360" s="30">
        <v>43744</v>
      </c>
      <c r="K2360" s="28" t="s">
        <v>8</v>
      </c>
      <c r="L2360" s="28" t="s">
        <v>12</v>
      </c>
      <c r="M2360" s="28" t="s">
        <v>5123</v>
      </c>
      <c r="N2360" s="28"/>
      <c r="O2360" s="226"/>
      <c r="P2360" s="28"/>
      <c r="Q2360" s="226"/>
      <c r="R2360" s="37">
        <v>3</v>
      </c>
      <c r="S2360" s="37">
        <v>2.5</v>
      </c>
      <c r="T2360" s="37">
        <v>2</v>
      </c>
      <c r="U2360" s="37">
        <v>2</v>
      </c>
      <c r="V2360" s="37">
        <v>3</v>
      </c>
      <c r="W2360" s="28" t="s">
        <v>62</v>
      </c>
      <c r="X2360" s="28" t="s">
        <v>66</v>
      </c>
      <c r="Y2360" s="30">
        <v>43817</v>
      </c>
      <c r="Z2360" s="28" t="s">
        <v>67</v>
      </c>
      <c r="AA2360" s="30"/>
      <c r="AB2360" s="28" t="s">
        <v>5805</v>
      </c>
    </row>
    <row r="2361" spans="1:28" ht="15.75" thickTop="1">
      <c r="A2361" s="289" t="s">
        <v>4519</v>
      </c>
      <c r="C2361" s="25">
        <v>148</v>
      </c>
      <c r="D2361" s="25">
        <v>25728</v>
      </c>
      <c r="E2361" s="25" t="s">
        <v>5379</v>
      </c>
      <c r="F2361" s="26">
        <v>29512020102292</v>
      </c>
      <c r="G2361" s="25" t="s">
        <v>129</v>
      </c>
      <c r="H2361" s="25" t="s">
        <v>5396</v>
      </c>
      <c r="I2361" s="25" t="s">
        <v>4315</v>
      </c>
      <c r="J2361" s="27">
        <v>43751</v>
      </c>
      <c r="K2361" s="25" t="s">
        <v>5380</v>
      </c>
      <c r="L2361" s="25" t="s">
        <v>12</v>
      </c>
      <c r="M2361" s="25" t="s">
        <v>4257</v>
      </c>
      <c r="N2361" s="25"/>
      <c r="O2361" s="224"/>
      <c r="P2361" s="25"/>
      <c r="Q2361" s="224"/>
      <c r="R2361" s="77">
        <v>3</v>
      </c>
      <c r="S2361" s="77">
        <v>2.5</v>
      </c>
      <c r="T2361" s="77">
        <v>2</v>
      </c>
      <c r="U2361" s="77">
        <v>2.5</v>
      </c>
      <c r="V2361" s="77">
        <v>3</v>
      </c>
      <c r="W2361" s="25" t="s">
        <v>171</v>
      </c>
      <c r="X2361" s="25"/>
      <c r="Y2361" s="27">
        <v>43776</v>
      </c>
      <c r="Z2361" s="25" t="s">
        <v>66</v>
      </c>
      <c r="AA2361" s="27">
        <v>43781</v>
      </c>
      <c r="AB2361" s="25"/>
    </row>
    <row r="2362" spans="1:28">
      <c r="A2362" s="290"/>
      <c r="C2362" s="25">
        <v>148</v>
      </c>
      <c r="D2362" s="2">
        <v>25729</v>
      </c>
      <c r="E2362" s="2" t="s">
        <v>5381</v>
      </c>
      <c r="F2362" s="3">
        <v>28704031600777</v>
      </c>
      <c r="G2362" s="2" t="s">
        <v>129</v>
      </c>
      <c r="H2362" s="2" t="s">
        <v>5397</v>
      </c>
      <c r="I2362" s="2" t="s">
        <v>4315</v>
      </c>
      <c r="J2362" s="4">
        <v>43751</v>
      </c>
      <c r="K2362" s="2" t="s">
        <v>5380</v>
      </c>
      <c r="L2362" s="2" t="s">
        <v>12</v>
      </c>
      <c r="M2362" s="2" t="s">
        <v>696</v>
      </c>
      <c r="R2362" s="77">
        <v>3</v>
      </c>
      <c r="S2362" s="77">
        <v>2.5</v>
      </c>
      <c r="T2362" s="77">
        <v>2</v>
      </c>
      <c r="U2362" s="77">
        <v>2.5</v>
      </c>
      <c r="V2362" s="77">
        <v>3</v>
      </c>
      <c r="W2362" s="16" t="s">
        <v>171</v>
      </c>
      <c r="Y2362" s="7">
        <v>43776</v>
      </c>
      <c r="Z2362" s="16" t="s">
        <v>66</v>
      </c>
      <c r="AA2362" s="27">
        <v>43781</v>
      </c>
    </row>
    <row r="2363" spans="1:28">
      <c r="A2363" s="290"/>
      <c r="C2363" s="25">
        <v>148</v>
      </c>
      <c r="D2363" s="2">
        <v>25730</v>
      </c>
      <c r="E2363" s="2" t="s">
        <v>5382</v>
      </c>
      <c r="F2363" s="3">
        <v>30006180200935</v>
      </c>
      <c r="G2363" s="2" t="s">
        <v>5383</v>
      </c>
      <c r="H2363" s="2" t="s">
        <v>5398</v>
      </c>
      <c r="I2363" s="2" t="s">
        <v>4315</v>
      </c>
      <c r="J2363" s="4">
        <v>43751</v>
      </c>
      <c r="K2363" s="2" t="s">
        <v>5380</v>
      </c>
      <c r="L2363" s="2" t="s">
        <v>12</v>
      </c>
      <c r="M2363" s="2" t="s">
        <v>4800</v>
      </c>
      <c r="W2363" s="16" t="s">
        <v>63</v>
      </c>
      <c r="Z2363" s="16" t="s">
        <v>67</v>
      </c>
    </row>
    <row r="2364" spans="1:28">
      <c r="A2364" s="290"/>
      <c r="C2364" s="25">
        <v>148</v>
      </c>
      <c r="D2364" s="2">
        <v>25731</v>
      </c>
      <c r="E2364" s="2" t="s">
        <v>5384</v>
      </c>
      <c r="F2364" s="3">
        <v>29607140104176</v>
      </c>
      <c r="G2364" s="2" t="s">
        <v>5383</v>
      </c>
      <c r="H2364" s="2" t="s">
        <v>5399</v>
      </c>
      <c r="I2364" s="2" t="s">
        <v>4315</v>
      </c>
      <c r="J2364" s="4">
        <v>43751</v>
      </c>
      <c r="K2364" s="2" t="s">
        <v>5380</v>
      </c>
      <c r="L2364" s="2" t="s">
        <v>12</v>
      </c>
      <c r="M2364" s="2" t="s">
        <v>4753</v>
      </c>
      <c r="R2364" s="77">
        <v>3</v>
      </c>
      <c r="S2364" s="77">
        <v>2.5</v>
      </c>
      <c r="T2364" s="77">
        <v>2</v>
      </c>
      <c r="U2364" s="77">
        <v>2.5</v>
      </c>
      <c r="V2364" s="77">
        <v>3</v>
      </c>
      <c r="W2364" s="16" t="s">
        <v>171</v>
      </c>
      <c r="Y2364" s="7">
        <v>43776</v>
      </c>
      <c r="Z2364" s="16" t="s">
        <v>66</v>
      </c>
      <c r="AA2364" s="27">
        <v>43781</v>
      </c>
    </row>
    <row r="2365" spans="1:28">
      <c r="A2365" s="290"/>
      <c r="C2365" s="25">
        <v>148</v>
      </c>
      <c r="D2365" s="2">
        <v>25732</v>
      </c>
      <c r="E2365" s="2" t="s">
        <v>5385</v>
      </c>
      <c r="F2365" s="3">
        <v>29512120105868</v>
      </c>
      <c r="G2365" s="2" t="s">
        <v>34</v>
      </c>
      <c r="H2365" s="2" t="s">
        <v>5400</v>
      </c>
      <c r="I2365" s="2" t="s">
        <v>4315</v>
      </c>
      <c r="J2365" s="4">
        <v>43751</v>
      </c>
      <c r="K2365" s="2" t="s">
        <v>5380</v>
      </c>
      <c r="L2365" s="2" t="s">
        <v>12</v>
      </c>
      <c r="M2365" s="2" t="s">
        <v>5373</v>
      </c>
      <c r="R2365" s="77">
        <v>3</v>
      </c>
      <c r="S2365" s="77">
        <v>2.5</v>
      </c>
      <c r="T2365" s="77">
        <v>2</v>
      </c>
      <c r="U2365" s="77">
        <v>2</v>
      </c>
      <c r="V2365" s="77">
        <v>3</v>
      </c>
      <c r="W2365" s="16" t="s">
        <v>62</v>
      </c>
      <c r="Y2365" s="7">
        <v>43776</v>
      </c>
      <c r="Z2365" s="16" t="s">
        <v>67</v>
      </c>
      <c r="AB2365" s="2" t="s">
        <v>5659</v>
      </c>
    </row>
    <row r="2366" spans="1:28">
      <c r="A2366" s="290"/>
      <c r="C2366" s="25">
        <v>148</v>
      </c>
      <c r="D2366" s="2">
        <v>25733</v>
      </c>
      <c r="E2366" s="2" t="s">
        <v>5386</v>
      </c>
      <c r="F2366" s="3">
        <v>30006260101113</v>
      </c>
      <c r="G2366" s="2" t="s">
        <v>5383</v>
      </c>
      <c r="H2366" s="2" t="s">
        <v>5401</v>
      </c>
      <c r="I2366" s="2" t="s">
        <v>4315</v>
      </c>
      <c r="J2366" s="4">
        <v>43751</v>
      </c>
      <c r="K2366" s="2" t="s">
        <v>5380</v>
      </c>
      <c r="L2366" s="2" t="s">
        <v>12</v>
      </c>
      <c r="M2366" s="2" t="s">
        <v>5387</v>
      </c>
      <c r="R2366" s="77">
        <v>3</v>
      </c>
      <c r="S2366" s="77">
        <v>2.5</v>
      </c>
      <c r="T2366" s="77">
        <v>2.5</v>
      </c>
      <c r="U2366" s="77">
        <v>2.5</v>
      </c>
      <c r="V2366" s="77">
        <v>3</v>
      </c>
      <c r="W2366" s="16" t="s">
        <v>61</v>
      </c>
      <c r="Y2366" s="7">
        <v>43776</v>
      </c>
      <c r="Z2366" s="16" t="s">
        <v>66</v>
      </c>
      <c r="AA2366" s="27">
        <v>43781</v>
      </c>
    </row>
    <row r="2367" spans="1:28">
      <c r="A2367" s="290"/>
      <c r="C2367" s="25">
        <v>148</v>
      </c>
      <c r="D2367" s="2">
        <v>25734</v>
      </c>
      <c r="E2367" s="2" t="s">
        <v>5388</v>
      </c>
      <c r="F2367" s="3">
        <v>29608241302994</v>
      </c>
      <c r="G2367" s="2" t="s">
        <v>129</v>
      </c>
      <c r="H2367" s="2" t="s">
        <v>5402</v>
      </c>
      <c r="I2367" s="2" t="s">
        <v>4315</v>
      </c>
      <c r="J2367" s="4">
        <v>43751</v>
      </c>
      <c r="K2367" s="2" t="s">
        <v>5380</v>
      </c>
      <c r="L2367" s="2" t="s">
        <v>12</v>
      </c>
      <c r="M2367" s="2" t="s">
        <v>5324</v>
      </c>
      <c r="R2367" s="77">
        <v>3</v>
      </c>
      <c r="S2367" s="77">
        <v>2.5</v>
      </c>
      <c r="T2367" s="77">
        <v>2</v>
      </c>
      <c r="U2367" s="77">
        <v>2.5</v>
      </c>
      <c r="V2367" s="77">
        <v>3</v>
      </c>
      <c r="W2367" s="16" t="s">
        <v>61</v>
      </c>
      <c r="Y2367" s="7">
        <v>43776</v>
      </c>
      <c r="Z2367" s="16" t="s">
        <v>66</v>
      </c>
      <c r="AA2367" s="27">
        <v>43781</v>
      </c>
    </row>
    <row r="2368" spans="1:28">
      <c r="A2368" s="290"/>
      <c r="C2368" s="25">
        <v>148</v>
      </c>
      <c r="D2368" s="2">
        <v>25735</v>
      </c>
      <c r="E2368" s="2" t="s">
        <v>5389</v>
      </c>
      <c r="F2368" s="3">
        <v>29711252100124</v>
      </c>
      <c r="G2368" s="2" t="s">
        <v>34</v>
      </c>
      <c r="H2368" s="2" t="s">
        <v>5403</v>
      </c>
      <c r="I2368" s="2" t="s">
        <v>4315</v>
      </c>
      <c r="J2368" s="4">
        <v>43751</v>
      </c>
      <c r="K2368" s="2" t="s">
        <v>5380</v>
      </c>
      <c r="L2368" s="2" t="s">
        <v>12</v>
      </c>
      <c r="M2368" s="2" t="s">
        <v>5324</v>
      </c>
      <c r="R2368" s="77">
        <v>3</v>
      </c>
      <c r="S2368" s="77">
        <v>2.5</v>
      </c>
      <c r="T2368" s="77">
        <v>2.5</v>
      </c>
      <c r="U2368" s="77">
        <v>2.5</v>
      </c>
      <c r="V2368" s="77">
        <v>3</v>
      </c>
      <c r="W2368" s="16" t="s">
        <v>61</v>
      </c>
      <c r="Y2368" s="7">
        <v>43776</v>
      </c>
      <c r="Z2368" s="16" t="s">
        <v>66</v>
      </c>
      <c r="AA2368" s="27">
        <v>43781</v>
      </c>
    </row>
    <row r="2369" spans="1:28">
      <c r="A2369" s="290"/>
      <c r="C2369" s="25">
        <v>148</v>
      </c>
      <c r="D2369" s="2">
        <v>25736</v>
      </c>
      <c r="E2369" s="2" t="s">
        <v>5390</v>
      </c>
      <c r="F2369" s="3">
        <v>29509190101117</v>
      </c>
      <c r="G2369" s="2" t="s">
        <v>129</v>
      </c>
      <c r="H2369" s="2" t="s">
        <v>5404</v>
      </c>
      <c r="I2369" s="2" t="s">
        <v>4315</v>
      </c>
      <c r="J2369" s="4">
        <v>43751</v>
      </c>
      <c r="K2369" s="2" t="s">
        <v>5380</v>
      </c>
      <c r="L2369" s="2" t="s">
        <v>12</v>
      </c>
      <c r="M2369" s="2" t="s">
        <v>4257</v>
      </c>
      <c r="R2369" s="77">
        <v>3</v>
      </c>
      <c r="S2369" s="77">
        <v>2.5</v>
      </c>
      <c r="T2369" s="77">
        <v>2</v>
      </c>
      <c r="U2369" s="77">
        <v>2.5</v>
      </c>
      <c r="V2369" s="77">
        <v>3</v>
      </c>
      <c r="W2369" s="16" t="s">
        <v>171</v>
      </c>
      <c r="Y2369" s="7">
        <v>43776</v>
      </c>
      <c r="Z2369" s="16" t="s">
        <v>66</v>
      </c>
      <c r="AA2369" s="27">
        <v>43781</v>
      </c>
    </row>
    <row r="2370" spans="1:28">
      <c r="A2370" s="290"/>
      <c r="C2370" s="25">
        <v>148</v>
      </c>
      <c r="D2370" s="2">
        <v>25737</v>
      </c>
      <c r="E2370" s="2" t="s">
        <v>5391</v>
      </c>
      <c r="F2370" s="3">
        <v>29602091200413</v>
      </c>
      <c r="G2370" s="2" t="s">
        <v>129</v>
      </c>
      <c r="H2370" s="2" t="s">
        <v>5405</v>
      </c>
      <c r="I2370" s="2" t="s">
        <v>4315</v>
      </c>
      <c r="J2370" s="4">
        <v>43751</v>
      </c>
      <c r="K2370" s="2" t="s">
        <v>5380</v>
      </c>
      <c r="L2370" s="2" t="s">
        <v>12</v>
      </c>
      <c r="M2370" s="2" t="s">
        <v>103</v>
      </c>
      <c r="R2370" s="77">
        <v>3</v>
      </c>
      <c r="S2370" s="77">
        <v>2.5</v>
      </c>
      <c r="T2370" s="77">
        <v>2</v>
      </c>
      <c r="U2370" s="77">
        <v>2.5</v>
      </c>
      <c r="V2370" s="77">
        <v>3</v>
      </c>
      <c r="W2370" s="16" t="s">
        <v>171</v>
      </c>
      <c r="Y2370" s="7">
        <v>43776</v>
      </c>
      <c r="Z2370" s="16" t="s">
        <v>66</v>
      </c>
      <c r="AA2370" s="27">
        <v>43781</v>
      </c>
    </row>
    <row r="2371" spans="1:28">
      <c r="A2371" s="290"/>
      <c r="C2371" s="25">
        <v>148</v>
      </c>
      <c r="D2371" s="2">
        <v>25738</v>
      </c>
      <c r="E2371" s="2" t="s">
        <v>5392</v>
      </c>
      <c r="F2371" s="3">
        <v>28808090103337</v>
      </c>
      <c r="G2371" s="2" t="s">
        <v>5383</v>
      </c>
      <c r="H2371" s="2" t="s">
        <v>5406</v>
      </c>
      <c r="I2371" s="2" t="s">
        <v>4315</v>
      </c>
      <c r="J2371" s="4">
        <v>43751</v>
      </c>
      <c r="K2371" s="2" t="s">
        <v>5380</v>
      </c>
      <c r="L2371" s="2" t="s">
        <v>12</v>
      </c>
      <c r="M2371" s="2" t="s">
        <v>4669</v>
      </c>
      <c r="R2371" s="77">
        <v>3</v>
      </c>
      <c r="S2371" s="77">
        <v>3</v>
      </c>
      <c r="T2371" s="77">
        <v>2.5</v>
      </c>
      <c r="U2371" s="77">
        <v>2.5</v>
      </c>
      <c r="V2371" s="77">
        <v>3</v>
      </c>
      <c r="W2371" s="16" t="s">
        <v>170</v>
      </c>
      <c r="Y2371" s="7">
        <v>43776</v>
      </c>
      <c r="Z2371" s="16" t="s">
        <v>66</v>
      </c>
      <c r="AA2371" s="7">
        <v>43801</v>
      </c>
    </row>
    <row r="2372" spans="1:28">
      <c r="A2372" s="290"/>
      <c r="C2372" s="25">
        <v>148</v>
      </c>
      <c r="D2372" s="2">
        <v>25739</v>
      </c>
      <c r="E2372" s="2" t="s">
        <v>5393</v>
      </c>
      <c r="F2372" s="3">
        <v>28105252103645</v>
      </c>
      <c r="G2372" s="2" t="s">
        <v>34</v>
      </c>
      <c r="H2372" s="2" t="s">
        <v>5407</v>
      </c>
      <c r="I2372" s="2" t="s">
        <v>4315</v>
      </c>
      <c r="J2372" s="4">
        <v>43751</v>
      </c>
      <c r="K2372" s="2" t="s">
        <v>5380</v>
      </c>
      <c r="L2372" s="2" t="s">
        <v>12</v>
      </c>
      <c r="M2372" s="2" t="s">
        <v>769</v>
      </c>
      <c r="W2372" s="16" t="s">
        <v>64</v>
      </c>
      <c r="Z2372" s="16" t="s">
        <v>67</v>
      </c>
    </row>
    <row r="2373" spans="1:28">
      <c r="A2373" s="290"/>
      <c r="C2373" s="25">
        <v>148</v>
      </c>
      <c r="D2373" s="2">
        <v>25740</v>
      </c>
      <c r="E2373" s="2" t="s">
        <v>5394</v>
      </c>
      <c r="F2373" s="3">
        <v>29602140103801</v>
      </c>
      <c r="G2373" s="2" t="s">
        <v>129</v>
      </c>
      <c r="H2373" s="2" t="s">
        <v>5408</v>
      </c>
      <c r="I2373" s="2" t="s">
        <v>4315</v>
      </c>
      <c r="J2373" s="4">
        <v>43751</v>
      </c>
      <c r="K2373" s="2" t="s">
        <v>5380</v>
      </c>
      <c r="L2373" s="2" t="s">
        <v>12</v>
      </c>
      <c r="M2373" s="2" t="s">
        <v>149</v>
      </c>
      <c r="R2373" s="77">
        <v>3</v>
      </c>
      <c r="S2373" s="77">
        <v>3</v>
      </c>
      <c r="T2373" s="77">
        <v>2.5</v>
      </c>
      <c r="U2373" s="77">
        <v>2.5</v>
      </c>
      <c r="V2373" s="77">
        <v>3</v>
      </c>
      <c r="W2373" s="16" t="s">
        <v>61</v>
      </c>
      <c r="Y2373" s="7">
        <v>43776</v>
      </c>
      <c r="Z2373" s="16" t="s">
        <v>66</v>
      </c>
      <c r="AA2373" s="27">
        <v>43781</v>
      </c>
    </row>
    <row r="2374" spans="1:28">
      <c r="A2374" s="290"/>
      <c r="C2374" s="25">
        <v>148</v>
      </c>
      <c r="D2374" s="2">
        <v>25741</v>
      </c>
      <c r="E2374" s="2" t="s">
        <v>5395</v>
      </c>
      <c r="F2374" s="3">
        <v>29708122102922</v>
      </c>
      <c r="G2374" s="2" t="s">
        <v>129</v>
      </c>
      <c r="H2374" s="2" t="s">
        <v>5409</v>
      </c>
      <c r="I2374" s="2" t="s">
        <v>4315</v>
      </c>
      <c r="J2374" s="4">
        <v>43751</v>
      </c>
      <c r="K2374" s="2" t="s">
        <v>5380</v>
      </c>
      <c r="L2374" s="2" t="s">
        <v>12</v>
      </c>
      <c r="M2374" s="2" t="s">
        <v>149</v>
      </c>
      <c r="R2374" s="77">
        <v>3</v>
      </c>
      <c r="S2374" s="77">
        <v>3</v>
      </c>
      <c r="T2374" s="77">
        <v>3</v>
      </c>
      <c r="U2374" s="77">
        <v>2.5</v>
      </c>
      <c r="V2374" s="77">
        <v>3</v>
      </c>
      <c r="W2374" s="16" t="s">
        <v>61</v>
      </c>
      <c r="Y2374" s="7">
        <v>43776</v>
      </c>
      <c r="Z2374" s="16" t="s">
        <v>66</v>
      </c>
      <c r="AA2374" s="27">
        <v>43781</v>
      </c>
    </row>
    <row r="2375" spans="1:28">
      <c r="A2375" s="290"/>
      <c r="C2375" s="25">
        <v>148</v>
      </c>
      <c r="D2375" s="103">
        <v>25334</v>
      </c>
      <c r="E2375" s="103" t="s">
        <v>5206</v>
      </c>
      <c r="F2375" s="3">
        <v>29705168800285</v>
      </c>
      <c r="G2375" s="103" t="s">
        <v>129</v>
      </c>
      <c r="H2375" s="103" t="s">
        <v>5207</v>
      </c>
      <c r="R2375" s="77">
        <v>3</v>
      </c>
      <c r="S2375" s="77">
        <v>2.5</v>
      </c>
      <c r="T2375" s="77">
        <v>2.5</v>
      </c>
      <c r="U2375" s="77">
        <v>2.5</v>
      </c>
      <c r="V2375" s="77">
        <v>3</v>
      </c>
      <c r="W2375" s="16" t="s">
        <v>61</v>
      </c>
      <c r="Y2375" s="7">
        <v>43776</v>
      </c>
      <c r="Z2375" s="16" t="s">
        <v>66</v>
      </c>
      <c r="AA2375" s="27">
        <v>43781</v>
      </c>
    </row>
    <row r="2376" spans="1:28">
      <c r="A2376" s="290"/>
      <c r="C2376" s="25">
        <v>148</v>
      </c>
      <c r="D2376" s="2">
        <v>25344</v>
      </c>
      <c r="E2376" s="103" t="s">
        <v>5227</v>
      </c>
      <c r="F2376" s="3">
        <v>29510010124651</v>
      </c>
      <c r="G2376" s="2" t="s">
        <v>129</v>
      </c>
      <c r="H2376" s="2" t="s">
        <v>5228</v>
      </c>
      <c r="R2376" s="77">
        <v>3</v>
      </c>
      <c r="S2376" s="77">
        <v>3</v>
      </c>
      <c r="T2376" s="77">
        <v>2.5</v>
      </c>
      <c r="U2376" s="77">
        <v>2.5</v>
      </c>
      <c r="V2376" s="77">
        <v>3</v>
      </c>
      <c r="W2376" s="16" t="s">
        <v>502</v>
      </c>
      <c r="Y2376" s="7">
        <v>43776</v>
      </c>
      <c r="Z2376" s="16" t="s">
        <v>66</v>
      </c>
      <c r="AA2376" s="7">
        <v>43795</v>
      </c>
    </row>
    <row r="2377" spans="1:28" ht="15.75" thickBot="1">
      <c r="A2377" s="291"/>
      <c r="C2377" s="28">
        <v>148</v>
      </c>
      <c r="D2377" s="28">
        <v>25345</v>
      </c>
      <c r="E2377" s="28" t="s">
        <v>5229</v>
      </c>
      <c r="F2377" s="29">
        <v>29506090102729</v>
      </c>
      <c r="G2377" s="28" t="s">
        <v>34</v>
      </c>
      <c r="H2377" s="28" t="s">
        <v>5230</v>
      </c>
      <c r="I2377" s="28"/>
      <c r="J2377" s="30"/>
      <c r="K2377" s="28"/>
      <c r="L2377" s="28"/>
      <c r="M2377" s="28"/>
      <c r="N2377" s="28"/>
      <c r="O2377" s="226"/>
      <c r="P2377" s="28"/>
      <c r="Q2377" s="226"/>
      <c r="R2377" s="37">
        <v>3</v>
      </c>
      <c r="S2377" s="37">
        <v>2.5</v>
      </c>
      <c r="T2377" s="37">
        <v>2.5</v>
      </c>
      <c r="U2377" s="37">
        <v>2.5</v>
      </c>
      <c r="V2377" s="37">
        <v>3</v>
      </c>
      <c r="W2377" s="28" t="s">
        <v>171</v>
      </c>
      <c r="X2377" s="28"/>
      <c r="Y2377" s="30">
        <v>43776</v>
      </c>
      <c r="Z2377" s="28" t="s">
        <v>67</v>
      </c>
      <c r="AA2377" s="30"/>
      <c r="AB2377" s="28" t="s">
        <v>4438</v>
      </c>
    </row>
    <row r="2378" spans="1:28" ht="15.75" thickTop="1">
      <c r="A2378" s="284" t="s">
        <v>5262</v>
      </c>
      <c r="C2378" s="25">
        <v>149</v>
      </c>
      <c r="D2378" s="25">
        <v>25764</v>
      </c>
      <c r="E2378" s="25" t="s">
        <v>5414</v>
      </c>
      <c r="F2378" s="26">
        <v>29306118800916</v>
      </c>
      <c r="G2378" s="25" t="s">
        <v>129</v>
      </c>
      <c r="H2378" s="25" t="s">
        <v>5529</v>
      </c>
      <c r="I2378" s="25" t="s">
        <v>4315</v>
      </c>
      <c r="J2378" s="27">
        <v>43759</v>
      </c>
      <c r="K2378" s="25" t="s">
        <v>5380</v>
      </c>
      <c r="L2378" s="25" t="s">
        <v>12</v>
      </c>
      <c r="M2378" s="25" t="s">
        <v>4257</v>
      </c>
      <c r="N2378" s="25"/>
      <c r="O2378" s="224"/>
      <c r="P2378" s="25"/>
      <c r="Q2378" s="224"/>
      <c r="R2378" s="77">
        <v>3</v>
      </c>
      <c r="S2378" s="77">
        <v>2.5</v>
      </c>
      <c r="T2378" s="77">
        <v>2</v>
      </c>
      <c r="U2378" s="77">
        <v>2.5</v>
      </c>
      <c r="V2378" s="77">
        <v>3</v>
      </c>
      <c r="W2378" s="25" t="s">
        <v>4212</v>
      </c>
      <c r="X2378" s="25" t="s">
        <v>66</v>
      </c>
      <c r="Y2378" s="27">
        <v>43803</v>
      </c>
      <c r="Z2378" s="25" t="s">
        <v>66</v>
      </c>
      <c r="AA2378" s="27">
        <v>43831</v>
      </c>
      <c r="AB2378" s="25"/>
    </row>
    <row r="2379" spans="1:28">
      <c r="A2379" s="285"/>
      <c r="C2379" s="25">
        <v>149</v>
      </c>
      <c r="D2379" s="2">
        <v>25765</v>
      </c>
      <c r="E2379" s="2" t="s">
        <v>5415</v>
      </c>
      <c r="F2379" s="3">
        <v>29506071200159</v>
      </c>
      <c r="G2379" s="2" t="s">
        <v>34</v>
      </c>
      <c r="H2379" s="2" t="s">
        <v>5423</v>
      </c>
      <c r="I2379" s="2" t="s">
        <v>4315</v>
      </c>
      <c r="J2379" s="4">
        <v>43759</v>
      </c>
      <c r="K2379" s="2" t="s">
        <v>5380</v>
      </c>
      <c r="L2379" s="2" t="s">
        <v>12</v>
      </c>
      <c r="M2379" s="2" t="s">
        <v>4257</v>
      </c>
      <c r="R2379" s="77">
        <v>3</v>
      </c>
      <c r="S2379" s="77">
        <v>2.5</v>
      </c>
      <c r="T2379" s="77">
        <v>2.5</v>
      </c>
      <c r="U2379" s="77">
        <v>2.5</v>
      </c>
      <c r="V2379" s="77">
        <v>3</v>
      </c>
      <c r="W2379" s="16" t="s">
        <v>60</v>
      </c>
      <c r="Y2379" s="7">
        <v>43786</v>
      </c>
      <c r="Z2379" s="16" t="s">
        <v>66</v>
      </c>
      <c r="AA2379" s="7">
        <v>43801</v>
      </c>
    </row>
    <row r="2380" spans="1:28">
      <c r="A2380" s="285"/>
      <c r="C2380" s="25">
        <v>149</v>
      </c>
      <c r="D2380" s="2">
        <v>25766</v>
      </c>
      <c r="E2380" s="2" t="s">
        <v>5416</v>
      </c>
      <c r="F2380" s="3">
        <v>29702100100057</v>
      </c>
      <c r="G2380" s="2" t="s">
        <v>34</v>
      </c>
      <c r="H2380" s="2" t="s">
        <v>5424</v>
      </c>
      <c r="I2380" s="2" t="s">
        <v>4315</v>
      </c>
      <c r="J2380" s="4">
        <v>43759</v>
      </c>
      <c r="K2380" s="2" t="s">
        <v>5380</v>
      </c>
      <c r="L2380" s="2" t="s">
        <v>12</v>
      </c>
      <c r="M2380" s="2" t="s">
        <v>4493</v>
      </c>
      <c r="W2380" s="16" t="s">
        <v>61</v>
      </c>
      <c r="Z2380" s="16" t="s">
        <v>66</v>
      </c>
      <c r="AA2380" s="7">
        <v>43774</v>
      </c>
      <c r="AB2380" s="2" t="s">
        <v>5528</v>
      </c>
    </row>
    <row r="2381" spans="1:28">
      <c r="A2381" s="285"/>
      <c r="C2381" s="25">
        <v>149</v>
      </c>
      <c r="D2381" s="2">
        <v>25767</v>
      </c>
      <c r="E2381" s="2" t="s">
        <v>5417</v>
      </c>
      <c r="F2381" s="3">
        <v>29406272102819</v>
      </c>
      <c r="G2381" s="2" t="s">
        <v>4977</v>
      </c>
      <c r="H2381" s="2" t="s">
        <v>5425</v>
      </c>
      <c r="I2381" s="2" t="s">
        <v>4315</v>
      </c>
      <c r="J2381" s="4">
        <v>43759</v>
      </c>
      <c r="K2381" s="2" t="s">
        <v>5380</v>
      </c>
      <c r="L2381" s="2" t="s">
        <v>12</v>
      </c>
      <c r="M2381" s="2" t="s">
        <v>5418</v>
      </c>
      <c r="R2381" s="77">
        <v>3</v>
      </c>
      <c r="S2381" s="77">
        <v>3</v>
      </c>
      <c r="T2381" s="77">
        <v>2</v>
      </c>
      <c r="U2381" s="77">
        <v>2</v>
      </c>
      <c r="V2381" s="77">
        <v>3</v>
      </c>
      <c r="W2381" s="16" t="s">
        <v>4212</v>
      </c>
      <c r="X2381" s="2" t="s">
        <v>66</v>
      </c>
      <c r="Y2381" s="7">
        <v>43803</v>
      </c>
      <c r="Z2381" s="16" t="s">
        <v>66</v>
      </c>
      <c r="AA2381" s="45">
        <v>43831</v>
      </c>
    </row>
    <row r="2382" spans="1:28">
      <c r="A2382" s="285"/>
      <c r="C2382" s="25">
        <v>149</v>
      </c>
      <c r="D2382" s="2">
        <v>25768</v>
      </c>
      <c r="E2382" s="2" t="s">
        <v>5419</v>
      </c>
      <c r="F2382" s="3">
        <v>29506020102179</v>
      </c>
      <c r="G2382" s="2" t="s">
        <v>34</v>
      </c>
      <c r="H2382" s="2" t="s">
        <v>5426</v>
      </c>
      <c r="I2382" s="2" t="s">
        <v>4315</v>
      </c>
      <c r="J2382" s="4">
        <v>43759</v>
      </c>
      <c r="K2382" s="2" t="s">
        <v>5380</v>
      </c>
      <c r="L2382" s="2" t="s">
        <v>12</v>
      </c>
      <c r="M2382" s="2" t="s">
        <v>5387</v>
      </c>
      <c r="R2382" s="77">
        <v>3</v>
      </c>
      <c r="S2382" s="77">
        <v>2.5</v>
      </c>
      <c r="T2382" s="77">
        <v>2.5</v>
      </c>
      <c r="U2382" s="77">
        <v>2.5</v>
      </c>
      <c r="V2382" s="77">
        <v>3</v>
      </c>
      <c r="W2382" s="16" t="s">
        <v>60</v>
      </c>
      <c r="Y2382" s="7">
        <v>43786</v>
      </c>
      <c r="Z2382" s="16" t="s">
        <v>66</v>
      </c>
      <c r="AA2382" s="7">
        <v>43801</v>
      </c>
    </row>
    <row r="2383" spans="1:28">
      <c r="A2383" s="285"/>
      <c r="C2383" s="25">
        <v>149</v>
      </c>
      <c r="D2383" s="2">
        <v>25769</v>
      </c>
      <c r="E2383" s="2" t="s">
        <v>5420</v>
      </c>
      <c r="F2383" s="3">
        <v>30102042104487</v>
      </c>
      <c r="G2383" s="2" t="s">
        <v>5383</v>
      </c>
      <c r="H2383" s="2" t="s">
        <v>5427</v>
      </c>
      <c r="I2383" s="2" t="s">
        <v>4315</v>
      </c>
      <c r="J2383" s="4">
        <v>43759</v>
      </c>
      <c r="K2383" s="2" t="s">
        <v>5380</v>
      </c>
      <c r="L2383" s="2" t="s">
        <v>12</v>
      </c>
      <c r="M2383" s="2" t="s">
        <v>4800</v>
      </c>
      <c r="R2383" s="77">
        <v>3</v>
      </c>
      <c r="S2383" s="77">
        <v>2</v>
      </c>
      <c r="T2383" s="77">
        <v>2.5</v>
      </c>
      <c r="U2383" s="77">
        <v>2</v>
      </c>
      <c r="V2383" s="77">
        <v>3</v>
      </c>
      <c r="W2383" s="16" t="s">
        <v>62</v>
      </c>
      <c r="X2383" s="2" t="s">
        <v>66</v>
      </c>
      <c r="Y2383" s="7">
        <v>43803</v>
      </c>
      <c r="Z2383" s="16" t="s">
        <v>66</v>
      </c>
      <c r="AA2383" s="7">
        <v>43864</v>
      </c>
      <c r="AB2383" s="2" t="s">
        <v>5881</v>
      </c>
    </row>
    <row r="2384" spans="1:28">
      <c r="A2384" s="285"/>
      <c r="C2384" s="25">
        <v>149</v>
      </c>
      <c r="D2384" s="2">
        <v>25770</v>
      </c>
      <c r="E2384" s="2" t="s">
        <v>5421</v>
      </c>
      <c r="F2384" s="3">
        <v>27703010101592</v>
      </c>
      <c r="G2384" s="2" t="s">
        <v>129</v>
      </c>
      <c r="H2384" s="2" t="s">
        <v>5428</v>
      </c>
      <c r="I2384" s="2" t="s">
        <v>4315</v>
      </c>
      <c r="J2384" s="4">
        <v>43759</v>
      </c>
      <c r="K2384" s="2" t="s">
        <v>5380</v>
      </c>
      <c r="L2384" s="2" t="s">
        <v>12</v>
      </c>
      <c r="M2384" s="2" t="s">
        <v>769</v>
      </c>
      <c r="R2384" s="77">
        <v>3</v>
      </c>
      <c r="S2384" s="77">
        <v>2.5</v>
      </c>
      <c r="T2384" s="77">
        <v>2</v>
      </c>
      <c r="U2384" s="77">
        <v>2.5</v>
      </c>
      <c r="V2384" s="77">
        <v>3</v>
      </c>
      <c r="W2384" s="16" t="s">
        <v>171</v>
      </c>
      <c r="Y2384" s="7">
        <v>43786</v>
      </c>
      <c r="Z2384" s="16" t="s">
        <v>66</v>
      </c>
      <c r="AA2384" s="45">
        <v>43803</v>
      </c>
      <c r="AB2384" s="103" t="s">
        <v>5554</v>
      </c>
    </row>
    <row r="2385" spans="1:28">
      <c r="A2385" s="285"/>
      <c r="C2385" s="25">
        <v>149</v>
      </c>
      <c r="D2385" s="2">
        <v>25771</v>
      </c>
      <c r="E2385" s="2" t="s">
        <v>5422</v>
      </c>
      <c r="F2385" s="3">
        <v>30108241601676</v>
      </c>
      <c r="G2385" s="2" t="s">
        <v>4977</v>
      </c>
      <c r="H2385" s="2" t="s">
        <v>5429</v>
      </c>
      <c r="I2385" s="2" t="s">
        <v>4315</v>
      </c>
      <c r="J2385" s="4">
        <v>43759</v>
      </c>
      <c r="K2385" s="2" t="s">
        <v>5380</v>
      </c>
      <c r="L2385" s="2" t="s">
        <v>12</v>
      </c>
      <c r="M2385" s="2" t="s">
        <v>53</v>
      </c>
      <c r="W2385" s="16" t="s">
        <v>63</v>
      </c>
      <c r="Z2385" s="16" t="s">
        <v>67</v>
      </c>
    </row>
    <row r="2386" spans="1:28">
      <c r="A2386" s="285"/>
      <c r="C2386" s="25">
        <v>149</v>
      </c>
      <c r="D2386" s="2">
        <v>25394</v>
      </c>
      <c r="E2386" s="2" t="s">
        <v>5290</v>
      </c>
      <c r="F2386" s="3">
        <v>29612052103724</v>
      </c>
      <c r="G2386" s="2" t="s">
        <v>34</v>
      </c>
      <c r="H2386" s="2" t="s">
        <v>5291</v>
      </c>
      <c r="R2386" s="77">
        <v>3</v>
      </c>
      <c r="S2386" s="77">
        <v>2.5</v>
      </c>
      <c r="T2386" s="77">
        <v>2</v>
      </c>
      <c r="U2386" s="77">
        <v>2.5</v>
      </c>
      <c r="V2386" s="77">
        <v>3</v>
      </c>
      <c r="W2386" s="16" t="s">
        <v>171</v>
      </c>
      <c r="Y2386" s="7">
        <v>43786</v>
      </c>
      <c r="Z2386" s="16" t="s">
        <v>66</v>
      </c>
      <c r="AA2386" s="7">
        <v>43803</v>
      </c>
      <c r="AB2386" s="103" t="s">
        <v>5554</v>
      </c>
    </row>
    <row r="2387" spans="1:28">
      <c r="A2387" s="285"/>
      <c r="C2387" s="25">
        <v>149</v>
      </c>
      <c r="D2387" s="2">
        <v>25399</v>
      </c>
      <c r="E2387" s="2" t="s">
        <v>5300</v>
      </c>
      <c r="F2387" s="3">
        <v>29608060103809</v>
      </c>
      <c r="G2387" s="2" t="s">
        <v>34</v>
      </c>
      <c r="H2387" s="2" t="s">
        <v>5301</v>
      </c>
      <c r="R2387" s="77">
        <v>3</v>
      </c>
      <c r="S2387" s="77">
        <v>3</v>
      </c>
      <c r="T2387" s="77">
        <v>2.5</v>
      </c>
      <c r="U2387" s="77">
        <v>2</v>
      </c>
      <c r="V2387" s="77">
        <v>3</v>
      </c>
      <c r="W2387" s="16" t="s">
        <v>170</v>
      </c>
      <c r="Y2387" s="7">
        <v>43786</v>
      </c>
      <c r="Z2387" s="16" t="s">
        <v>66</v>
      </c>
      <c r="AA2387" s="7">
        <v>43801</v>
      </c>
    </row>
    <row r="2388" spans="1:28" ht="15.75" thickBot="1">
      <c r="A2388" s="286"/>
      <c r="C2388" s="28">
        <v>149</v>
      </c>
      <c r="D2388" s="28">
        <v>25405</v>
      </c>
      <c r="E2388" s="28" t="s">
        <v>5313</v>
      </c>
      <c r="F2388" s="29">
        <v>29601012111986</v>
      </c>
      <c r="G2388" s="28" t="s">
        <v>34</v>
      </c>
      <c r="H2388" s="28" t="s">
        <v>5314</v>
      </c>
      <c r="I2388" s="28"/>
      <c r="J2388" s="30"/>
      <c r="K2388" s="28"/>
      <c r="L2388" s="28"/>
      <c r="M2388" s="28"/>
      <c r="N2388" s="28"/>
      <c r="O2388" s="226"/>
      <c r="P2388" s="28"/>
      <c r="Q2388" s="226"/>
      <c r="R2388" s="37">
        <v>3</v>
      </c>
      <c r="S2388" s="37">
        <v>2.5</v>
      </c>
      <c r="T2388" s="37">
        <v>2</v>
      </c>
      <c r="U2388" s="37">
        <v>2.5</v>
      </c>
      <c r="V2388" s="37">
        <v>3</v>
      </c>
      <c r="W2388" s="28" t="s">
        <v>61</v>
      </c>
      <c r="X2388" s="28"/>
      <c r="Y2388" s="30">
        <v>43786</v>
      </c>
      <c r="Z2388" s="28"/>
      <c r="AA2388" s="30"/>
      <c r="AB2388" s="28"/>
    </row>
    <row r="2389" spans="1:28" ht="15.75" thickTop="1">
      <c r="A2389" s="284" t="s">
        <v>3125</v>
      </c>
      <c r="C2389" s="25" t="s">
        <v>5460</v>
      </c>
      <c r="D2389" s="25">
        <v>25772</v>
      </c>
      <c r="E2389" s="25" t="s">
        <v>5430</v>
      </c>
      <c r="F2389" s="26">
        <v>29704012611087</v>
      </c>
      <c r="G2389" s="25" t="s">
        <v>34</v>
      </c>
      <c r="H2389" s="25" t="s">
        <v>5431</v>
      </c>
      <c r="I2389" s="25" t="s">
        <v>4315</v>
      </c>
      <c r="J2389" s="27">
        <v>43758</v>
      </c>
      <c r="K2389" s="25" t="s">
        <v>798</v>
      </c>
      <c r="L2389" s="25" t="s">
        <v>12</v>
      </c>
      <c r="M2389" s="25" t="s">
        <v>4257</v>
      </c>
      <c r="N2389" s="25"/>
      <c r="O2389" s="224"/>
      <c r="P2389" s="25"/>
      <c r="Q2389" s="224"/>
      <c r="R2389" s="77">
        <v>3</v>
      </c>
      <c r="S2389" s="77">
        <v>2.5</v>
      </c>
      <c r="T2389" s="77">
        <v>2</v>
      </c>
      <c r="U2389" s="77">
        <v>2</v>
      </c>
      <c r="V2389" s="77">
        <v>3</v>
      </c>
      <c r="W2389" s="25" t="s">
        <v>4970</v>
      </c>
      <c r="X2389" s="25"/>
      <c r="Y2389" s="27">
        <v>43787</v>
      </c>
      <c r="Z2389" s="25"/>
      <c r="AA2389" s="27"/>
      <c r="AB2389" s="25"/>
    </row>
    <row r="2390" spans="1:28">
      <c r="A2390" s="285"/>
      <c r="C2390" s="25" t="s">
        <v>5460</v>
      </c>
      <c r="D2390" s="2">
        <v>25773</v>
      </c>
      <c r="E2390" s="2" t="s">
        <v>5432</v>
      </c>
      <c r="F2390" s="3">
        <v>29709010300078</v>
      </c>
      <c r="G2390" s="2" t="s">
        <v>5383</v>
      </c>
      <c r="H2390" s="2" t="s">
        <v>5433</v>
      </c>
      <c r="I2390" s="2" t="s">
        <v>4315</v>
      </c>
      <c r="J2390" s="4">
        <v>43758</v>
      </c>
      <c r="K2390" s="2" t="s">
        <v>798</v>
      </c>
      <c r="L2390" s="2" t="s">
        <v>12</v>
      </c>
      <c r="M2390" s="2" t="s">
        <v>4257</v>
      </c>
      <c r="R2390" s="77">
        <v>3</v>
      </c>
      <c r="S2390" s="77">
        <v>2.5</v>
      </c>
      <c r="T2390" s="77">
        <v>2</v>
      </c>
      <c r="U2390" s="77">
        <v>1.5</v>
      </c>
      <c r="V2390" s="77">
        <v>3</v>
      </c>
      <c r="W2390" s="16" t="s">
        <v>3321</v>
      </c>
      <c r="Y2390" s="7">
        <v>43787</v>
      </c>
      <c r="Z2390" s="16" t="s">
        <v>66</v>
      </c>
      <c r="AA2390" s="7">
        <v>43822</v>
      </c>
      <c r="AB2390" s="2" t="s">
        <v>4411</v>
      </c>
    </row>
    <row r="2391" spans="1:28">
      <c r="A2391" s="285"/>
      <c r="C2391" s="25" t="s">
        <v>5460</v>
      </c>
      <c r="D2391" s="2">
        <v>25774</v>
      </c>
      <c r="E2391" s="2" t="s">
        <v>5434</v>
      </c>
      <c r="F2391" s="3">
        <v>29412140102038</v>
      </c>
      <c r="G2391" s="2" t="s">
        <v>34</v>
      </c>
      <c r="H2391" s="2" t="s">
        <v>5435</v>
      </c>
      <c r="I2391" s="2" t="s">
        <v>4315</v>
      </c>
      <c r="J2391" s="4">
        <v>43758</v>
      </c>
      <c r="K2391" s="2" t="s">
        <v>798</v>
      </c>
      <c r="L2391" s="2" t="s">
        <v>12</v>
      </c>
      <c r="M2391" s="2" t="s">
        <v>4623</v>
      </c>
      <c r="R2391" s="77">
        <v>3</v>
      </c>
      <c r="S2391" s="77">
        <v>2.5</v>
      </c>
      <c r="T2391" s="77">
        <v>2</v>
      </c>
      <c r="U2391" s="77">
        <v>2</v>
      </c>
      <c r="V2391" s="77">
        <v>3</v>
      </c>
      <c r="W2391" s="16" t="s">
        <v>3244</v>
      </c>
      <c r="Y2391" s="7">
        <v>43787</v>
      </c>
    </row>
    <row r="2392" spans="1:28">
      <c r="A2392" s="285"/>
      <c r="C2392" s="25" t="s">
        <v>5460</v>
      </c>
      <c r="D2392" s="2">
        <v>25775</v>
      </c>
      <c r="E2392" s="2" t="s">
        <v>5436</v>
      </c>
      <c r="F2392" s="3">
        <v>29212022102351</v>
      </c>
      <c r="G2392" s="2" t="s">
        <v>34</v>
      </c>
      <c r="H2392" s="2" t="s">
        <v>5437</v>
      </c>
      <c r="I2392" s="2" t="s">
        <v>4315</v>
      </c>
      <c r="J2392" s="4">
        <v>43758</v>
      </c>
      <c r="K2392" s="2" t="s">
        <v>798</v>
      </c>
      <c r="L2392" s="2" t="s">
        <v>12</v>
      </c>
      <c r="M2392" s="2" t="s">
        <v>5276</v>
      </c>
      <c r="R2392" s="77">
        <v>3</v>
      </c>
      <c r="S2392" s="77">
        <v>2.5</v>
      </c>
      <c r="T2392" s="77">
        <v>1.5</v>
      </c>
      <c r="U2392" s="77">
        <v>1.5</v>
      </c>
      <c r="V2392" s="77">
        <v>3</v>
      </c>
      <c r="W2392" s="16" t="s">
        <v>3818</v>
      </c>
      <c r="Y2392" s="7">
        <v>43787</v>
      </c>
    </row>
    <row r="2393" spans="1:28">
      <c r="A2393" s="285"/>
      <c r="C2393" s="25" t="s">
        <v>5460</v>
      </c>
      <c r="D2393" s="2">
        <v>25776</v>
      </c>
      <c r="E2393" s="2" t="s">
        <v>5438</v>
      </c>
      <c r="F2393" s="3">
        <v>29709020100531</v>
      </c>
      <c r="G2393" s="2" t="s">
        <v>34</v>
      </c>
      <c r="H2393" s="2" t="s">
        <v>5439</v>
      </c>
      <c r="I2393" s="2" t="s">
        <v>4315</v>
      </c>
      <c r="J2393" s="4">
        <v>43758</v>
      </c>
      <c r="K2393" s="2" t="s">
        <v>798</v>
      </c>
      <c r="L2393" s="2" t="s">
        <v>12</v>
      </c>
      <c r="M2393" s="2" t="s">
        <v>4753</v>
      </c>
      <c r="R2393" s="77">
        <v>3</v>
      </c>
      <c r="S2393" s="77">
        <v>2.5</v>
      </c>
      <c r="T2393" s="77">
        <v>2</v>
      </c>
      <c r="U2393" s="77">
        <v>1.5</v>
      </c>
      <c r="V2393" s="77">
        <v>3</v>
      </c>
      <c r="W2393" s="16" t="s">
        <v>3818</v>
      </c>
      <c r="Y2393" s="7">
        <v>43787</v>
      </c>
    </row>
    <row r="2394" spans="1:28">
      <c r="A2394" s="285"/>
      <c r="C2394" s="25" t="s">
        <v>5460</v>
      </c>
      <c r="D2394" s="2">
        <v>25777</v>
      </c>
      <c r="E2394" s="2" t="s">
        <v>5440</v>
      </c>
      <c r="F2394" s="3">
        <v>29511290100228</v>
      </c>
      <c r="G2394" s="2" t="s">
        <v>34</v>
      </c>
      <c r="H2394" s="2" t="s">
        <v>5441</v>
      </c>
      <c r="I2394" s="2" t="s">
        <v>4315</v>
      </c>
      <c r="J2394" s="4">
        <v>43758</v>
      </c>
      <c r="K2394" s="2" t="s">
        <v>798</v>
      </c>
      <c r="L2394" s="2" t="s">
        <v>12</v>
      </c>
      <c r="M2394" s="2" t="s">
        <v>109</v>
      </c>
      <c r="R2394" s="77">
        <v>3</v>
      </c>
      <c r="S2394" s="77">
        <v>2</v>
      </c>
      <c r="T2394" s="77">
        <v>2</v>
      </c>
      <c r="U2394" s="77">
        <v>1.5</v>
      </c>
      <c r="V2394" s="77">
        <v>3</v>
      </c>
      <c r="W2394" s="16" t="s">
        <v>3818</v>
      </c>
      <c r="Y2394" s="7">
        <v>43787</v>
      </c>
      <c r="AB2394" s="2" t="s">
        <v>6457</v>
      </c>
    </row>
    <row r="2395" spans="1:28">
      <c r="A2395" s="285"/>
      <c r="C2395" s="25" t="s">
        <v>5460</v>
      </c>
      <c r="D2395" s="2">
        <v>25778</v>
      </c>
      <c r="E2395" s="2" t="s">
        <v>5442</v>
      </c>
      <c r="F2395" s="3">
        <v>29712252102182</v>
      </c>
      <c r="G2395" s="2" t="s">
        <v>34</v>
      </c>
      <c r="H2395" s="2" t="s">
        <v>5443</v>
      </c>
      <c r="I2395" s="2" t="s">
        <v>4315</v>
      </c>
      <c r="J2395" s="4">
        <v>43758</v>
      </c>
      <c r="K2395" s="2" t="s">
        <v>798</v>
      </c>
      <c r="L2395" s="2" t="s">
        <v>12</v>
      </c>
      <c r="M2395" s="2" t="s">
        <v>696</v>
      </c>
      <c r="R2395" s="77">
        <v>3</v>
      </c>
      <c r="S2395" s="77">
        <v>2.5</v>
      </c>
      <c r="T2395" s="77">
        <v>2</v>
      </c>
      <c r="U2395" s="77">
        <v>2</v>
      </c>
      <c r="V2395" s="77">
        <v>3</v>
      </c>
      <c r="W2395" s="16" t="s">
        <v>3244</v>
      </c>
      <c r="Y2395" s="7">
        <v>43787</v>
      </c>
    </row>
    <row r="2396" spans="1:28">
      <c r="A2396" s="285"/>
      <c r="C2396" s="25" t="s">
        <v>5460</v>
      </c>
      <c r="D2396" s="2">
        <v>25779</v>
      </c>
      <c r="E2396" s="2" t="s">
        <v>5444</v>
      </c>
      <c r="F2396" s="3">
        <v>29508020103364</v>
      </c>
      <c r="G2396" s="2" t="s">
        <v>34</v>
      </c>
      <c r="H2396" s="2" t="s">
        <v>5445</v>
      </c>
      <c r="I2396" s="2" t="s">
        <v>4315</v>
      </c>
      <c r="J2396" s="4">
        <v>43758</v>
      </c>
      <c r="K2396" s="2" t="s">
        <v>798</v>
      </c>
      <c r="L2396" s="2" t="s">
        <v>12</v>
      </c>
      <c r="M2396" s="2" t="s">
        <v>4257</v>
      </c>
      <c r="R2396" s="77">
        <v>3</v>
      </c>
      <c r="S2396" s="77">
        <v>2.5</v>
      </c>
      <c r="T2396" s="77">
        <v>2</v>
      </c>
      <c r="U2396" s="77">
        <v>1.5</v>
      </c>
      <c r="V2396" s="77">
        <v>3</v>
      </c>
      <c r="W2396" s="16" t="s">
        <v>3818</v>
      </c>
      <c r="Y2396" s="7">
        <v>43787</v>
      </c>
    </row>
    <row r="2397" spans="1:28">
      <c r="A2397" s="285"/>
      <c r="C2397" s="25" t="s">
        <v>5460</v>
      </c>
      <c r="D2397" s="2">
        <v>25780</v>
      </c>
      <c r="E2397" s="2" t="s">
        <v>5446</v>
      </c>
      <c r="F2397" s="3">
        <v>29706072402064</v>
      </c>
      <c r="G2397" s="2" t="s">
        <v>4977</v>
      </c>
      <c r="H2397" s="2" t="s">
        <v>5447</v>
      </c>
      <c r="I2397" s="2" t="s">
        <v>4315</v>
      </c>
      <c r="J2397" s="4">
        <v>43758</v>
      </c>
      <c r="K2397" s="2" t="s">
        <v>798</v>
      </c>
      <c r="L2397" s="2" t="s">
        <v>12</v>
      </c>
      <c r="M2397" s="2" t="s">
        <v>4706</v>
      </c>
      <c r="R2397" s="77">
        <v>3</v>
      </c>
      <c r="S2397" s="77">
        <v>2.5</v>
      </c>
      <c r="T2397" s="77">
        <v>2</v>
      </c>
      <c r="U2397" s="77">
        <v>2</v>
      </c>
      <c r="V2397" s="77">
        <v>3</v>
      </c>
      <c r="W2397" s="16" t="s">
        <v>4970</v>
      </c>
      <c r="Y2397" s="7">
        <v>43787</v>
      </c>
    </row>
    <row r="2398" spans="1:28">
      <c r="A2398" s="285"/>
      <c r="C2398" s="25" t="s">
        <v>5460</v>
      </c>
      <c r="D2398" s="2">
        <v>25781</v>
      </c>
      <c r="E2398" s="2" t="s">
        <v>5448</v>
      </c>
      <c r="F2398" s="3">
        <v>29308022101131</v>
      </c>
      <c r="G2398" s="2" t="s">
        <v>34</v>
      </c>
      <c r="H2398" s="2" t="s">
        <v>5449</v>
      </c>
      <c r="I2398" s="2" t="s">
        <v>4315</v>
      </c>
      <c r="J2398" s="4">
        <v>43758</v>
      </c>
      <c r="K2398" s="2" t="s">
        <v>798</v>
      </c>
      <c r="L2398" s="2" t="s">
        <v>12</v>
      </c>
      <c r="M2398" s="2" t="s">
        <v>4800</v>
      </c>
      <c r="R2398" s="77">
        <v>3</v>
      </c>
      <c r="S2398" s="77">
        <v>2.5</v>
      </c>
      <c r="T2398" s="77">
        <v>1.5</v>
      </c>
      <c r="U2398" s="77">
        <v>1.5</v>
      </c>
      <c r="V2398" s="77">
        <v>3</v>
      </c>
      <c r="W2398" s="16" t="s">
        <v>3818</v>
      </c>
      <c r="Y2398" s="7">
        <v>43787</v>
      </c>
    </row>
    <row r="2399" spans="1:28">
      <c r="A2399" s="285"/>
      <c r="C2399" s="25" t="s">
        <v>5460</v>
      </c>
      <c r="D2399" s="2">
        <v>25782</v>
      </c>
      <c r="E2399" s="2" t="s">
        <v>5450</v>
      </c>
      <c r="F2399" s="3">
        <v>28702030102878</v>
      </c>
      <c r="G2399" s="2" t="s">
        <v>34</v>
      </c>
      <c r="H2399" s="2" t="s">
        <v>5451</v>
      </c>
      <c r="I2399" s="2" t="s">
        <v>4315</v>
      </c>
      <c r="J2399" s="4">
        <v>43758</v>
      </c>
      <c r="K2399" s="2" t="s">
        <v>798</v>
      </c>
      <c r="L2399" s="2" t="s">
        <v>12</v>
      </c>
      <c r="M2399" s="2" t="s">
        <v>551</v>
      </c>
      <c r="W2399" s="16" t="s">
        <v>63</v>
      </c>
    </row>
    <row r="2400" spans="1:28">
      <c r="A2400" s="285"/>
      <c r="C2400" s="25" t="s">
        <v>5460</v>
      </c>
      <c r="D2400" s="2">
        <v>25783</v>
      </c>
      <c r="E2400" s="2" t="s">
        <v>5452</v>
      </c>
      <c r="F2400" s="3">
        <v>29711090102438</v>
      </c>
      <c r="G2400" s="2" t="s">
        <v>4025</v>
      </c>
      <c r="H2400" s="2" t="s">
        <v>5453</v>
      </c>
      <c r="I2400" s="2" t="s">
        <v>4315</v>
      </c>
      <c r="J2400" s="4">
        <v>43758</v>
      </c>
      <c r="K2400" s="2" t="s">
        <v>798</v>
      </c>
      <c r="L2400" s="2" t="s">
        <v>12</v>
      </c>
      <c r="M2400" s="2" t="s">
        <v>1249</v>
      </c>
      <c r="R2400" s="77">
        <v>3</v>
      </c>
      <c r="S2400" s="77">
        <v>2</v>
      </c>
      <c r="T2400" s="77">
        <v>2</v>
      </c>
      <c r="U2400" s="77">
        <v>1.5</v>
      </c>
      <c r="V2400" s="77">
        <v>3</v>
      </c>
      <c r="W2400" s="16" t="s">
        <v>3818</v>
      </c>
      <c r="Y2400" s="7">
        <v>43787</v>
      </c>
    </row>
    <row r="2401" spans="1:28">
      <c r="A2401" s="285"/>
      <c r="C2401" s="25" t="s">
        <v>5460</v>
      </c>
      <c r="D2401" s="2">
        <v>25784</v>
      </c>
      <c r="E2401" s="2" t="s">
        <v>5454</v>
      </c>
      <c r="F2401" s="3">
        <v>29601050104861</v>
      </c>
      <c r="G2401" s="2" t="s">
        <v>34</v>
      </c>
      <c r="H2401" s="2" t="s">
        <v>5455</v>
      </c>
      <c r="I2401" s="2" t="s">
        <v>4315</v>
      </c>
      <c r="J2401" s="4">
        <v>43758</v>
      </c>
      <c r="K2401" s="2" t="s">
        <v>798</v>
      </c>
      <c r="L2401" s="2" t="s">
        <v>12</v>
      </c>
      <c r="M2401" s="2" t="s">
        <v>4923</v>
      </c>
      <c r="R2401" s="77">
        <v>3</v>
      </c>
      <c r="S2401" s="77">
        <v>2.5</v>
      </c>
      <c r="T2401" s="77">
        <v>2</v>
      </c>
      <c r="U2401" s="77">
        <v>2</v>
      </c>
      <c r="V2401" s="77">
        <v>3</v>
      </c>
      <c r="W2401" s="16" t="s">
        <v>4970</v>
      </c>
      <c r="Y2401" s="7">
        <v>43787</v>
      </c>
    </row>
    <row r="2402" spans="1:28">
      <c r="A2402" s="285"/>
      <c r="C2402" s="25" t="s">
        <v>5460</v>
      </c>
      <c r="D2402" s="2">
        <v>25785</v>
      </c>
      <c r="E2402" s="2" t="s">
        <v>5456</v>
      </c>
      <c r="F2402" s="3">
        <v>29704150102835</v>
      </c>
      <c r="G2402" s="2" t="s">
        <v>34</v>
      </c>
      <c r="H2402" s="2" t="s">
        <v>5457</v>
      </c>
      <c r="I2402" s="2" t="s">
        <v>4315</v>
      </c>
      <c r="J2402" s="4">
        <v>43758</v>
      </c>
      <c r="K2402" s="2" t="s">
        <v>798</v>
      </c>
      <c r="L2402" s="2" t="s">
        <v>12</v>
      </c>
      <c r="M2402" s="2" t="s">
        <v>489</v>
      </c>
      <c r="R2402" s="77">
        <v>3</v>
      </c>
      <c r="S2402" s="77">
        <v>2.5</v>
      </c>
      <c r="T2402" s="77">
        <v>2</v>
      </c>
      <c r="U2402" s="77">
        <v>2</v>
      </c>
      <c r="V2402" s="77">
        <v>3</v>
      </c>
      <c r="W2402" s="16" t="s">
        <v>4970</v>
      </c>
      <c r="Y2402" s="7">
        <v>43787</v>
      </c>
    </row>
    <row r="2403" spans="1:28" ht="15.75" thickBot="1">
      <c r="A2403" s="286"/>
      <c r="C2403" s="28" t="s">
        <v>5460</v>
      </c>
      <c r="D2403" s="28">
        <v>21521</v>
      </c>
      <c r="E2403" s="28" t="s">
        <v>5458</v>
      </c>
      <c r="F2403" s="29">
        <v>29401210100818</v>
      </c>
      <c r="G2403" s="28" t="s">
        <v>34</v>
      </c>
      <c r="H2403" s="28" t="s">
        <v>5459</v>
      </c>
      <c r="I2403" s="28" t="s">
        <v>4305</v>
      </c>
      <c r="J2403" s="30">
        <v>43758</v>
      </c>
      <c r="K2403" s="28" t="s">
        <v>798</v>
      </c>
      <c r="L2403" s="28" t="s">
        <v>12</v>
      </c>
      <c r="M2403" s="28" t="s">
        <v>5246</v>
      </c>
      <c r="N2403" s="28"/>
      <c r="O2403" s="226"/>
      <c r="P2403" s="28"/>
      <c r="Q2403" s="226"/>
      <c r="R2403" s="37">
        <v>3</v>
      </c>
      <c r="S2403" s="37">
        <v>2.5</v>
      </c>
      <c r="T2403" s="37">
        <v>2</v>
      </c>
      <c r="U2403" s="37">
        <v>2</v>
      </c>
      <c r="V2403" s="37">
        <v>3</v>
      </c>
      <c r="W2403" s="28" t="s">
        <v>3244</v>
      </c>
      <c r="X2403" s="28"/>
      <c r="Y2403" s="30">
        <v>43787</v>
      </c>
      <c r="Z2403" s="28"/>
      <c r="AA2403" s="30"/>
      <c r="AB2403" s="28"/>
    </row>
    <row r="2404" spans="1:28" ht="15.75" thickTop="1">
      <c r="A2404" s="284" t="s">
        <v>3129</v>
      </c>
      <c r="C2404" s="25">
        <v>150</v>
      </c>
      <c r="D2404" s="25">
        <v>25809</v>
      </c>
      <c r="E2404" s="25" t="s">
        <v>5468</v>
      </c>
      <c r="F2404" s="26">
        <v>29609300117451</v>
      </c>
      <c r="G2404" s="25" t="s">
        <v>3970</v>
      </c>
      <c r="H2404" s="25" t="s">
        <v>5469</v>
      </c>
      <c r="I2404" s="25" t="s">
        <v>4315</v>
      </c>
      <c r="J2404" s="27">
        <v>43767</v>
      </c>
      <c r="K2404" s="25" t="s">
        <v>8</v>
      </c>
      <c r="L2404" s="25" t="s">
        <v>12</v>
      </c>
      <c r="M2404" s="25" t="s">
        <v>4493</v>
      </c>
      <c r="N2404" s="25"/>
      <c r="O2404" s="224"/>
      <c r="P2404" s="25"/>
      <c r="Q2404" s="224"/>
      <c r="R2404" s="77">
        <v>3</v>
      </c>
      <c r="S2404" s="77">
        <v>2.5</v>
      </c>
      <c r="T2404" s="77">
        <v>2</v>
      </c>
      <c r="U2404" s="77">
        <v>2</v>
      </c>
      <c r="V2404" s="77">
        <v>3</v>
      </c>
      <c r="W2404" s="25" t="s">
        <v>62</v>
      </c>
      <c r="X2404" s="25" t="s">
        <v>66</v>
      </c>
      <c r="Y2404" s="27">
        <v>43823</v>
      </c>
      <c r="Z2404" s="25" t="s">
        <v>67</v>
      </c>
      <c r="AA2404" s="27"/>
      <c r="AB2404" s="25" t="s">
        <v>5649</v>
      </c>
    </row>
    <row r="2405" spans="1:28">
      <c r="A2405" s="285"/>
      <c r="C2405" s="25">
        <v>150</v>
      </c>
      <c r="D2405" s="2">
        <v>25810</v>
      </c>
      <c r="E2405" s="2" t="s">
        <v>5470</v>
      </c>
      <c r="F2405" s="3">
        <v>30002150106939</v>
      </c>
      <c r="G2405" s="2" t="s">
        <v>3970</v>
      </c>
      <c r="H2405" s="2" t="s">
        <v>5471</v>
      </c>
      <c r="I2405" s="2" t="s">
        <v>4315</v>
      </c>
      <c r="J2405" s="4">
        <v>43767</v>
      </c>
      <c r="K2405" s="2" t="s">
        <v>8</v>
      </c>
      <c r="L2405" s="2" t="s">
        <v>12</v>
      </c>
      <c r="M2405" s="2" t="s">
        <v>551</v>
      </c>
      <c r="R2405" s="77">
        <v>3</v>
      </c>
      <c r="S2405" s="77">
        <v>2.5</v>
      </c>
      <c r="T2405" s="77">
        <v>2.5</v>
      </c>
      <c r="U2405" s="77">
        <v>2.5</v>
      </c>
      <c r="V2405" s="77">
        <v>3</v>
      </c>
      <c r="W2405" s="16" t="s">
        <v>171</v>
      </c>
      <c r="Y2405" s="7">
        <v>43794</v>
      </c>
      <c r="Z2405" s="16" t="s">
        <v>66</v>
      </c>
      <c r="AA2405" s="7">
        <v>43803</v>
      </c>
      <c r="AB2405" s="2" t="s">
        <v>5554</v>
      </c>
    </row>
    <row r="2406" spans="1:28">
      <c r="A2406" s="285"/>
      <c r="C2406" s="25">
        <v>150</v>
      </c>
      <c r="D2406" s="2">
        <v>25811</v>
      </c>
      <c r="E2406" s="2" t="s">
        <v>5472</v>
      </c>
      <c r="F2406" s="3">
        <v>29809151400771</v>
      </c>
      <c r="G2406" s="2" t="s">
        <v>5383</v>
      </c>
      <c r="H2406" s="2" t="s">
        <v>5473</v>
      </c>
      <c r="I2406" s="2" t="s">
        <v>4315</v>
      </c>
      <c r="J2406" s="4">
        <v>43767</v>
      </c>
      <c r="K2406" s="2" t="s">
        <v>8</v>
      </c>
      <c r="L2406" s="2" t="s">
        <v>12</v>
      </c>
      <c r="M2406" s="2" t="s">
        <v>5387</v>
      </c>
      <c r="R2406" s="77">
        <v>3</v>
      </c>
      <c r="S2406" s="77">
        <v>3</v>
      </c>
      <c r="T2406" s="77">
        <v>2</v>
      </c>
      <c r="U2406" s="77">
        <v>2.5</v>
      </c>
      <c r="V2406" s="77">
        <v>3</v>
      </c>
      <c r="W2406" s="16" t="s">
        <v>61</v>
      </c>
      <c r="Y2406" s="7">
        <v>43794</v>
      </c>
      <c r="Z2406" s="16" t="s">
        <v>66</v>
      </c>
      <c r="AA2406" s="45">
        <v>43803</v>
      </c>
      <c r="AB2406" s="103" t="s">
        <v>5554</v>
      </c>
    </row>
    <row r="2407" spans="1:28">
      <c r="A2407" s="285"/>
      <c r="C2407" s="25">
        <v>150</v>
      </c>
      <c r="D2407" s="2">
        <v>25812</v>
      </c>
      <c r="E2407" s="2" t="s">
        <v>5474</v>
      </c>
      <c r="F2407" s="3">
        <v>29704020100547</v>
      </c>
      <c r="G2407" s="2" t="s">
        <v>34</v>
      </c>
      <c r="H2407" s="2" t="s">
        <v>5475</v>
      </c>
      <c r="I2407" s="2" t="s">
        <v>4315</v>
      </c>
      <c r="J2407" s="4">
        <v>43767</v>
      </c>
      <c r="K2407" s="2" t="s">
        <v>8</v>
      </c>
      <c r="L2407" s="2" t="s">
        <v>12</v>
      </c>
      <c r="M2407" s="2" t="s">
        <v>109</v>
      </c>
      <c r="R2407" s="77">
        <v>3</v>
      </c>
      <c r="S2407" s="77">
        <v>2.5</v>
      </c>
      <c r="T2407" s="77">
        <v>2</v>
      </c>
      <c r="U2407" s="77">
        <v>2</v>
      </c>
      <c r="V2407" s="77">
        <v>3</v>
      </c>
      <c r="W2407" s="16" t="s">
        <v>62</v>
      </c>
      <c r="X2407" s="2" t="s">
        <v>66</v>
      </c>
      <c r="Y2407" s="7">
        <v>43823</v>
      </c>
      <c r="Z2407" s="16" t="s">
        <v>66</v>
      </c>
      <c r="AA2407" s="7">
        <v>43830</v>
      </c>
      <c r="AB2407" s="2" t="s">
        <v>4411</v>
      </c>
    </row>
    <row r="2408" spans="1:28">
      <c r="A2408" s="285"/>
      <c r="C2408" s="25">
        <v>150</v>
      </c>
      <c r="D2408" s="2">
        <v>25813</v>
      </c>
      <c r="E2408" s="2" t="s">
        <v>5476</v>
      </c>
      <c r="F2408" s="3">
        <v>29709102105581</v>
      </c>
      <c r="G2408" s="2" t="s">
        <v>34</v>
      </c>
      <c r="H2408" s="2" t="s">
        <v>5477</v>
      </c>
      <c r="I2408" s="2" t="s">
        <v>4315</v>
      </c>
      <c r="J2408" s="4">
        <v>43767</v>
      </c>
      <c r="K2408" s="2" t="s">
        <v>8</v>
      </c>
      <c r="L2408" s="2" t="s">
        <v>12</v>
      </c>
      <c r="M2408" s="2" t="s">
        <v>5478</v>
      </c>
      <c r="R2408" s="77">
        <v>3</v>
      </c>
      <c r="S2408" s="77">
        <v>3</v>
      </c>
      <c r="T2408" s="77">
        <v>2</v>
      </c>
      <c r="U2408" s="77">
        <v>2.5</v>
      </c>
      <c r="V2408" s="77">
        <v>3</v>
      </c>
      <c r="W2408" s="16" t="s">
        <v>171</v>
      </c>
      <c r="X2408" s="2" t="s">
        <v>66</v>
      </c>
      <c r="Y2408" s="7">
        <v>43823</v>
      </c>
      <c r="Z2408" s="16" t="s">
        <v>66</v>
      </c>
      <c r="AA2408" s="7">
        <v>43865</v>
      </c>
      <c r="AB2408" s="2" t="s">
        <v>5813</v>
      </c>
    </row>
    <row r="2409" spans="1:28">
      <c r="A2409" s="285"/>
      <c r="C2409" s="25">
        <v>150</v>
      </c>
      <c r="D2409" s="2">
        <v>25814</v>
      </c>
      <c r="E2409" s="2" t="s">
        <v>5479</v>
      </c>
      <c r="F2409" s="3">
        <v>29907130103167</v>
      </c>
      <c r="G2409" s="2" t="s">
        <v>5383</v>
      </c>
      <c r="H2409" s="2" t="s">
        <v>5480</v>
      </c>
      <c r="I2409" s="2" t="s">
        <v>4315</v>
      </c>
      <c r="J2409" s="4">
        <v>43767</v>
      </c>
      <c r="K2409" s="2" t="s">
        <v>8</v>
      </c>
      <c r="L2409" s="2" t="s">
        <v>12</v>
      </c>
      <c r="M2409" s="2" t="s">
        <v>696</v>
      </c>
      <c r="R2409" s="77">
        <v>3</v>
      </c>
      <c r="S2409" s="77">
        <v>2.5</v>
      </c>
      <c r="T2409" s="77">
        <v>2</v>
      </c>
      <c r="U2409" s="77">
        <v>2</v>
      </c>
      <c r="V2409" s="77">
        <v>3</v>
      </c>
      <c r="W2409" s="103" t="s">
        <v>62</v>
      </c>
      <c r="X2409" s="2" t="s">
        <v>66</v>
      </c>
      <c r="Y2409" s="45">
        <v>43823</v>
      </c>
      <c r="Z2409" s="16" t="s">
        <v>66</v>
      </c>
      <c r="AA2409" s="7">
        <v>43864</v>
      </c>
      <c r="AB2409" s="2" t="s">
        <v>5880</v>
      </c>
    </row>
    <row r="2410" spans="1:28">
      <c r="A2410" s="285"/>
      <c r="C2410" s="25">
        <v>150</v>
      </c>
      <c r="D2410" s="2">
        <v>25815</v>
      </c>
      <c r="E2410" s="2" t="s">
        <v>5481</v>
      </c>
      <c r="F2410" s="3">
        <v>29707102600784</v>
      </c>
      <c r="G2410" s="2" t="s">
        <v>34</v>
      </c>
      <c r="H2410" s="2" t="s">
        <v>5482</v>
      </c>
      <c r="I2410" s="2" t="s">
        <v>4315</v>
      </c>
      <c r="J2410" s="4">
        <v>43767</v>
      </c>
      <c r="K2410" s="2" t="s">
        <v>8</v>
      </c>
      <c r="L2410" s="2" t="s">
        <v>12</v>
      </c>
      <c r="M2410" s="2" t="s">
        <v>696</v>
      </c>
      <c r="R2410" s="77">
        <v>3</v>
      </c>
      <c r="S2410" s="77">
        <v>2.5</v>
      </c>
      <c r="T2410" s="77">
        <v>2</v>
      </c>
      <c r="U2410" s="77">
        <v>2.5</v>
      </c>
      <c r="V2410" s="77">
        <v>3</v>
      </c>
      <c r="W2410" s="16" t="s">
        <v>171</v>
      </c>
      <c r="Y2410" s="7">
        <v>43794</v>
      </c>
      <c r="Z2410" s="16" t="s">
        <v>66</v>
      </c>
      <c r="AA2410" s="45">
        <v>43803</v>
      </c>
      <c r="AB2410" s="103" t="s">
        <v>5554</v>
      </c>
    </row>
    <row r="2411" spans="1:28">
      <c r="A2411" s="285"/>
      <c r="C2411" s="25">
        <v>150</v>
      </c>
      <c r="D2411" s="2">
        <v>25816</v>
      </c>
      <c r="E2411" s="2" t="s">
        <v>5483</v>
      </c>
      <c r="F2411" s="3">
        <v>29806211300071</v>
      </c>
      <c r="G2411" s="2" t="s">
        <v>3970</v>
      </c>
      <c r="H2411" s="2" t="s">
        <v>5484</v>
      </c>
      <c r="I2411" s="2" t="s">
        <v>4315</v>
      </c>
      <c r="J2411" s="4">
        <v>43767</v>
      </c>
      <c r="K2411" s="2" t="s">
        <v>8</v>
      </c>
      <c r="L2411" s="2" t="s">
        <v>12</v>
      </c>
      <c r="M2411" s="2" t="s">
        <v>103</v>
      </c>
      <c r="R2411" s="77">
        <v>3</v>
      </c>
      <c r="S2411" s="77">
        <v>3</v>
      </c>
      <c r="T2411" s="77">
        <v>3</v>
      </c>
      <c r="U2411" s="77">
        <v>2.5</v>
      </c>
      <c r="V2411" s="77">
        <v>3</v>
      </c>
      <c r="W2411" s="16" t="s">
        <v>60</v>
      </c>
      <c r="Y2411" s="7">
        <v>43794</v>
      </c>
      <c r="Z2411" s="16" t="s">
        <v>66</v>
      </c>
      <c r="AA2411" s="7">
        <v>43801</v>
      </c>
    </row>
    <row r="2412" spans="1:28">
      <c r="A2412" s="285"/>
      <c r="C2412" s="25">
        <v>150</v>
      </c>
      <c r="D2412" s="2">
        <v>25817</v>
      </c>
      <c r="E2412" s="2" t="s">
        <v>5485</v>
      </c>
      <c r="F2412" s="3">
        <v>29407012702843</v>
      </c>
      <c r="G2412" s="2" t="s">
        <v>34</v>
      </c>
      <c r="H2412" s="2" t="s">
        <v>5486</v>
      </c>
      <c r="I2412" s="2" t="s">
        <v>4315</v>
      </c>
      <c r="J2412" s="4">
        <v>43767</v>
      </c>
      <c r="K2412" s="2" t="s">
        <v>8</v>
      </c>
      <c r="L2412" s="2" t="s">
        <v>12</v>
      </c>
      <c r="M2412" s="2" t="s">
        <v>551</v>
      </c>
      <c r="R2412" s="77">
        <v>3</v>
      </c>
      <c r="S2412" s="77">
        <v>2.5</v>
      </c>
      <c r="T2412" s="77">
        <v>2</v>
      </c>
      <c r="U2412" s="77">
        <v>2.5</v>
      </c>
      <c r="V2412" s="77">
        <v>3</v>
      </c>
      <c r="W2412" s="16" t="s">
        <v>171</v>
      </c>
      <c r="Y2412" s="7">
        <v>43794</v>
      </c>
      <c r="Z2412" s="16" t="s">
        <v>66</v>
      </c>
      <c r="AA2412" s="45">
        <v>43803</v>
      </c>
      <c r="AB2412" s="103" t="s">
        <v>5554</v>
      </c>
    </row>
    <row r="2413" spans="1:28">
      <c r="A2413" s="285"/>
      <c r="C2413" s="25">
        <v>150</v>
      </c>
      <c r="D2413" s="2">
        <v>25818</v>
      </c>
      <c r="E2413" s="2" t="s">
        <v>5487</v>
      </c>
      <c r="F2413" s="3" t="s">
        <v>5488</v>
      </c>
      <c r="G2413" s="2" t="s">
        <v>3892</v>
      </c>
      <c r="H2413" s="8" t="s">
        <v>5489</v>
      </c>
      <c r="I2413" s="2" t="s">
        <v>4315</v>
      </c>
      <c r="J2413" s="4">
        <v>43767</v>
      </c>
      <c r="K2413" s="2" t="s">
        <v>8</v>
      </c>
      <c r="L2413" s="2" t="s">
        <v>12</v>
      </c>
      <c r="M2413" s="2" t="s">
        <v>4257</v>
      </c>
      <c r="R2413" s="77">
        <v>3</v>
      </c>
      <c r="S2413" s="77">
        <v>2.5</v>
      </c>
      <c r="T2413" s="77">
        <v>2</v>
      </c>
      <c r="U2413" s="77">
        <v>2.5</v>
      </c>
      <c r="V2413" s="77">
        <v>3</v>
      </c>
      <c r="W2413" s="16" t="s">
        <v>171</v>
      </c>
      <c r="Y2413" s="7">
        <v>43794</v>
      </c>
      <c r="Z2413" s="16" t="s">
        <v>66</v>
      </c>
      <c r="AA2413" s="45">
        <v>43803</v>
      </c>
      <c r="AB2413" s="103" t="s">
        <v>5554</v>
      </c>
    </row>
    <row r="2414" spans="1:28" ht="15.75" thickBot="1">
      <c r="A2414" s="286"/>
      <c r="C2414" s="28">
        <v>150</v>
      </c>
      <c r="D2414" s="28">
        <v>25404</v>
      </c>
      <c r="E2414" s="28" t="s">
        <v>5311</v>
      </c>
      <c r="F2414" s="29">
        <v>28911210200922</v>
      </c>
      <c r="G2414" s="28" t="s">
        <v>4025</v>
      </c>
      <c r="H2414" s="28" t="s">
        <v>5312</v>
      </c>
      <c r="I2414" s="28"/>
      <c r="J2414" s="30"/>
      <c r="K2414" s="28"/>
      <c r="L2414" s="28"/>
      <c r="M2414" s="28"/>
      <c r="N2414" s="28"/>
      <c r="O2414" s="226"/>
      <c r="P2414" s="28"/>
      <c r="Q2414" s="226"/>
      <c r="R2414" s="37">
        <v>3</v>
      </c>
      <c r="S2414" s="37">
        <v>2</v>
      </c>
      <c r="T2414" s="37">
        <v>2</v>
      </c>
      <c r="U2414" s="37">
        <v>2</v>
      </c>
      <c r="V2414" s="37">
        <v>2.5</v>
      </c>
      <c r="W2414" s="28" t="s">
        <v>3321</v>
      </c>
      <c r="X2414" s="28" t="s">
        <v>66</v>
      </c>
      <c r="Y2414" s="30">
        <v>43872</v>
      </c>
      <c r="Z2414" s="28" t="s">
        <v>67</v>
      </c>
      <c r="AA2414" s="30"/>
      <c r="AB2414" s="28"/>
    </row>
    <row r="2415" spans="1:28" ht="15.75" thickTop="1">
      <c r="A2415" s="284" t="s">
        <v>4517</v>
      </c>
      <c r="C2415" s="25" t="s">
        <v>5516</v>
      </c>
      <c r="D2415" s="25">
        <v>25786</v>
      </c>
      <c r="E2415" s="25" t="s">
        <v>5492</v>
      </c>
      <c r="F2415" s="26">
        <v>29306182300056</v>
      </c>
      <c r="G2415" s="25" t="s">
        <v>34</v>
      </c>
      <c r="H2415" s="25" t="s">
        <v>5493</v>
      </c>
      <c r="I2415" s="25" t="s">
        <v>4315</v>
      </c>
      <c r="J2415" s="27">
        <v>43772</v>
      </c>
      <c r="K2415" s="25" t="s">
        <v>798</v>
      </c>
      <c r="L2415" s="25" t="s">
        <v>12</v>
      </c>
      <c r="M2415" s="25" t="s">
        <v>4257</v>
      </c>
      <c r="N2415" s="25"/>
      <c r="O2415" s="224"/>
      <c r="P2415" s="25"/>
      <c r="Q2415" s="224"/>
      <c r="R2415" s="25"/>
      <c r="S2415" s="25"/>
      <c r="T2415" s="25"/>
      <c r="U2415" s="25"/>
      <c r="V2415" s="25"/>
      <c r="W2415" s="25" t="s">
        <v>64</v>
      </c>
      <c r="X2415" s="25"/>
      <c r="Y2415" s="27"/>
      <c r="Z2415" s="25" t="s">
        <v>67</v>
      </c>
      <c r="AA2415" s="27"/>
      <c r="AB2415" s="25"/>
    </row>
    <row r="2416" spans="1:28">
      <c r="A2416" s="285"/>
      <c r="C2416" s="25" t="s">
        <v>5516</v>
      </c>
      <c r="D2416" s="2">
        <v>25787</v>
      </c>
      <c r="E2416" s="2" t="s">
        <v>5494</v>
      </c>
      <c r="F2416" s="3">
        <v>29712100102861</v>
      </c>
      <c r="G2416" s="2" t="s">
        <v>34</v>
      </c>
      <c r="H2416" s="2" t="s">
        <v>5495</v>
      </c>
      <c r="I2416" s="2" t="s">
        <v>4315</v>
      </c>
      <c r="J2416" s="4">
        <v>43772</v>
      </c>
      <c r="K2416" s="2" t="s">
        <v>798</v>
      </c>
      <c r="L2416" s="2" t="s">
        <v>12</v>
      </c>
      <c r="M2416" s="2" t="s">
        <v>5152</v>
      </c>
      <c r="R2416" s="77">
        <v>3</v>
      </c>
      <c r="S2416" s="77">
        <v>2.5</v>
      </c>
      <c r="T2416" s="77">
        <v>2</v>
      </c>
      <c r="U2416" s="77">
        <v>2</v>
      </c>
      <c r="V2416" s="77">
        <v>3</v>
      </c>
      <c r="W2416" s="16" t="s">
        <v>4970</v>
      </c>
      <c r="Y2416" s="7">
        <v>43797</v>
      </c>
    </row>
    <row r="2417" spans="1:28">
      <c r="A2417" s="285"/>
      <c r="C2417" s="25" t="s">
        <v>5516</v>
      </c>
      <c r="D2417" s="2">
        <v>25788</v>
      </c>
      <c r="E2417" s="2" t="s">
        <v>5496</v>
      </c>
      <c r="F2417" s="3">
        <v>29501012310623</v>
      </c>
      <c r="G2417" s="2" t="s">
        <v>34</v>
      </c>
      <c r="H2417" s="2" t="s">
        <v>5497</v>
      </c>
      <c r="I2417" s="2" t="s">
        <v>4315</v>
      </c>
      <c r="J2417" s="4">
        <v>43772</v>
      </c>
      <c r="K2417" s="2" t="s">
        <v>798</v>
      </c>
      <c r="L2417" s="2" t="s">
        <v>12</v>
      </c>
      <c r="M2417" s="2" t="s">
        <v>5324</v>
      </c>
      <c r="R2417" s="77">
        <v>3</v>
      </c>
      <c r="S2417" s="77">
        <v>2</v>
      </c>
      <c r="T2417" s="77">
        <v>1.5</v>
      </c>
      <c r="U2417" s="77">
        <v>1.5</v>
      </c>
      <c r="V2417" s="77">
        <v>3</v>
      </c>
      <c r="W2417" s="16" t="s">
        <v>3818</v>
      </c>
      <c r="Y2417" s="7">
        <v>43797</v>
      </c>
    </row>
    <row r="2418" spans="1:28">
      <c r="A2418" s="285"/>
      <c r="C2418" s="25" t="s">
        <v>5516</v>
      </c>
      <c r="D2418" s="2">
        <v>25789</v>
      </c>
      <c r="E2418" s="2" t="s">
        <v>5498</v>
      </c>
      <c r="F2418" s="3">
        <v>29607010110182</v>
      </c>
      <c r="G2418" s="2" t="s">
        <v>34</v>
      </c>
      <c r="H2418" s="2" t="s">
        <v>5499</v>
      </c>
      <c r="I2418" s="2" t="s">
        <v>4315</v>
      </c>
      <c r="J2418" s="4">
        <v>43772</v>
      </c>
      <c r="K2418" s="2" t="s">
        <v>798</v>
      </c>
      <c r="L2418" s="2" t="s">
        <v>12</v>
      </c>
      <c r="M2418" s="2" t="s">
        <v>5276</v>
      </c>
      <c r="R2418" s="77">
        <v>3</v>
      </c>
      <c r="S2418" s="77">
        <v>3</v>
      </c>
      <c r="T2418" s="77">
        <v>2</v>
      </c>
      <c r="U2418" s="77">
        <v>2</v>
      </c>
      <c r="V2418" s="77">
        <v>3</v>
      </c>
      <c r="W2418" s="16" t="s">
        <v>3244</v>
      </c>
      <c r="Y2418" s="7">
        <v>43797</v>
      </c>
    </row>
    <row r="2419" spans="1:28">
      <c r="A2419" s="285"/>
      <c r="C2419" s="25" t="s">
        <v>5516</v>
      </c>
      <c r="D2419" s="2">
        <v>25790</v>
      </c>
      <c r="E2419" s="2" t="s">
        <v>5500</v>
      </c>
      <c r="F2419" s="3">
        <v>29610250102757</v>
      </c>
      <c r="G2419" s="2" t="s">
        <v>34</v>
      </c>
      <c r="H2419" s="2" t="s">
        <v>5501</v>
      </c>
      <c r="I2419" s="2" t="s">
        <v>4315</v>
      </c>
      <c r="J2419" s="4">
        <v>43772</v>
      </c>
      <c r="K2419" s="2" t="s">
        <v>798</v>
      </c>
      <c r="L2419" s="2" t="s">
        <v>12</v>
      </c>
      <c r="M2419" s="2" t="s">
        <v>4623</v>
      </c>
      <c r="R2419" s="77">
        <v>3</v>
      </c>
      <c r="S2419" s="77">
        <v>2.5</v>
      </c>
      <c r="T2419" s="77">
        <v>2</v>
      </c>
      <c r="U2419" s="77">
        <v>1.5</v>
      </c>
      <c r="V2419" s="77">
        <v>3</v>
      </c>
      <c r="W2419" s="16" t="s">
        <v>3321</v>
      </c>
      <c r="Y2419" s="7">
        <v>43797</v>
      </c>
      <c r="Z2419" s="16" t="s">
        <v>66</v>
      </c>
      <c r="AA2419" s="7">
        <v>43822</v>
      </c>
      <c r="AB2419" s="2" t="s">
        <v>4411</v>
      </c>
    </row>
    <row r="2420" spans="1:28">
      <c r="A2420" s="285"/>
      <c r="C2420" s="25" t="s">
        <v>5516</v>
      </c>
      <c r="D2420" s="2">
        <v>25791</v>
      </c>
      <c r="E2420" s="2" t="s">
        <v>5502</v>
      </c>
      <c r="F2420" s="3">
        <v>29203170102255</v>
      </c>
      <c r="G2420" s="2" t="s">
        <v>34</v>
      </c>
      <c r="H2420" s="2" t="s">
        <v>5503</v>
      </c>
      <c r="I2420" s="2" t="s">
        <v>4315</v>
      </c>
      <c r="J2420" s="4">
        <v>43772</v>
      </c>
      <c r="K2420" s="2" t="s">
        <v>798</v>
      </c>
      <c r="L2420" s="2" t="s">
        <v>12</v>
      </c>
      <c r="M2420" s="2" t="s">
        <v>5205</v>
      </c>
      <c r="R2420" s="77">
        <v>3</v>
      </c>
      <c r="S2420" s="77">
        <v>2.5</v>
      </c>
      <c r="T2420" s="77">
        <v>2</v>
      </c>
      <c r="U2420" s="77">
        <v>1.5</v>
      </c>
      <c r="V2420" s="77">
        <v>3</v>
      </c>
      <c r="W2420" s="16" t="s">
        <v>3321</v>
      </c>
      <c r="Y2420" s="7">
        <v>43797</v>
      </c>
      <c r="Z2420" s="16" t="s">
        <v>66</v>
      </c>
      <c r="AB2420" s="2" t="s">
        <v>5614</v>
      </c>
    </row>
    <row r="2421" spans="1:28">
      <c r="A2421" s="285"/>
      <c r="C2421" s="25" t="s">
        <v>5516</v>
      </c>
      <c r="D2421" s="2">
        <v>25792</v>
      </c>
      <c r="E2421" s="2" t="s">
        <v>5504</v>
      </c>
      <c r="F2421" s="3">
        <v>29601012111528</v>
      </c>
      <c r="G2421" s="2" t="s">
        <v>34</v>
      </c>
      <c r="H2421" s="2" t="s">
        <v>5505</v>
      </c>
      <c r="I2421" s="2" t="s">
        <v>4315</v>
      </c>
      <c r="J2421" s="4">
        <v>43772</v>
      </c>
      <c r="K2421" s="2" t="s">
        <v>798</v>
      </c>
      <c r="L2421" s="2" t="s">
        <v>12</v>
      </c>
      <c r="M2421" s="2" t="s">
        <v>149</v>
      </c>
      <c r="R2421" s="77">
        <v>3</v>
      </c>
      <c r="S2421" s="77">
        <v>2.5</v>
      </c>
      <c r="T2421" s="77">
        <v>2</v>
      </c>
      <c r="U2421" s="77">
        <v>2</v>
      </c>
      <c r="V2421" s="77">
        <v>3</v>
      </c>
      <c r="W2421" s="16" t="s">
        <v>4970</v>
      </c>
      <c r="Y2421" s="7">
        <v>43797</v>
      </c>
    </row>
    <row r="2422" spans="1:28">
      <c r="A2422" s="285"/>
      <c r="C2422" s="25" t="s">
        <v>5516</v>
      </c>
      <c r="D2422" s="2">
        <v>25793</v>
      </c>
      <c r="E2422" s="2" t="s">
        <v>5506</v>
      </c>
      <c r="F2422" s="3">
        <v>29405058800758</v>
      </c>
      <c r="G2422" s="2" t="s">
        <v>34</v>
      </c>
      <c r="H2422" s="2" t="s">
        <v>5507</v>
      </c>
      <c r="I2422" s="2" t="s">
        <v>4315</v>
      </c>
      <c r="J2422" s="4">
        <v>43772</v>
      </c>
      <c r="K2422" s="2" t="s">
        <v>798</v>
      </c>
      <c r="L2422" s="2" t="s">
        <v>12</v>
      </c>
      <c r="M2422" s="2" t="s">
        <v>4753</v>
      </c>
      <c r="R2422" s="77">
        <v>3</v>
      </c>
      <c r="S2422" s="77">
        <v>3</v>
      </c>
      <c r="T2422" s="77">
        <v>2</v>
      </c>
      <c r="U2422" s="77">
        <v>2</v>
      </c>
      <c r="V2422" s="77">
        <v>3</v>
      </c>
      <c r="W2422" s="16" t="s">
        <v>3244</v>
      </c>
      <c r="Y2422" s="7">
        <v>43797</v>
      </c>
    </row>
    <row r="2423" spans="1:28">
      <c r="A2423" s="285"/>
      <c r="C2423" s="25" t="s">
        <v>5516</v>
      </c>
      <c r="D2423" s="2">
        <v>25794</v>
      </c>
      <c r="E2423" s="2" t="s">
        <v>5508</v>
      </c>
      <c r="F2423" s="3">
        <v>28810222300077</v>
      </c>
      <c r="G2423" s="2" t="s">
        <v>34</v>
      </c>
      <c r="H2423" s="2" t="s">
        <v>5509</v>
      </c>
      <c r="I2423" s="2" t="s">
        <v>4315</v>
      </c>
      <c r="J2423" s="4">
        <v>43772</v>
      </c>
      <c r="K2423" s="2" t="s">
        <v>798</v>
      </c>
      <c r="L2423" s="2" t="s">
        <v>12</v>
      </c>
      <c r="M2423" s="2" t="s">
        <v>109</v>
      </c>
      <c r="W2423" s="16" t="s">
        <v>63</v>
      </c>
      <c r="Z2423" s="16" t="s">
        <v>67</v>
      </c>
    </row>
    <row r="2424" spans="1:28">
      <c r="A2424" s="285"/>
      <c r="C2424" s="25" t="s">
        <v>5516</v>
      </c>
      <c r="D2424" s="2">
        <v>25795</v>
      </c>
      <c r="E2424" s="2" t="s">
        <v>5510</v>
      </c>
      <c r="F2424" s="3">
        <v>29509180103715</v>
      </c>
      <c r="G2424" s="2" t="s">
        <v>34</v>
      </c>
      <c r="H2424" s="2" t="s">
        <v>5511</v>
      </c>
      <c r="I2424" s="2" t="s">
        <v>4315</v>
      </c>
      <c r="J2424" s="4">
        <v>43772</v>
      </c>
      <c r="K2424" s="2" t="s">
        <v>798</v>
      </c>
      <c r="L2424" s="2" t="s">
        <v>12</v>
      </c>
      <c r="M2424" s="2" t="s">
        <v>149</v>
      </c>
      <c r="R2424" s="77">
        <v>3</v>
      </c>
      <c r="S2424" s="77">
        <v>2.5</v>
      </c>
      <c r="T2424" s="77">
        <v>2</v>
      </c>
      <c r="U2424" s="77">
        <v>2</v>
      </c>
      <c r="V2424" s="77">
        <v>3</v>
      </c>
      <c r="W2424" s="16" t="s">
        <v>4970</v>
      </c>
      <c r="Y2424" s="7">
        <v>43797</v>
      </c>
    </row>
    <row r="2425" spans="1:28">
      <c r="A2425" s="285"/>
      <c r="C2425" s="25" t="s">
        <v>5516</v>
      </c>
      <c r="D2425" s="2">
        <v>25796</v>
      </c>
      <c r="E2425" s="2" t="s">
        <v>5512</v>
      </c>
      <c r="F2425" s="3">
        <v>29401270103051</v>
      </c>
      <c r="G2425" s="2" t="s">
        <v>34</v>
      </c>
      <c r="H2425" s="2" t="s">
        <v>5513</v>
      </c>
      <c r="I2425" s="2" t="s">
        <v>4315</v>
      </c>
      <c r="J2425" s="4">
        <v>43772</v>
      </c>
      <c r="K2425" s="2" t="s">
        <v>798</v>
      </c>
      <c r="L2425" s="2" t="s">
        <v>12</v>
      </c>
      <c r="M2425" s="2" t="s">
        <v>5246</v>
      </c>
      <c r="W2425" s="16" t="s">
        <v>64</v>
      </c>
      <c r="Z2425" s="16" t="s">
        <v>67</v>
      </c>
    </row>
    <row r="2426" spans="1:28">
      <c r="A2426" s="285"/>
      <c r="C2426" s="25" t="s">
        <v>5516</v>
      </c>
      <c r="D2426" s="2">
        <v>25797</v>
      </c>
      <c r="E2426" s="2" t="s">
        <v>5514</v>
      </c>
      <c r="F2426" s="3">
        <v>29609240105733</v>
      </c>
      <c r="G2426" s="2" t="s">
        <v>34</v>
      </c>
      <c r="H2426" s="2" t="s">
        <v>5515</v>
      </c>
      <c r="I2426" s="2" t="s">
        <v>4315</v>
      </c>
      <c r="J2426" s="4">
        <v>43772</v>
      </c>
      <c r="K2426" s="2" t="s">
        <v>798</v>
      </c>
      <c r="L2426" s="2" t="s">
        <v>12</v>
      </c>
      <c r="M2426" s="2" t="s">
        <v>4753</v>
      </c>
      <c r="W2426" s="16" t="s">
        <v>63</v>
      </c>
      <c r="Z2426" s="16" t="s">
        <v>67</v>
      </c>
    </row>
    <row r="2427" spans="1:28" ht="15.75" thickBot="1">
      <c r="A2427" s="286"/>
      <c r="C2427" s="28" t="s">
        <v>5516</v>
      </c>
      <c r="D2427" s="28">
        <v>26207</v>
      </c>
      <c r="E2427" s="28" t="s">
        <v>5517</v>
      </c>
      <c r="F2427" s="29">
        <v>29606052402616</v>
      </c>
      <c r="G2427" s="28" t="s">
        <v>34</v>
      </c>
      <c r="H2427" s="28" t="s">
        <v>5518</v>
      </c>
      <c r="I2427" s="28" t="s">
        <v>4315</v>
      </c>
      <c r="J2427" s="30">
        <v>43772</v>
      </c>
      <c r="K2427" s="28" t="s">
        <v>798</v>
      </c>
      <c r="L2427" s="28" t="s">
        <v>12</v>
      </c>
      <c r="M2427" s="28" t="s">
        <v>4753</v>
      </c>
      <c r="N2427" s="28"/>
      <c r="O2427" s="226"/>
      <c r="P2427" s="28"/>
      <c r="Q2427" s="226"/>
      <c r="R2427" s="28"/>
      <c r="S2427" s="28"/>
      <c r="T2427" s="28"/>
      <c r="U2427" s="28"/>
      <c r="V2427" s="28"/>
      <c r="W2427" s="28" t="s">
        <v>63</v>
      </c>
      <c r="X2427" s="28"/>
      <c r="Y2427" s="30"/>
      <c r="Z2427" s="28" t="s">
        <v>67</v>
      </c>
      <c r="AA2427" s="30"/>
      <c r="AB2427" s="28"/>
    </row>
    <row r="2428" spans="1:28" ht="15.75" thickTop="1">
      <c r="A2428" s="284" t="s">
        <v>4077</v>
      </c>
      <c r="C2428" s="25">
        <v>151</v>
      </c>
      <c r="D2428" s="25">
        <v>26208</v>
      </c>
      <c r="E2428" s="25" t="s">
        <v>5530</v>
      </c>
      <c r="F2428" s="26">
        <v>29502100104169</v>
      </c>
      <c r="G2428" s="25" t="s">
        <v>34</v>
      </c>
      <c r="H2428" s="25" t="s">
        <v>5542</v>
      </c>
      <c r="I2428" s="25" t="s">
        <v>4315</v>
      </c>
      <c r="J2428" s="27">
        <v>43778</v>
      </c>
      <c r="K2428" s="25" t="s">
        <v>8</v>
      </c>
      <c r="L2428" s="25" t="s">
        <v>12</v>
      </c>
      <c r="M2428" s="25" t="s">
        <v>5246</v>
      </c>
      <c r="N2428" s="25"/>
      <c r="O2428" s="224"/>
      <c r="P2428" s="25"/>
      <c r="Q2428" s="224"/>
      <c r="R2428" s="77">
        <v>3</v>
      </c>
      <c r="S2428" s="77">
        <v>2.5</v>
      </c>
      <c r="T2428" s="77">
        <v>3</v>
      </c>
      <c r="U2428" s="77">
        <v>2</v>
      </c>
      <c r="V2428" s="77">
        <v>3</v>
      </c>
      <c r="W2428" s="103" t="s">
        <v>170</v>
      </c>
      <c r="X2428" s="25" t="s">
        <v>66</v>
      </c>
      <c r="Y2428" s="45">
        <v>43823</v>
      </c>
      <c r="Z2428" s="25" t="s">
        <v>66</v>
      </c>
      <c r="AA2428" s="27">
        <v>43837</v>
      </c>
      <c r="AB2428" s="25"/>
    </row>
    <row r="2429" spans="1:28">
      <c r="A2429" s="285"/>
      <c r="C2429" s="25">
        <v>151</v>
      </c>
      <c r="D2429" s="2">
        <v>26209</v>
      </c>
      <c r="E2429" s="2" t="s">
        <v>5531</v>
      </c>
      <c r="F2429" s="3">
        <v>29311142101011</v>
      </c>
      <c r="G2429" s="2" t="s">
        <v>34</v>
      </c>
      <c r="H2429" s="2" t="s">
        <v>5543</v>
      </c>
      <c r="I2429" s="2" t="s">
        <v>4315</v>
      </c>
      <c r="J2429" s="4">
        <v>43778</v>
      </c>
      <c r="K2429" s="2" t="s">
        <v>8</v>
      </c>
      <c r="L2429" s="2" t="s">
        <v>12</v>
      </c>
      <c r="M2429" s="2" t="s">
        <v>4753</v>
      </c>
      <c r="R2429" s="77">
        <v>3</v>
      </c>
      <c r="S2429" s="77">
        <v>2.5</v>
      </c>
      <c r="T2429" s="77">
        <v>2</v>
      </c>
      <c r="U2429" s="77">
        <v>2</v>
      </c>
      <c r="V2429" s="77">
        <v>3</v>
      </c>
      <c r="W2429" s="16" t="s">
        <v>62</v>
      </c>
      <c r="Y2429" s="7">
        <v>43804</v>
      </c>
      <c r="Z2429" s="16" t="s">
        <v>67</v>
      </c>
      <c r="AB2429" s="2" t="s">
        <v>5806</v>
      </c>
    </row>
    <row r="2430" spans="1:28">
      <c r="A2430" s="285"/>
      <c r="C2430" s="25">
        <v>151</v>
      </c>
      <c r="D2430" s="2">
        <v>26210</v>
      </c>
      <c r="E2430" s="2" t="s">
        <v>5532</v>
      </c>
      <c r="F2430" s="3">
        <v>29501242100164</v>
      </c>
      <c r="G2430" s="2" t="s">
        <v>34</v>
      </c>
      <c r="H2430" s="2" t="s">
        <v>5544</v>
      </c>
      <c r="I2430" s="2" t="s">
        <v>4315</v>
      </c>
      <c r="J2430" s="4">
        <v>43778</v>
      </c>
      <c r="K2430" s="2" t="s">
        <v>8</v>
      </c>
      <c r="L2430" s="2" t="s">
        <v>12</v>
      </c>
      <c r="M2430" s="2" t="s">
        <v>4830</v>
      </c>
      <c r="R2430" s="77">
        <v>3</v>
      </c>
      <c r="S2430" s="77">
        <v>2.5</v>
      </c>
      <c r="T2430" s="77">
        <v>2.5</v>
      </c>
      <c r="U2430" s="77">
        <v>1.5</v>
      </c>
      <c r="V2430" s="77">
        <v>3</v>
      </c>
      <c r="W2430" s="16" t="s">
        <v>62</v>
      </c>
      <c r="Y2430" s="7">
        <v>43804</v>
      </c>
      <c r="Z2430" s="16" t="s">
        <v>66</v>
      </c>
      <c r="AA2430" s="7">
        <v>43822</v>
      </c>
      <c r="AB2430" s="2" t="s">
        <v>4411</v>
      </c>
    </row>
    <row r="2431" spans="1:28">
      <c r="A2431" s="285"/>
      <c r="C2431" s="25">
        <v>151</v>
      </c>
      <c r="D2431" s="2">
        <v>26211</v>
      </c>
      <c r="E2431" s="2" t="s">
        <v>5533</v>
      </c>
      <c r="F2431" s="3">
        <v>29509050105163</v>
      </c>
      <c r="G2431" s="2" t="s">
        <v>34</v>
      </c>
      <c r="H2431" s="2" t="s">
        <v>5545</v>
      </c>
      <c r="I2431" s="2" t="s">
        <v>4315</v>
      </c>
      <c r="J2431" s="4">
        <v>43778</v>
      </c>
      <c r="K2431" s="2" t="s">
        <v>8</v>
      </c>
      <c r="L2431" s="2" t="s">
        <v>12</v>
      </c>
      <c r="M2431" s="2" t="s">
        <v>3696</v>
      </c>
      <c r="R2431" s="77">
        <v>3</v>
      </c>
      <c r="S2431" s="77">
        <v>2.5</v>
      </c>
      <c r="T2431" s="77">
        <v>2</v>
      </c>
      <c r="U2431" s="77">
        <v>1.5</v>
      </c>
      <c r="V2431" s="77">
        <v>3</v>
      </c>
      <c r="W2431" s="16" t="s">
        <v>3321</v>
      </c>
      <c r="Y2431" s="7">
        <v>43804</v>
      </c>
      <c r="Z2431" s="16" t="s">
        <v>67</v>
      </c>
      <c r="AB2431" s="2" t="s">
        <v>5807</v>
      </c>
    </row>
    <row r="2432" spans="1:28">
      <c r="A2432" s="285"/>
      <c r="C2432" s="25">
        <v>151</v>
      </c>
      <c r="D2432" s="2">
        <v>26212</v>
      </c>
      <c r="E2432" s="2" t="s">
        <v>5534</v>
      </c>
      <c r="F2432" s="3">
        <v>29505271400105</v>
      </c>
      <c r="G2432" s="2" t="s">
        <v>34</v>
      </c>
      <c r="H2432" s="2" t="s">
        <v>5546</v>
      </c>
      <c r="I2432" s="2" t="s">
        <v>4315</v>
      </c>
      <c r="J2432" s="4">
        <v>43778</v>
      </c>
      <c r="K2432" s="2" t="s">
        <v>8</v>
      </c>
      <c r="L2432" s="2" t="s">
        <v>12</v>
      </c>
      <c r="M2432" s="2" t="s">
        <v>4257</v>
      </c>
      <c r="R2432" s="77">
        <v>3</v>
      </c>
      <c r="S2432" s="77">
        <v>2.5</v>
      </c>
      <c r="T2432" s="77">
        <v>3</v>
      </c>
      <c r="U2432" s="77">
        <v>2.5</v>
      </c>
      <c r="V2432" s="77">
        <v>3</v>
      </c>
      <c r="W2432" s="16" t="s">
        <v>60</v>
      </c>
      <c r="X2432" s="2" t="s">
        <v>66</v>
      </c>
      <c r="Y2432" s="45">
        <v>43823</v>
      </c>
      <c r="Z2432" s="16" t="s">
        <v>66</v>
      </c>
      <c r="AA2432" s="7">
        <v>43837</v>
      </c>
    </row>
    <row r="2433" spans="1:28">
      <c r="A2433" s="285"/>
      <c r="C2433" s="25">
        <v>151</v>
      </c>
      <c r="D2433" s="2">
        <v>26213</v>
      </c>
      <c r="E2433" s="2" t="s">
        <v>5535</v>
      </c>
      <c r="F2433" s="3">
        <v>29701030100872</v>
      </c>
      <c r="G2433" s="2" t="s">
        <v>34</v>
      </c>
      <c r="H2433" s="2" t="s">
        <v>5547</v>
      </c>
      <c r="I2433" s="2" t="s">
        <v>4315</v>
      </c>
      <c r="J2433" s="4">
        <v>43778</v>
      </c>
      <c r="K2433" s="2" t="s">
        <v>8</v>
      </c>
      <c r="L2433" s="2" t="s">
        <v>12</v>
      </c>
      <c r="M2433" s="2" t="s">
        <v>769</v>
      </c>
      <c r="R2433" s="77">
        <v>3</v>
      </c>
      <c r="S2433" s="77">
        <v>3</v>
      </c>
      <c r="T2433" s="77">
        <v>2.5</v>
      </c>
      <c r="U2433" s="77">
        <v>2.5</v>
      </c>
      <c r="V2433" s="77">
        <v>3</v>
      </c>
      <c r="W2433" s="16" t="s">
        <v>60</v>
      </c>
      <c r="Y2433" s="7">
        <v>43804</v>
      </c>
      <c r="Z2433" s="16" t="s">
        <v>66</v>
      </c>
      <c r="AB2433" s="2" t="s">
        <v>5567</v>
      </c>
    </row>
    <row r="2434" spans="1:28">
      <c r="A2434" s="285"/>
      <c r="C2434" s="25">
        <v>151</v>
      </c>
      <c r="D2434" s="2">
        <v>26214</v>
      </c>
      <c r="E2434" s="2" t="s">
        <v>5536</v>
      </c>
      <c r="F2434" s="3">
        <v>29709260201105</v>
      </c>
      <c r="G2434" s="2" t="s">
        <v>34</v>
      </c>
      <c r="H2434" s="2" t="s">
        <v>5548</v>
      </c>
      <c r="I2434" s="2" t="s">
        <v>4315</v>
      </c>
      <c r="J2434" s="4">
        <v>43778</v>
      </c>
      <c r="K2434" s="2" t="s">
        <v>8</v>
      </c>
      <c r="L2434" s="2" t="s">
        <v>12</v>
      </c>
      <c r="M2434" s="2" t="s">
        <v>4527</v>
      </c>
      <c r="R2434" s="77">
        <v>3</v>
      </c>
      <c r="S2434" s="77">
        <v>2.5</v>
      </c>
      <c r="T2434" s="77">
        <v>2.5</v>
      </c>
      <c r="U2434" s="77">
        <v>2</v>
      </c>
      <c r="V2434" s="77">
        <v>3</v>
      </c>
      <c r="W2434" s="16" t="s">
        <v>170</v>
      </c>
      <c r="Y2434" s="7">
        <v>43804</v>
      </c>
      <c r="Z2434" s="16" t="s">
        <v>66</v>
      </c>
      <c r="AB2434" s="103" t="s">
        <v>5567</v>
      </c>
    </row>
    <row r="2435" spans="1:28">
      <c r="A2435" s="285"/>
      <c r="C2435" s="25">
        <v>151</v>
      </c>
      <c r="D2435" s="2">
        <v>26215</v>
      </c>
      <c r="E2435" s="2" t="s">
        <v>5537</v>
      </c>
      <c r="F2435" s="3">
        <v>29210270101902</v>
      </c>
      <c r="G2435" s="2" t="s">
        <v>34</v>
      </c>
      <c r="H2435" s="2" t="s">
        <v>5549</v>
      </c>
      <c r="I2435" s="2" t="s">
        <v>4315</v>
      </c>
      <c r="J2435" s="4">
        <v>43778</v>
      </c>
      <c r="K2435" s="2" t="s">
        <v>8</v>
      </c>
      <c r="L2435" s="2" t="s">
        <v>12</v>
      </c>
      <c r="M2435" s="2" t="s">
        <v>1515</v>
      </c>
      <c r="R2435" s="77">
        <v>3</v>
      </c>
      <c r="S2435" s="77">
        <v>2.5</v>
      </c>
      <c r="T2435" s="77">
        <v>2</v>
      </c>
      <c r="U2435" s="77">
        <v>2</v>
      </c>
      <c r="V2435" s="77">
        <v>3</v>
      </c>
      <c r="W2435" s="103" t="s">
        <v>62</v>
      </c>
      <c r="X2435" s="2" t="s">
        <v>66</v>
      </c>
      <c r="Y2435" s="45">
        <v>43823</v>
      </c>
      <c r="Z2435" s="16" t="s">
        <v>67</v>
      </c>
      <c r="AB2435" s="2" t="s">
        <v>5648</v>
      </c>
    </row>
    <row r="2436" spans="1:28">
      <c r="A2436" s="285"/>
      <c r="C2436" s="25">
        <v>151</v>
      </c>
      <c r="D2436" s="2">
        <v>26216</v>
      </c>
      <c r="E2436" s="2" t="s">
        <v>5538</v>
      </c>
      <c r="F2436" s="3">
        <v>29607060100927</v>
      </c>
      <c r="G2436" s="2" t="s">
        <v>34</v>
      </c>
      <c r="H2436" s="2" t="s">
        <v>5550</v>
      </c>
      <c r="I2436" s="2" t="s">
        <v>4315</v>
      </c>
      <c r="J2436" s="4">
        <v>43778</v>
      </c>
      <c r="K2436" s="2" t="s">
        <v>8</v>
      </c>
      <c r="L2436" s="2" t="s">
        <v>12</v>
      </c>
      <c r="M2436" s="2" t="s">
        <v>4706</v>
      </c>
      <c r="R2436" s="77">
        <v>3</v>
      </c>
      <c r="S2436" s="77">
        <v>2.5</v>
      </c>
      <c r="T2436" s="77">
        <v>2.5</v>
      </c>
      <c r="U2436" s="77">
        <v>2.5</v>
      </c>
      <c r="V2436" s="77">
        <v>3</v>
      </c>
      <c r="W2436" s="16" t="s">
        <v>170</v>
      </c>
      <c r="Y2436" s="7">
        <v>43804</v>
      </c>
      <c r="Z2436" s="16" t="s">
        <v>66</v>
      </c>
      <c r="AB2436" s="103" t="s">
        <v>5567</v>
      </c>
    </row>
    <row r="2437" spans="1:28">
      <c r="A2437" s="285"/>
      <c r="C2437" s="25">
        <v>151</v>
      </c>
      <c r="D2437" s="2">
        <v>26217</v>
      </c>
      <c r="E2437" s="2" t="s">
        <v>5539</v>
      </c>
      <c r="F2437" s="3">
        <v>29707192100181</v>
      </c>
      <c r="G2437" s="2" t="s">
        <v>34</v>
      </c>
      <c r="H2437" s="2" t="s">
        <v>5551</v>
      </c>
      <c r="I2437" s="2" t="s">
        <v>4315</v>
      </c>
      <c r="J2437" s="4">
        <v>43778</v>
      </c>
      <c r="K2437" s="2" t="s">
        <v>8</v>
      </c>
      <c r="L2437" s="2" t="s">
        <v>12</v>
      </c>
      <c r="M2437" s="2" t="s">
        <v>5205</v>
      </c>
      <c r="R2437" s="77">
        <v>3</v>
      </c>
      <c r="S2437" s="77">
        <v>2.5</v>
      </c>
      <c r="T2437" s="77">
        <v>2.5</v>
      </c>
      <c r="U2437" s="77">
        <v>2.5</v>
      </c>
      <c r="V2437" s="77">
        <v>3</v>
      </c>
      <c r="W2437" s="16" t="s">
        <v>4212</v>
      </c>
      <c r="X2437" s="2" t="s">
        <v>66</v>
      </c>
      <c r="Y2437" s="45">
        <v>43823</v>
      </c>
      <c r="Z2437" s="16" t="s">
        <v>66</v>
      </c>
      <c r="AA2437" s="7">
        <v>43831</v>
      </c>
    </row>
    <row r="2438" spans="1:28">
      <c r="A2438" s="285"/>
      <c r="C2438" s="25">
        <v>151</v>
      </c>
      <c r="D2438" s="2">
        <v>26218</v>
      </c>
      <c r="E2438" s="2" t="s">
        <v>5540</v>
      </c>
      <c r="F2438" s="3">
        <v>29712178800735</v>
      </c>
      <c r="G2438" s="2" t="s">
        <v>34</v>
      </c>
      <c r="H2438" s="2" t="s">
        <v>5552</v>
      </c>
      <c r="I2438" s="2" t="s">
        <v>4315</v>
      </c>
      <c r="J2438" s="4">
        <v>43778</v>
      </c>
      <c r="K2438" s="2" t="s">
        <v>8</v>
      </c>
      <c r="L2438" s="2" t="s">
        <v>12</v>
      </c>
      <c r="M2438" s="2" t="s">
        <v>5387</v>
      </c>
      <c r="R2438" s="77">
        <v>3</v>
      </c>
      <c r="S2438" s="77">
        <v>3</v>
      </c>
      <c r="T2438" s="77">
        <v>2</v>
      </c>
      <c r="U2438" s="77">
        <v>2.5</v>
      </c>
      <c r="V2438" s="77">
        <v>3</v>
      </c>
      <c r="W2438" s="16" t="s">
        <v>61</v>
      </c>
      <c r="X2438" s="2" t="s">
        <v>66</v>
      </c>
      <c r="Y2438" s="45">
        <v>43823</v>
      </c>
    </row>
    <row r="2439" spans="1:28" ht="15.75" thickBot="1">
      <c r="A2439" s="286"/>
      <c r="C2439" s="28">
        <v>151</v>
      </c>
      <c r="D2439" s="28">
        <v>26219</v>
      </c>
      <c r="E2439" s="28" t="s">
        <v>5541</v>
      </c>
      <c r="F2439" s="29">
        <v>28609028800924</v>
      </c>
      <c r="G2439" s="28" t="s">
        <v>34</v>
      </c>
      <c r="H2439" s="28" t="s">
        <v>5553</v>
      </c>
      <c r="I2439" s="28" t="s">
        <v>4315</v>
      </c>
      <c r="J2439" s="30">
        <v>43778</v>
      </c>
      <c r="K2439" s="28" t="s">
        <v>8</v>
      </c>
      <c r="L2439" s="28" t="s">
        <v>12</v>
      </c>
      <c r="M2439" s="28" t="s">
        <v>5246</v>
      </c>
      <c r="N2439" s="28"/>
      <c r="O2439" s="226"/>
      <c r="P2439" s="28"/>
      <c r="Q2439" s="226"/>
      <c r="R2439" s="37">
        <v>3</v>
      </c>
      <c r="S2439" s="37">
        <v>2.5</v>
      </c>
      <c r="T2439" s="37">
        <v>2</v>
      </c>
      <c r="U2439" s="37">
        <v>2</v>
      </c>
      <c r="V2439" s="37">
        <v>3</v>
      </c>
      <c r="W2439" s="28" t="s">
        <v>62</v>
      </c>
      <c r="X2439" s="28"/>
      <c r="Y2439" s="30">
        <v>43804</v>
      </c>
      <c r="Z2439" s="28" t="s">
        <v>66</v>
      </c>
      <c r="AA2439" s="30">
        <v>43822</v>
      </c>
      <c r="AB2439" s="28" t="s">
        <v>4411</v>
      </c>
    </row>
    <row r="2440" spans="1:28" ht="15.75" thickTop="1">
      <c r="A2440" s="292" t="s">
        <v>3120</v>
      </c>
      <c r="C2440" s="25" t="s">
        <v>5561</v>
      </c>
      <c r="D2440" s="25">
        <v>26232</v>
      </c>
      <c r="E2440" s="25" t="s">
        <v>5559</v>
      </c>
      <c r="F2440" s="26">
        <v>29705138800124</v>
      </c>
      <c r="G2440" s="25" t="s">
        <v>34</v>
      </c>
      <c r="H2440" s="25" t="s">
        <v>5560</v>
      </c>
      <c r="I2440" s="25" t="s">
        <v>4315</v>
      </c>
      <c r="J2440" s="27">
        <v>43785</v>
      </c>
      <c r="K2440" s="25" t="s">
        <v>8</v>
      </c>
      <c r="L2440" s="25" t="s">
        <v>12</v>
      </c>
      <c r="M2440" s="25" t="s">
        <v>3696</v>
      </c>
      <c r="N2440" s="25"/>
      <c r="O2440" s="224"/>
      <c r="P2440" s="25"/>
      <c r="Q2440" s="224"/>
      <c r="R2440" s="77">
        <v>3</v>
      </c>
      <c r="S2440" s="77">
        <v>2.5</v>
      </c>
      <c r="T2440" s="77">
        <v>2</v>
      </c>
      <c r="U2440" s="77">
        <v>2</v>
      </c>
      <c r="V2440" s="77">
        <v>3</v>
      </c>
      <c r="W2440" s="25" t="s">
        <v>3244</v>
      </c>
      <c r="X2440" s="25"/>
      <c r="Y2440" s="27">
        <v>43783</v>
      </c>
      <c r="Z2440" s="25"/>
      <c r="AA2440" s="27"/>
      <c r="AB2440" s="25" t="s">
        <v>5564</v>
      </c>
    </row>
    <row r="2441" spans="1:28" ht="15.75" thickBot="1">
      <c r="A2441" s="293"/>
      <c r="C2441" s="28" t="s">
        <v>5561</v>
      </c>
      <c r="D2441" s="28">
        <v>26249</v>
      </c>
      <c r="E2441" s="28" t="s">
        <v>5562</v>
      </c>
      <c r="F2441" s="29">
        <v>29701230103949</v>
      </c>
      <c r="G2441" s="28" t="s">
        <v>34</v>
      </c>
      <c r="H2441" s="78" t="s">
        <v>5563</v>
      </c>
      <c r="I2441" s="28" t="s">
        <v>4315</v>
      </c>
      <c r="J2441" s="30">
        <v>43788</v>
      </c>
      <c r="K2441" s="28" t="s">
        <v>8</v>
      </c>
      <c r="L2441" s="28" t="s">
        <v>12</v>
      </c>
      <c r="M2441" s="28" t="s">
        <v>4257</v>
      </c>
      <c r="N2441" s="28"/>
      <c r="O2441" s="226"/>
      <c r="P2441" s="28"/>
      <c r="Q2441" s="226"/>
      <c r="R2441" s="37">
        <v>3</v>
      </c>
      <c r="S2441" s="37">
        <v>2.5</v>
      </c>
      <c r="T2441" s="37">
        <v>2.5</v>
      </c>
      <c r="U2441" s="37">
        <v>2.5</v>
      </c>
      <c r="V2441" s="37">
        <v>3</v>
      </c>
      <c r="W2441" s="28" t="s">
        <v>170</v>
      </c>
      <c r="X2441" s="28"/>
      <c r="Y2441" s="30">
        <v>43783</v>
      </c>
      <c r="Z2441" s="28" t="s">
        <v>67</v>
      </c>
      <c r="AA2441" s="30"/>
      <c r="AB2441" s="28" t="s">
        <v>5719</v>
      </c>
    </row>
    <row r="2442" spans="1:28" ht="15.75" thickTop="1">
      <c r="A2442" s="284" t="s">
        <v>4519</v>
      </c>
      <c r="C2442" s="25">
        <v>152</v>
      </c>
      <c r="D2442" s="25">
        <v>26221</v>
      </c>
      <c r="E2442" s="25" t="s">
        <v>5570</v>
      </c>
      <c r="F2442" s="26">
        <v>29610060100065</v>
      </c>
      <c r="G2442" s="25" t="s">
        <v>34</v>
      </c>
      <c r="H2442" s="34" t="s">
        <v>5585</v>
      </c>
      <c r="I2442" s="25" t="s">
        <v>4315</v>
      </c>
      <c r="J2442" s="27">
        <v>43785</v>
      </c>
      <c r="K2442" s="25" t="s">
        <v>8</v>
      </c>
      <c r="L2442" s="25" t="s">
        <v>12</v>
      </c>
      <c r="M2442" s="25" t="s">
        <v>4706</v>
      </c>
      <c r="N2442" s="25"/>
      <c r="O2442" s="224"/>
      <c r="P2442" s="25"/>
      <c r="Q2442" s="224"/>
      <c r="R2442" s="77">
        <v>3</v>
      </c>
      <c r="S2442" s="77">
        <v>2.5</v>
      </c>
      <c r="T2442" s="77">
        <v>2</v>
      </c>
      <c r="U2442" s="77">
        <v>2.5</v>
      </c>
      <c r="V2442" s="77">
        <v>3</v>
      </c>
      <c r="W2442" s="25" t="s">
        <v>4821</v>
      </c>
      <c r="X2442" s="25"/>
      <c r="Y2442" s="27">
        <v>43811</v>
      </c>
      <c r="Z2442" s="25" t="s">
        <v>66</v>
      </c>
      <c r="AA2442" s="27"/>
      <c r="AB2442" s="25" t="s">
        <v>5613</v>
      </c>
    </row>
    <row r="2443" spans="1:28">
      <c r="A2443" s="285"/>
      <c r="C2443" s="25">
        <v>152</v>
      </c>
      <c r="D2443" s="2">
        <v>26222</v>
      </c>
      <c r="E2443" s="2" t="s">
        <v>5571</v>
      </c>
      <c r="F2443" s="3">
        <v>29201101702418</v>
      </c>
      <c r="G2443" s="2" t="s">
        <v>34</v>
      </c>
      <c r="H2443" s="8" t="s">
        <v>5586</v>
      </c>
      <c r="I2443" s="2" t="s">
        <v>4315</v>
      </c>
      <c r="J2443" s="4">
        <v>43785</v>
      </c>
      <c r="K2443" s="2" t="s">
        <v>8</v>
      </c>
      <c r="L2443" s="2" t="s">
        <v>12</v>
      </c>
      <c r="M2443" s="2" t="s">
        <v>149</v>
      </c>
      <c r="R2443" s="77">
        <v>3</v>
      </c>
      <c r="S2443" s="77">
        <v>2.5</v>
      </c>
      <c r="T2443" s="77">
        <v>2</v>
      </c>
      <c r="U2443" s="77">
        <v>2</v>
      </c>
      <c r="V2443" s="77">
        <v>3</v>
      </c>
      <c r="W2443" s="16" t="s">
        <v>3321</v>
      </c>
      <c r="Y2443" s="7">
        <v>43811</v>
      </c>
    </row>
    <row r="2444" spans="1:28">
      <c r="A2444" s="285"/>
      <c r="C2444" s="25">
        <v>152</v>
      </c>
      <c r="D2444" s="2">
        <v>26223</v>
      </c>
      <c r="E2444" s="2" t="s">
        <v>5572</v>
      </c>
      <c r="F2444" s="3">
        <v>29703140103144</v>
      </c>
      <c r="G2444" s="2" t="s">
        <v>34</v>
      </c>
      <c r="H2444" s="8" t="s">
        <v>5587</v>
      </c>
      <c r="I2444" s="2" t="s">
        <v>4315</v>
      </c>
      <c r="J2444" s="4">
        <v>43785</v>
      </c>
      <c r="K2444" s="2" t="s">
        <v>8</v>
      </c>
      <c r="L2444" s="2" t="s">
        <v>12</v>
      </c>
      <c r="M2444" s="2" t="s">
        <v>3696</v>
      </c>
      <c r="W2444" s="16" t="s">
        <v>63</v>
      </c>
      <c r="Z2444" s="16" t="s">
        <v>67</v>
      </c>
    </row>
    <row r="2445" spans="1:28">
      <c r="A2445" s="285"/>
      <c r="C2445" s="25">
        <v>152</v>
      </c>
      <c r="D2445" s="2">
        <v>26224</v>
      </c>
      <c r="E2445" s="2" t="s">
        <v>5573</v>
      </c>
      <c r="F2445" s="3">
        <v>29508110100879</v>
      </c>
      <c r="G2445" s="2" t="s">
        <v>34</v>
      </c>
      <c r="H2445" s="8" t="s">
        <v>5588</v>
      </c>
      <c r="I2445" s="2" t="s">
        <v>4315</v>
      </c>
      <c r="J2445" s="4">
        <v>43785</v>
      </c>
      <c r="K2445" s="2" t="s">
        <v>8</v>
      </c>
      <c r="L2445" s="2" t="s">
        <v>12</v>
      </c>
      <c r="M2445" s="2" t="s">
        <v>4527</v>
      </c>
      <c r="R2445" s="77">
        <v>3</v>
      </c>
      <c r="S2445" s="77">
        <v>3</v>
      </c>
      <c r="T2445" s="77">
        <v>2</v>
      </c>
      <c r="U2445" s="77">
        <v>2.5</v>
      </c>
      <c r="V2445" s="77">
        <v>3</v>
      </c>
      <c r="W2445" s="16" t="s">
        <v>5598</v>
      </c>
      <c r="Y2445" s="7">
        <v>43811</v>
      </c>
      <c r="Z2445" s="16" t="s">
        <v>66</v>
      </c>
      <c r="AB2445" s="25" t="s">
        <v>5613</v>
      </c>
    </row>
    <row r="2446" spans="1:28">
      <c r="A2446" s="285"/>
      <c r="C2446" s="25">
        <v>152</v>
      </c>
      <c r="D2446" s="2">
        <v>26225</v>
      </c>
      <c r="E2446" s="2" t="s">
        <v>5574</v>
      </c>
      <c r="F2446" s="3">
        <v>29609023100065</v>
      </c>
      <c r="G2446" s="2" t="s">
        <v>34</v>
      </c>
      <c r="H2446" s="8" t="s">
        <v>5589</v>
      </c>
      <c r="I2446" s="2" t="s">
        <v>4315</v>
      </c>
      <c r="J2446" s="4">
        <v>43785</v>
      </c>
      <c r="K2446" s="2" t="s">
        <v>8</v>
      </c>
      <c r="L2446" s="2" t="s">
        <v>12</v>
      </c>
      <c r="M2446" s="2" t="s">
        <v>4257</v>
      </c>
      <c r="R2446" s="77">
        <v>3</v>
      </c>
      <c r="S2446" s="77">
        <v>2.5</v>
      </c>
      <c r="T2446" s="77">
        <v>2.5</v>
      </c>
      <c r="U2446" s="77">
        <v>2.5</v>
      </c>
      <c r="V2446" s="77">
        <v>3</v>
      </c>
      <c r="W2446" s="16" t="s">
        <v>60</v>
      </c>
      <c r="X2446" s="2" t="s">
        <v>67</v>
      </c>
      <c r="Y2446" s="45">
        <v>43825</v>
      </c>
      <c r="Z2446" s="16" t="s">
        <v>66</v>
      </c>
      <c r="AA2446" s="7">
        <v>43837</v>
      </c>
      <c r="AB2446" s="2" t="s">
        <v>5715</v>
      </c>
    </row>
    <row r="2447" spans="1:28">
      <c r="A2447" s="285"/>
      <c r="C2447" s="25">
        <v>152</v>
      </c>
      <c r="D2447" s="2">
        <v>26226</v>
      </c>
      <c r="E2447" s="2" t="s">
        <v>5575</v>
      </c>
      <c r="F2447" s="3">
        <v>29106218800434</v>
      </c>
      <c r="G2447" s="2" t="s">
        <v>34</v>
      </c>
      <c r="H2447" s="8" t="s">
        <v>5590</v>
      </c>
      <c r="I2447" s="2" t="s">
        <v>4315</v>
      </c>
      <c r="J2447" s="4">
        <v>43785</v>
      </c>
      <c r="K2447" s="2" t="s">
        <v>8</v>
      </c>
      <c r="L2447" s="2" t="s">
        <v>12</v>
      </c>
      <c r="M2447" s="2" t="s">
        <v>149</v>
      </c>
      <c r="R2447" s="77">
        <v>3</v>
      </c>
      <c r="S2447" s="77">
        <v>2.5</v>
      </c>
      <c r="T2447" s="77">
        <v>2.5</v>
      </c>
      <c r="U2447" s="77">
        <v>2.5</v>
      </c>
      <c r="V2447" s="77">
        <v>3</v>
      </c>
      <c r="W2447" s="16" t="s">
        <v>170</v>
      </c>
      <c r="X2447" s="2" t="s">
        <v>66</v>
      </c>
      <c r="Y2447" s="45">
        <v>43850</v>
      </c>
      <c r="Z2447" s="16" t="s">
        <v>66</v>
      </c>
      <c r="AA2447" s="7">
        <v>43857</v>
      </c>
    </row>
    <row r="2448" spans="1:28">
      <c r="A2448" s="285"/>
      <c r="C2448" s="25">
        <v>152</v>
      </c>
      <c r="D2448" s="2">
        <v>26227</v>
      </c>
      <c r="E2448" s="2" t="s">
        <v>5576</v>
      </c>
      <c r="F2448" s="3">
        <v>29706140102848</v>
      </c>
      <c r="G2448" s="2" t="s">
        <v>34</v>
      </c>
      <c r="H2448" s="8" t="s">
        <v>5591</v>
      </c>
      <c r="I2448" s="2" t="s">
        <v>4315</v>
      </c>
      <c r="J2448" s="4">
        <v>43785</v>
      </c>
      <c r="K2448" s="2" t="s">
        <v>8</v>
      </c>
      <c r="L2448" s="2" t="s">
        <v>12</v>
      </c>
      <c r="M2448" s="2" t="s">
        <v>4706</v>
      </c>
      <c r="W2448" s="16" t="s">
        <v>64</v>
      </c>
      <c r="Z2448" s="16" t="s">
        <v>67</v>
      </c>
    </row>
    <row r="2449" spans="1:28">
      <c r="A2449" s="285"/>
      <c r="C2449" s="25">
        <v>152</v>
      </c>
      <c r="D2449" s="2">
        <v>26228</v>
      </c>
      <c r="E2449" s="2" t="s">
        <v>5577</v>
      </c>
      <c r="F2449" s="3">
        <v>29410010127435</v>
      </c>
      <c r="G2449" s="2" t="s">
        <v>34</v>
      </c>
      <c r="H2449" s="8" t="s">
        <v>5592</v>
      </c>
      <c r="I2449" s="2" t="s">
        <v>4315</v>
      </c>
      <c r="J2449" s="4">
        <v>43785</v>
      </c>
      <c r="K2449" s="2" t="s">
        <v>8</v>
      </c>
      <c r="L2449" s="2" t="s">
        <v>12</v>
      </c>
      <c r="M2449" s="2" t="s">
        <v>5152</v>
      </c>
      <c r="R2449" s="77">
        <v>3</v>
      </c>
      <c r="S2449" s="77">
        <v>2</v>
      </c>
      <c r="T2449" s="77">
        <v>2</v>
      </c>
      <c r="U2449" s="77">
        <v>1.5</v>
      </c>
      <c r="V2449" s="77">
        <v>3</v>
      </c>
      <c r="W2449" s="16" t="s">
        <v>3321</v>
      </c>
      <c r="Y2449" s="7">
        <v>43811</v>
      </c>
      <c r="Z2449" s="16" t="s">
        <v>66</v>
      </c>
      <c r="AA2449" s="7">
        <v>43822</v>
      </c>
      <c r="AB2449" s="2" t="s">
        <v>4411</v>
      </c>
    </row>
    <row r="2450" spans="1:28">
      <c r="A2450" s="285"/>
      <c r="C2450" s="25">
        <v>152</v>
      </c>
      <c r="D2450" s="2">
        <v>26229</v>
      </c>
      <c r="E2450" s="2" t="s">
        <v>5578</v>
      </c>
      <c r="F2450" s="3">
        <v>29610062101921</v>
      </c>
      <c r="G2450" s="2" t="s">
        <v>34</v>
      </c>
      <c r="H2450" s="8" t="s">
        <v>5593</v>
      </c>
      <c r="I2450" s="2" t="s">
        <v>4315</v>
      </c>
      <c r="J2450" s="4">
        <v>43785</v>
      </c>
      <c r="K2450" s="2" t="s">
        <v>8</v>
      </c>
      <c r="L2450" s="2" t="s">
        <v>12</v>
      </c>
      <c r="M2450" s="2" t="s">
        <v>551</v>
      </c>
      <c r="R2450" s="77">
        <v>3</v>
      </c>
      <c r="S2450" s="77">
        <v>2</v>
      </c>
      <c r="T2450" s="77">
        <v>2.5</v>
      </c>
      <c r="U2450" s="77">
        <v>2</v>
      </c>
      <c r="V2450" s="77">
        <v>3</v>
      </c>
      <c r="W2450" s="16" t="s">
        <v>62</v>
      </c>
      <c r="X2450" s="2" t="s">
        <v>66</v>
      </c>
      <c r="Y2450" s="45">
        <v>43850</v>
      </c>
      <c r="Z2450" s="16" t="s">
        <v>66</v>
      </c>
      <c r="AA2450" s="7">
        <v>43906</v>
      </c>
      <c r="AB2450" s="2" t="s">
        <v>4411</v>
      </c>
    </row>
    <row r="2451" spans="1:28">
      <c r="A2451" s="285"/>
      <c r="C2451" s="25">
        <v>152</v>
      </c>
      <c r="D2451" s="2">
        <v>26230</v>
      </c>
      <c r="E2451" s="2" t="s">
        <v>5579</v>
      </c>
      <c r="F2451" s="3">
        <v>29501232102169</v>
      </c>
      <c r="G2451" s="2" t="s">
        <v>34</v>
      </c>
      <c r="H2451" s="8" t="s">
        <v>5594</v>
      </c>
      <c r="I2451" s="2" t="s">
        <v>4315</v>
      </c>
      <c r="J2451" s="4">
        <v>43785</v>
      </c>
      <c r="K2451" s="2" t="s">
        <v>8</v>
      </c>
      <c r="L2451" s="2" t="s">
        <v>12</v>
      </c>
      <c r="M2451" s="2" t="s">
        <v>4257</v>
      </c>
      <c r="R2451" s="77">
        <v>3</v>
      </c>
      <c r="S2451" s="77">
        <v>3</v>
      </c>
      <c r="T2451" s="77">
        <v>2</v>
      </c>
      <c r="U2451" s="77">
        <v>2.5</v>
      </c>
      <c r="V2451" s="77">
        <v>3</v>
      </c>
      <c r="W2451" s="16" t="s">
        <v>4821</v>
      </c>
      <c r="Y2451" s="7">
        <v>43811</v>
      </c>
      <c r="Z2451" s="16" t="s">
        <v>66</v>
      </c>
      <c r="AB2451" s="2" t="s">
        <v>5613</v>
      </c>
    </row>
    <row r="2452" spans="1:28">
      <c r="A2452" s="285"/>
      <c r="C2452" s="25">
        <v>152</v>
      </c>
      <c r="D2452" s="2">
        <v>26231</v>
      </c>
      <c r="E2452" s="2" t="s">
        <v>5580</v>
      </c>
      <c r="F2452" s="3">
        <v>29601238800571</v>
      </c>
      <c r="G2452" s="2" t="s">
        <v>4131</v>
      </c>
      <c r="H2452" s="8" t="s">
        <v>5595</v>
      </c>
      <c r="I2452" s="2" t="s">
        <v>4315</v>
      </c>
      <c r="J2452" s="4">
        <v>43785</v>
      </c>
      <c r="K2452" s="2" t="s">
        <v>8</v>
      </c>
      <c r="L2452" s="2" t="s">
        <v>12</v>
      </c>
      <c r="M2452" s="2" t="s">
        <v>4257</v>
      </c>
      <c r="R2452" s="77">
        <v>3</v>
      </c>
      <c r="S2452" s="77">
        <v>3</v>
      </c>
      <c r="T2452" s="77">
        <v>2</v>
      </c>
      <c r="U2452" s="77">
        <v>2</v>
      </c>
      <c r="V2452" s="77">
        <v>3</v>
      </c>
      <c r="W2452" s="16" t="s">
        <v>5598</v>
      </c>
      <c r="Y2452" s="7">
        <v>43811</v>
      </c>
      <c r="Z2452" s="16" t="s">
        <v>66</v>
      </c>
      <c r="AB2452" s="103" t="s">
        <v>5613</v>
      </c>
    </row>
    <row r="2453" spans="1:28">
      <c r="A2453" s="285"/>
      <c r="C2453" s="25">
        <v>152</v>
      </c>
      <c r="D2453" s="2">
        <v>26232</v>
      </c>
      <c r="E2453" s="2" t="s">
        <v>5559</v>
      </c>
      <c r="F2453" s="3">
        <v>29705138800124</v>
      </c>
      <c r="G2453" s="2" t="s">
        <v>34</v>
      </c>
      <c r="H2453" s="8" t="s">
        <v>5560</v>
      </c>
      <c r="I2453" s="2" t="s">
        <v>4315</v>
      </c>
      <c r="J2453" s="4">
        <v>43785</v>
      </c>
      <c r="K2453" s="2" t="s">
        <v>8</v>
      </c>
      <c r="L2453" s="2" t="s">
        <v>12</v>
      </c>
      <c r="M2453" s="2" t="s">
        <v>3696</v>
      </c>
      <c r="R2453" s="77">
        <v>3</v>
      </c>
      <c r="S2453" s="77">
        <v>2.5</v>
      </c>
      <c r="T2453" s="77">
        <v>2</v>
      </c>
      <c r="U2453" s="77">
        <v>2.5</v>
      </c>
      <c r="V2453" s="77">
        <v>3</v>
      </c>
      <c r="W2453" s="16" t="s">
        <v>170</v>
      </c>
      <c r="Y2453" s="7">
        <v>43811</v>
      </c>
      <c r="Z2453" s="16" t="s">
        <v>66</v>
      </c>
      <c r="AA2453" s="7">
        <v>43823</v>
      </c>
      <c r="AB2453" s="103"/>
    </row>
    <row r="2454" spans="1:28">
      <c r="A2454" s="285"/>
      <c r="C2454" s="25">
        <v>152</v>
      </c>
      <c r="D2454" s="2">
        <v>26233</v>
      </c>
      <c r="E2454" s="2" t="s">
        <v>5581</v>
      </c>
      <c r="F2454" s="3" t="s">
        <v>5582</v>
      </c>
      <c r="G2454" s="2" t="s">
        <v>34</v>
      </c>
      <c r="H2454" s="8" t="s">
        <v>5596</v>
      </c>
      <c r="I2454" s="2" t="s">
        <v>4315</v>
      </c>
      <c r="J2454" s="4">
        <v>43785</v>
      </c>
      <c r="K2454" s="2" t="s">
        <v>8</v>
      </c>
      <c r="L2454" s="2" t="s">
        <v>12</v>
      </c>
      <c r="M2454" s="2" t="s">
        <v>5152</v>
      </c>
      <c r="R2454" s="77">
        <v>3</v>
      </c>
      <c r="S2454" s="77">
        <v>2.5</v>
      </c>
      <c r="T2454" s="77">
        <v>2</v>
      </c>
      <c r="U2454" s="77">
        <v>2</v>
      </c>
      <c r="V2454" s="77">
        <v>3</v>
      </c>
      <c r="W2454" s="16" t="s">
        <v>62</v>
      </c>
      <c r="Y2454" s="7">
        <v>43811</v>
      </c>
      <c r="Z2454" s="16" t="s">
        <v>66</v>
      </c>
      <c r="AA2454" s="7">
        <v>43822</v>
      </c>
      <c r="AB2454" s="2" t="s">
        <v>4411</v>
      </c>
    </row>
    <row r="2455" spans="1:28" ht="15.75" thickBot="1">
      <c r="A2455" s="286"/>
      <c r="C2455" s="28">
        <v>152</v>
      </c>
      <c r="D2455" s="28">
        <v>26241</v>
      </c>
      <c r="E2455" s="28" t="s">
        <v>5583</v>
      </c>
      <c r="F2455" s="29" t="s">
        <v>5584</v>
      </c>
      <c r="G2455" s="28" t="s">
        <v>34</v>
      </c>
      <c r="H2455" s="78" t="s">
        <v>5597</v>
      </c>
      <c r="I2455" s="28" t="s">
        <v>4315</v>
      </c>
      <c r="J2455" s="30">
        <v>43785</v>
      </c>
      <c r="K2455" s="28" t="s">
        <v>8</v>
      </c>
      <c r="L2455" s="28" t="s">
        <v>12</v>
      </c>
      <c r="M2455" s="28" t="s">
        <v>1515</v>
      </c>
      <c r="N2455" s="28"/>
      <c r="O2455" s="226"/>
      <c r="P2455" s="28"/>
      <c r="Q2455" s="226"/>
      <c r="R2455" s="37">
        <v>3</v>
      </c>
      <c r="S2455" s="37">
        <v>2.5</v>
      </c>
      <c r="T2455" s="37">
        <v>2.5</v>
      </c>
      <c r="U2455" s="37">
        <v>2</v>
      </c>
      <c r="V2455" s="37">
        <v>3</v>
      </c>
      <c r="W2455" s="28" t="s">
        <v>502</v>
      </c>
      <c r="X2455" s="28"/>
      <c r="Y2455" s="30">
        <v>43811</v>
      </c>
      <c r="Z2455" s="28" t="s">
        <v>66</v>
      </c>
      <c r="AA2455" s="30">
        <v>43871</v>
      </c>
      <c r="AB2455" s="28" t="s">
        <v>5966</v>
      </c>
    </row>
    <row r="2456" spans="1:28" ht="15.75" thickTop="1">
      <c r="A2456" s="284" t="s">
        <v>5262</v>
      </c>
      <c r="C2456" s="25">
        <v>153</v>
      </c>
      <c r="D2456" s="25">
        <v>26243</v>
      </c>
      <c r="E2456" s="25" t="s">
        <v>5599</v>
      </c>
      <c r="F2456" s="26">
        <v>29601212101799</v>
      </c>
      <c r="G2456" s="25" t="s">
        <v>34</v>
      </c>
      <c r="H2456" s="25" t="s">
        <v>5600</v>
      </c>
      <c r="I2456" s="25" t="s">
        <v>4315</v>
      </c>
      <c r="J2456" s="27">
        <v>43788</v>
      </c>
      <c r="K2456" s="25" t="s">
        <v>8</v>
      </c>
      <c r="L2456" s="25" t="s">
        <v>12</v>
      </c>
      <c r="M2456" s="25" t="s">
        <v>5387</v>
      </c>
      <c r="N2456" s="25"/>
      <c r="O2456" s="224"/>
      <c r="P2456" s="25"/>
      <c r="Q2456" s="224"/>
      <c r="R2456" s="77">
        <v>3</v>
      </c>
      <c r="S2456" s="77">
        <v>2.5</v>
      </c>
      <c r="T2456" s="77">
        <v>2.5</v>
      </c>
      <c r="U2456" s="77">
        <v>2.5</v>
      </c>
      <c r="V2456" s="77">
        <v>3</v>
      </c>
      <c r="W2456" s="25" t="s">
        <v>170</v>
      </c>
      <c r="X2456" s="25"/>
      <c r="Y2456" s="27">
        <v>43816</v>
      </c>
      <c r="Z2456" s="25" t="s">
        <v>66</v>
      </c>
      <c r="AA2456" s="27">
        <v>43823</v>
      </c>
      <c r="AB2456" s="25"/>
    </row>
    <row r="2457" spans="1:28">
      <c r="A2457" s="285"/>
      <c r="C2457" s="25">
        <v>153</v>
      </c>
      <c r="D2457" s="2">
        <v>26244</v>
      </c>
      <c r="E2457" s="2" t="s">
        <v>5601</v>
      </c>
      <c r="F2457" s="3">
        <v>28308141200038</v>
      </c>
      <c r="G2457" s="2" t="s">
        <v>34</v>
      </c>
      <c r="H2457" s="2" t="s">
        <v>5602</v>
      </c>
      <c r="I2457" s="2" t="s">
        <v>4315</v>
      </c>
      <c r="J2457" s="4">
        <v>43788</v>
      </c>
      <c r="K2457" s="2" t="s">
        <v>8</v>
      </c>
      <c r="L2457" s="2" t="s">
        <v>12</v>
      </c>
      <c r="M2457" s="2" t="s">
        <v>149</v>
      </c>
      <c r="W2457" s="16" t="s">
        <v>64</v>
      </c>
      <c r="Z2457" s="16" t="s">
        <v>67</v>
      </c>
    </row>
    <row r="2458" spans="1:28">
      <c r="A2458" s="285"/>
      <c r="C2458" s="25">
        <v>153</v>
      </c>
      <c r="D2458" s="2">
        <v>26245</v>
      </c>
      <c r="E2458" s="2" t="s">
        <v>5603</v>
      </c>
      <c r="F2458" s="3">
        <v>29412220103825</v>
      </c>
      <c r="G2458" s="2" t="s">
        <v>34</v>
      </c>
      <c r="H2458" s="2" t="s">
        <v>5604</v>
      </c>
      <c r="I2458" s="2" t="s">
        <v>4315</v>
      </c>
      <c r="J2458" s="4">
        <v>43788</v>
      </c>
      <c r="K2458" s="2" t="s">
        <v>8</v>
      </c>
      <c r="L2458" s="2" t="s">
        <v>12</v>
      </c>
      <c r="M2458" s="2" t="s">
        <v>4257</v>
      </c>
      <c r="R2458" s="77">
        <v>3</v>
      </c>
      <c r="S2458" s="77">
        <v>2.5</v>
      </c>
      <c r="T2458" s="77">
        <v>2</v>
      </c>
      <c r="U2458" s="77">
        <v>2.5</v>
      </c>
      <c r="V2458" s="77">
        <v>3</v>
      </c>
      <c r="W2458" s="16" t="s">
        <v>171</v>
      </c>
      <c r="Y2458" s="7">
        <v>43816</v>
      </c>
    </row>
    <row r="2459" spans="1:28">
      <c r="A2459" s="285"/>
      <c r="C2459" s="25">
        <v>153</v>
      </c>
      <c r="D2459" s="2">
        <v>26246</v>
      </c>
      <c r="E2459" s="2" t="s">
        <v>5605</v>
      </c>
      <c r="F2459" s="3">
        <v>28612102101121</v>
      </c>
      <c r="G2459" s="2" t="s">
        <v>34</v>
      </c>
      <c r="H2459" s="2" t="s">
        <v>5606</v>
      </c>
      <c r="I2459" s="2" t="s">
        <v>4315</v>
      </c>
      <c r="J2459" s="4">
        <v>43788</v>
      </c>
      <c r="K2459" s="2" t="s">
        <v>8</v>
      </c>
      <c r="L2459" s="2" t="s">
        <v>12</v>
      </c>
      <c r="M2459" s="2" t="s">
        <v>5387</v>
      </c>
      <c r="W2459" s="16" t="s">
        <v>64</v>
      </c>
      <c r="Z2459" s="16" t="s">
        <v>67</v>
      </c>
    </row>
    <row r="2460" spans="1:28">
      <c r="A2460" s="285"/>
      <c r="C2460" s="25">
        <v>153</v>
      </c>
      <c r="D2460" s="2">
        <v>26247</v>
      </c>
      <c r="E2460" s="2" t="s">
        <v>5607</v>
      </c>
      <c r="F2460" s="3">
        <v>29609292100471</v>
      </c>
      <c r="G2460" s="2" t="s">
        <v>4131</v>
      </c>
      <c r="H2460" s="2" t="s">
        <v>5608</v>
      </c>
      <c r="I2460" s="2" t="s">
        <v>4315</v>
      </c>
      <c r="J2460" s="4">
        <v>43788</v>
      </c>
      <c r="K2460" s="2" t="s">
        <v>8</v>
      </c>
      <c r="L2460" s="2" t="s">
        <v>12</v>
      </c>
      <c r="M2460" s="2" t="s">
        <v>149</v>
      </c>
      <c r="R2460" s="77">
        <v>3</v>
      </c>
      <c r="S2460" s="77">
        <v>3</v>
      </c>
      <c r="T2460" s="77">
        <v>2.5</v>
      </c>
      <c r="U2460" s="77">
        <v>2</v>
      </c>
      <c r="V2460" s="77">
        <v>3</v>
      </c>
      <c r="W2460" s="16" t="s">
        <v>60</v>
      </c>
      <c r="Y2460" s="7">
        <v>43816</v>
      </c>
      <c r="Z2460" s="16" t="s">
        <v>66</v>
      </c>
      <c r="AA2460" s="7">
        <v>43823</v>
      </c>
    </row>
    <row r="2461" spans="1:28">
      <c r="A2461" s="285"/>
      <c r="C2461" s="25">
        <v>153</v>
      </c>
      <c r="D2461" s="2">
        <v>26248</v>
      </c>
      <c r="E2461" s="2" t="s">
        <v>5609</v>
      </c>
      <c r="F2461" s="3" t="s">
        <v>5610</v>
      </c>
      <c r="G2461" s="2" t="s">
        <v>3892</v>
      </c>
      <c r="H2461" s="2" t="s">
        <v>5611</v>
      </c>
      <c r="I2461" s="2" t="s">
        <v>4315</v>
      </c>
      <c r="J2461" s="4">
        <v>43788</v>
      </c>
      <c r="K2461" s="2" t="s">
        <v>8</v>
      </c>
      <c r="L2461" s="2" t="s">
        <v>12</v>
      </c>
      <c r="M2461" s="2" t="s">
        <v>149</v>
      </c>
      <c r="R2461" s="77">
        <v>3</v>
      </c>
      <c r="S2461" s="77">
        <v>2.5</v>
      </c>
      <c r="T2461" s="77">
        <v>3</v>
      </c>
      <c r="U2461" s="77">
        <v>2.5</v>
      </c>
      <c r="V2461" s="77">
        <v>3</v>
      </c>
      <c r="W2461" s="16" t="s">
        <v>60</v>
      </c>
      <c r="Y2461" s="7">
        <v>43816</v>
      </c>
      <c r="Z2461" s="16" t="s">
        <v>66</v>
      </c>
      <c r="AA2461" s="7">
        <v>43823</v>
      </c>
    </row>
    <row r="2462" spans="1:28">
      <c r="A2462" s="285"/>
      <c r="C2462" s="25">
        <v>153</v>
      </c>
      <c r="D2462" s="2">
        <v>25772</v>
      </c>
      <c r="E2462" s="2" t="s">
        <v>5430</v>
      </c>
      <c r="F2462" s="3">
        <v>29704012611087</v>
      </c>
      <c r="G2462" s="2" t="s">
        <v>34</v>
      </c>
      <c r="H2462" s="2" t="s">
        <v>5431</v>
      </c>
      <c r="J2462" s="4">
        <v>43788</v>
      </c>
      <c r="K2462" s="2" t="s">
        <v>8</v>
      </c>
      <c r="L2462" s="2" t="s">
        <v>12</v>
      </c>
      <c r="M2462" s="2" t="s">
        <v>4257</v>
      </c>
      <c r="R2462" s="77">
        <v>3</v>
      </c>
      <c r="S2462" s="77">
        <v>2.5</v>
      </c>
      <c r="T2462" s="77">
        <v>2</v>
      </c>
      <c r="U2462" s="77">
        <v>2.5</v>
      </c>
      <c r="V2462" s="77">
        <v>3</v>
      </c>
      <c r="W2462" s="16" t="s">
        <v>61</v>
      </c>
      <c r="Y2462" s="7">
        <v>43816</v>
      </c>
      <c r="Z2462" s="16" t="s">
        <v>67</v>
      </c>
      <c r="AB2462" s="2" t="s">
        <v>5879</v>
      </c>
    </row>
    <row r="2463" spans="1:28">
      <c r="A2463" s="285"/>
      <c r="C2463" s="25">
        <v>153</v>
      </c>
      <c r="D2463" s="2">
        <v>25774</v>
      </c>
      <c r="E2463" s="2" t="s">
        <v>5434</v>
      </c>
      <c r="F2463" s="3">
        <v>29412140102038</v>
      </c>
      <c r="G2463" s="2" t="s">
        <v>34</v>
      </c>
      <c r="H2463" s="2" t="s">
        <v>5435</v>
      </c>
      <c r="R2463" s="77">
        <v>3</v>
      </c>
      <c r="S2463" s="77">
        <v>2.5</v>
      </c>
      <c r="T2463" s="77">
        <v>2.5</v>
      </c>
      <c r="U2463" s="77">
        <v>2</v>
      </c>
      <c r="V2463" s="77">
        <v>3</v>
      </c>
      <c r="W2463" s="16" t="s">
        <v>170</v>
      </c>
      <c r="Y2463" s="7">
        <v>43816</v>
      </c>
      <c r="Z2463" s="16" t="s">
        <v>66</v>
      </c>
      <c r="AA2463" s="45">
        <v>43823</v>
      </c>
    </row>
    <row r="2464" spans="1:28">
      <c r="A2464" s="285"/>
      <c r="C2464" s="25">
        <v>153</v>
      </c>
      <c r="D2464" s="2">
        <v>25778</v>
      </c>
      <c r="E2464" s="2" t="s">
        <v>5442</v>
      </c>
      <c r="F2464" s="3">
        <v>29712252102182</v>
      </c>
      <c r="G2464" s="2" t="s">
        <v>34</v>
      </c>
      <c r="H2464" s="2" t="s">
        <v>5443</v>
      </c>
      <c r="R2464" s="77">
        <v>3</v>
      </c>
      <c r="S2464" s="77">
        <v>3</v>
      </c>
      <c r="T2464" s="77">
        <v>2.5</v>
      </c>
      <c r="U2464" s="77">
        <v>2.5</v>
      </c>
      <c r="V2464" s="77">
        <v>3</v>
      </c>
      <c r="W2464" s="16" t="s">
        <v>60</v>
      </c>
      <c r="Y2464" s="7">
        <v>43816</v>
      </c>
      <c r="Z2464" s="16" t="s">
        <v>66</v>
      </c>
      <c r="AA2464" s="7">
        <v>43823</v>
      </c>
    </row>
    <row r="2465" spans="1:28">
      <c r="A2465" s="285"/>
      <c r="C2465" s="25">
        <v>153</v>
      </c>
      <c r="D2465" s="2">
        <v>25780</v>
      </c>
      <c r="E2465" s="2" t="s">
        <v>5446</v>
      </c>
      <c r="F2465" s="3">
        <v>29706072402064</v>
      </c>
      <c r="G2465" s="2" t="s">
        <v>4977</v>
      </c>
      <c r="H2465" s="2" t="s">
        <v>5447</v>
      </c>
      <c r="R2465" s="77">
        <v>3</v>
      </c>
      <c r="S2465" s="77">
        <v>2.5</v>
      </c>
      <c r="T2465" s="77">
        <v>2.5</v>
      </c>
      <c r="U2465" s="77">
        <v>2.5</v>
      </c>
      <c r="V2465" s="77">
        <v>3</v>
      </c>
      <c r="W2465" s="16" t="s">
        <v>61</v>
      </c>
      <c r="Y2465" s="7">
        <v>43816</v>
      </c>
      <c r="Z2465" s="16" t="s">
        <v>66</v>
      </c>
      <c r="AA2465" s="7">
        <v>43858</v>
      </c>
      <c r="AB2465" s="2" t="s">
        <v>5811</v>
      </c>
    </row>
    <row r="2466" spans="1:28">
      <c r="A2466" s="285"/>
      <c r="C2466" s="25">
        <v>153</v>
      </c>
      <c r="D2466" s="2">
        <v>25784</v>
      </c>
      <c r="E2466" s="2" t="s">
        <v>5454</v>
      </c>
      <c r="F2466" s="3">
        <v>29601050104861</v>
      </c>
      <c r="G2466" s="2" t="s">
        <v>34</v>
      </c>
      <c r="H2466" s="2" t="s">
        <v>5455</v>
      </c>
      <c r="R2466" s="77">
        <v>3</v>
      </c>
      <c r="S2466" s="77">
        <v>2</v>
      </c>
      <c r="T2466" s="77">
        <v>2</v>
      </c>
      <c r="U2466" s="77">
        <v>2</v>
      </c>
      <c r="V2466" s="77">
        <v>3</v>
      </c>
      <c r="W2466" s="16" t="s">
        <v>62</v>
      </c>
      <c r="Y2466" s="7">
        <v>43816</v>
      </c>
      <c r="Z2466" s="16" t="s">
        <v>67</v>
      </c>
      <c r="AB2466" s="2" t="s">
        <v>5806</v>
      </c>
    </row>
    <row r="2467" spans="1:28">
      <c r="A2467" s="285"/>
      <c r="C2467" s="25">
        <v>153</v>
      </c>
      <c r="D2467" s="2">
        <v>25785</v>
      </c>
      <c r="E2467" s="2" t="s">
        <v>5456</v>
      </c>
      <c r="F2467" s="3">
        <v>29704150102835</v>
      </c>
      <c r="G2467" s="2" t="s">
        <v>34</v>
      </c>
      <c r="H2467" s="2" t="s">
        <v>5457</v>
      </c>
      <c r="R2467" s="77">
        <v>3</v>
      </c>
      <c r="S2467" s="77">
        <v>2.5</v>
      </c>
      <c r="T2467" s="77">
        <v>2</v>
      </c>
      <c r="U2467" s="77">
        <v>2.5</v>
      </c>
      <c r="V2467" s="77">
        <v>3</v>
      </c>
      <c r="W2467" s="16" t="s">
        <v>4212</v>
      </c>
      <c r="Y2467" s="7">
        <v>43816</v>
      </c>
      <c r="Z2467" s="16" t="s">
        <v>66</v>
      </c>
      <c r="AA2467" s="45">
        <v>43831</v>
      </c>
    </row>
    <row r="2468" spans="1:28" ht="15.75" thickBot="1">
      <c r="A2468" s="286"/>
      <c r="C2468" s="28">
        <v>153</v>
      </c>
      <c r="D2468" s="28">
        <v>21521</v>
      </c>
      <c r="E2468" s="28" t="s">
        <v>5458</v>
      </c>
      <c r="F2468" s="29">
        <v>29401210100818</v>
      </c>
      <c r="G2468" s="28" t="s">
        <v>34</v>
      </c>
      <c r="H2468" s="28" t="s">
        <v>5459</v>
      </c>
      <c r="I2468" s="28"/>
      <c r="J2468" s="30"/>
      <c r="K2468" s="28"/>
      <c r="L2468" s="28"/>
      <c r="M2468" s="28"/>
      <c r="N2468" s="28"/>
      <c r="O2468" s="226"/>
      <c r="P2468" s="28"/>
      <c r="Q2468" s="226"/>
      <c r="R2468" s="37">
        <v>3</v>
      </c>
      <c r="S2468" s="37">
        <v>2.5</v>
      </c>
      <c r="T2468" s="37">
        <v>2</v>
      </c>
      <c r="U2468" s="37">
        <v>2</v>
      </c>
      <c r="V2468" s="37">
        <v>3</v>
      </c>
      <c r="W2468" s="28" t="s">
        <v>171</v>
      </c>
      <c r="X2468" s="28"/>
      <c r="Y2468" s="30">
        <v>43816</v>
      </c>
      <c r="Z2468" s="28" t="s">
        <v>66</v>
      </c>
      <c r="AA2468" s="30">
        <v>43858</v>
      </c>
      <c r="AB2468" s="28" t="s">
        <v>5812</v>
      </c>
    </row>
    <row r="2469" spans="1:28" ht="15.75" thickTop="1">
      <c r="A2469" s="284" t="s">
        <v>4517</v>
      </c>
      <c r="C2469" s="25" t="s">
        <v>5645</v>
      </c>
      <c r="D2469" s="25">
        <v>26267</v>
      </c>
      <c r="E2469" s="25" t="s">
        <v>5615</v>
      </c>
      <c r="F2469" s="26">
        <v>29510300103399</v>
      </c>
      <c r="G2469" s="25" t="s">
        <v>34</v>
      </c>
      <c r="H2469" s="25" t="s">
        <v>5616</v>
      </c>
      <c r="I2469" s="25" t="s">
        <v>4315</v>
      </c>
      <c r="J2469" s="27">
        <v>43800</v>
      </c>
      <c r="K2469" s="25" t="s">
        <v>798</v>
      </c>
      <c r="L2469" s="25" t="s">
        <v>12</v>
      </c>
      <c r="M2469" s="25" t="s">
        <v>5617</v>
      </c>
      <c r="N2469" s="25"/>
      <c r="O2469" s="224"/>
      <c r="P2469" s="25"/>
      <c r="Q2469" s="224"/>
      <c r="R2469" s="25"/>
      <c r="S2469" s="25"/>
      <c r="T2469" s="25"/>
      <c r="U2469" s="25"/>
      <c r="V2469" s="25"/>
      <c r="W2469" s="25" t="s">
        <v>64</v>
      </c>
      <c r="X2469" s="25"/>
      <c r="Y2469" s="27"/>
      <c r="Z2469" s="25" t="s">
        <v>67</v>
      </c>
      <c r="AA2469" s="27"/>
      <c r="AB2469" s="25"/>
    </row>
    <row r="2470" spans="1:28">
      <c r="A2470" s="285"/>
      <c r="C2470" s="25" t="s">
        <v>5645</v>
      </c>
      <c r="D2470" s="2">
        <v>26268</v>
      </c>
      <c r="E2470" s="2" t="s">
        <v>5618</v>
      </c>
      <c r="F2470" s="3">
        <v>28606250103515</v>
      </c>
      <c r="G2470" s="2" t="s">
        <v>34</v>
      </c>
      <c r="H2470" s="2" t="s">
        <v>5619</v>
      </c>
      <c r="I2470" s="2" t="s">
        <v>4315</v>
      </c>
      <c r="J2470" s="4">
        <v>43800</v>
      </c>
      <c r="K2470" s="2" t="s">
        <v>798</v>
      </c>
      <c r="L2470" s="2" t="s">
        <v>12</v>
      </c>
      <c r="M2470" s="2" t="s">
        <v>3173</v>
      </c>
      <c r="R2470" s="77">
        <v>3</v>
      </c>
      <c r="S2470" s="77">
        <v>2.5</v>
      </c>
      <c r="T2470" s="77">
        <v>2</v>
      </c>
      <c r="U2470" s="77">
        <v>2</v>
      </c>
      <c r="V2470" s="77">
        <v>3</v>
      </c>
      <c r="W2470" s="16" t="s">
        <v>4970</v>
      </c>
      <c r="Y2470" s="7">
        <v>43824</v>
      </c>
    </row>
    <row r="2471" spans="1:28">
      <c r="A2471" s="285"/>
      <c r="C2471" s="25" t="s">
        <v>5645</v>
      </c>
      <c r="D2471" s="2">
        <v>26269</v>
      </c>
      <c r="E2471" s="2" t="s">
        <v>5620</v>
      </c>
      <c r="F2471" s="3">
        <v>29310280101271</v>
      </c>
      <c r="G2471" s="2" t="s">
        <v>34</v>
      </c>
      <c r="H2471" s="2" t="s">
        <v>5621</v>
      </c>
      <c r="I2471" s="2" t="s">
        <v>4315</v>
      </c>
      <c r="J2471" s="4">
        <v>43800</v>
      </c>
      <c r="K2471" s="2" t="s">
        <v>798</v>
      </c>
      <c r="L2471" s="2" t="s">
        <v>12</v>
      </c>
      <c r="M2471" s="2" t="s">
        <v>5387</v>
      </c>
      <c r="R2471" s="77">
        <v>3</v>
      </c>
      <c r="S2471" s="77">
        <v>2.5</v>
      </c>
      <c r="T2471" s="77">
        <v>2</v>
      </c>
      <c r="U2471" s="77">
        <v>2</v>
      </c>
      <c r="V2471" s="77">
        <v>3</v>
      </c>
      <c r="W2471" s="16" t="s">
        <v>4970</v>
      </c>
      <c r="Y2471" s="45">
        <v>43824</v>
      </c>
    </row>
    <row r="2472" spans="1:28">
      <c r="A2472" s="285"/>
      <c r="C2472" s="25" t="s">
        <v>5645</v>
      </c>
      <c r="D2472" s="2">
        <v>26270</v>
      </c>
      <c r="E2472" s="2" t="s">
        <v>5622</v>
      </c>
      <c r="F2472" s="3">
        <v>29610012314487</v>
      </c>
      <c r="G2472" s="2" t="s">
        <v>34</v>
      </c>
      <c r="H2472" s="2" t="s">
        <v>5623</v>
      </c>
      <c r="I2472" s="2" t="s">
        <v>4315</v>
      </c>
      <c r="J2472" s="4">
        <v>43800</v>
      </c>
      <c r="K2472" s="2" t="s">
        <v>798</v>
      </c>
      <c r="L2472" s="2" t="s">
        <v>12</v>
      </c>
      <c r="M2472" s="2" t="s">
        <v>5387</v>
      </c>
      <c r="R2472" s="77">
        <v>3</v>
      </c>
      <c r="S2472" s="77">
        <v>2.5</v>
      </c>
      <c r="T2472" s="77">
        <v>2</v>
      </c>
      <c r="U2472" s="77">
        <v>2</v>
      </c>
      <c r="V2472" s="77">
        <v>3</v>
      </c>
      <c r="W2472" s="16" t="s">
        <v>62</v>
      </c>
      <c r="X2472" s="2" t="s">
        <v>66</v>
      </c>
      <c r="Y2472" s="45">
        <v>43850</v>
      </c>
      <c r="Z2472" s="16" t="s">
        <v>67</v>
      </c>
      <c r="AB2472" s="2" t="s">
        <v>5804</v>
      </c>
    </row>
    <row r="2473" spans="1:28">
      <c r="A2473" s="285"/>
      <c r="C2473" s="25" t="s">
        <v>5645</v>
      </c>
      <c r="D2473" s="2">
        <v>26271</v>
      </c>
      <c r="E2473" s="2" t="s">
        <v>5624</v>
      </c>
      <c r="F2473" s="3">
        <v>29507042101601</v>
      </c>
      <c r="G2473" s="2" t="s">
        <v>34</v>
      </c>
      <c r="H2473" s="2" t="s">
        <v>5625</v>
      </c>
      <c r="I2473" s="2" t="s">
        <v>4315</v>
      </c>
      <c r="J2473" s="4">
        <v>43800</v>
      </c>
      <c r="K2473" s="2" t="s">
        <v>798</v>
      </c>
      <c r="L2473" s="2" t="s">
        <v>12</v>
      </c>
      <c r="M2473" s="2" t="s">
        <v>4257</v>
      </c>
      <c r="R2473" s="77">
        <v>3</v>
      </c>
      <c r="S2473" s="77">
        <v>2.5</v>
      </c>
      <c r="T2473" s="77">
        <v>2</v>
      </c>
      <c r="U2473" s="77">
        <v>1</v>
      </c>
      <c r="V2473" s="77">
        <v>3</v>
      </c>
      <c r="W2473" s="16" t="s">
        <v>3818</v>
      </c>
      <c r="Y2473" s="45">
        <v>43824</v>
      </c>
    </row>
    <row r="2474" spans="1:28">
      <c r="A2474" s="285"/>
      <c r="C2474" s="25" t="s">
        <v>5645</v>
      </c>
      <c r="D2474" s="2">
        <v>26272</v>
      </c>
      <c r="E2474" s="2" t="s">
        <v>5626</v>
      </c>
      <c r="F2474" s="3">
        <v>29208182700532</v>
      </c>
      <c r="G2474" s="2" t="s">
        <v>34</v>
      </c>
      <c r="H2474" s="2" t="s">
        <v>5627</v>
      </c>
      <c r="I2474" s="2" t="s">
        <v>4315</v>
      </c>
      <c r="J2474" s="4">
        <v>43800</v>
      </c>
      <c r="K2474" s="2" t="s">
        <v>798</v>
      </c>
      <c r="L2474" s="2" t="s">
        <v>12</v>
      </c>
      <c r="M2474" s="2" t="s">
        <v>4257</v>
      </c>
      <c r="R2474" s="77">
        <v>3</v>
      </c>
      <c r="S2474" s="77">
        <v>2.5</v>
      </c>
      <c r="T2474" s="77">
        <v>2</v>
      </c>
      <c r="U2474" s="77">
        <v>2</v>
      </c>
      <c r="V2474" s="77">
        <v>3</v>
      </c>
      <c r="W2474" s="103" t="s">
        <v>4970</v>
      </c>
      <c r="Y2474" s="45">
        <v>43824</v>
      </c>
    </row>
    <row r="2475" spans="1:28">
      <c r="A2475" s="285"/>
      <c r="C2475" s="25" t="s">
        <v>5645</v>
      </c>
      <c r="D2475" s="2">
        <v>26273</v>
      </c>
      <c r="E2475" s="2" t="s">
        <v>5628</v>
      </c>
      <c r="F2475" s="3">
        <v>29608310101581</v>
      </c>
      <c r="G2475" s="2" t="s">
        <v>34</v>
      </c>
      <c r="H2475" s="2" t="s">
        <v>5629</v>
      </c>
      <c r="I2475" s="2" t="s">
        <v>4315</v>
      </c>
      <c r="J2475" s="4">
        <v>43800</v>
      </c>
      <c r="K2475" s="2" t="s">
        <v>798</v>
      </c>
      <c r="L2475" s="2" t="s">
        <v>12</v>
      </c>
      <c r="M2475" s="2" t="s">
        <v>4257</v>
      </c>
      <c r="R2475" s="77">
        <v>3</v>
      </c>
      <c r="S2475" s="77">
        <v>2</v>
      </c>
      <c r="T2475" s="77">
        <v>2</v>
      </c>
      <c r="U2475" s="77">
        <v>1</v>
      </c>
      <c r="V2475" s="77">
        <v>3</v>
      </c>
      <c r="W2475" s="16" t="s">
        <v>3818</v>
      </c>
      <c r="Y2475" s="45">
        <v>43824</v>
      </c>
    </row>
    <row r="2476" spans="1:28">
      <c r="A2476" s="285"/>
      <c r="C2476" s="25" t="s">
        <v>5645</v>
      </c>
      <c r="D2476" s="2">
        <v>26274</v>
      </c>
      <c r="E2476" s="2" t="s">
        <v>5630</v>
      </c>
      <c r="F2476" s="3">
        <v>29104101700479</v>
      </c>
      <c r="G2476" s="2" t="s">
        <v>34</v>
      </c>
      <c r="H2476" s="2" t="s">
        <v>5631</v>
      </c>
      <c r="I2476" s="2" t="s">
        <v>4315</v>
      </c>
      <c r="J2476" s="4">
        <v>43800</v>
      </c>
      <c r="K2476" s="2" t="s">
        <v>798</v>
      </c>
      <c r="L2476" s="2" t="s">
        <v>12</v>
      </c>
      <c r="M2476" s="2" t="s">
        <v>4706</v>
      </c>
      <c r="R2476" s="77">
        <v>3</v>
      </c>
      <c r="S2476" s="77">
        <v>2.5</v>
      </c>
      <c r="T2476" s="77">
        <v>2</v>
      </c>
      <c r="U2476" s="77">
        <v>1.5</v>
      </c>
      <c r="V2476" s="77">
        <v>3</v>
      </c>
      <c r="W2476" s="16" t="s">
        <v>3321</v>
      </c>
      <c r="X2476" s="2" t="s">
        <v>66</v>
      </c>
      <c r="Y2476" s="27">
        <v>43850</v>
      </c>
      <c r="Z2476" s="16" t="s">
        <v>66</v>
      </c>
      <c r="AB2476" s="2" t="s">
        <v>5800</v>
      </c>
    </row>
    <row r="2477" spans="1:28">
      <c r="A2477" s="285"/>
      <c r="C2477" s="25" t="s">
        <v>5645</v>
      </c>
      <c r="D2477" s="2">
        <v>26275</v>
      </c>
      <c r="E2477" s="2" t="s">
        <v>5632</v>
      </c>
      <c r="F2477" s="3">
        <v>29308011613016</v>
      </c>
      <c r="G2477" s="2" t="s">
        <v>34</v>
      </c>
      <c r="H2477" s="2" t="s">
        <v>5633</v>
      </c>
      <c r="I2477" s="2" t="s">
        <v>4315</v>
      </c>
      <c r="J2477" s="4">
        <v>43800</v>
      </c>
      <c r="K2477" s="2" t="s">
        <v>798</v>
      </c>
      <c r="L2477" s="2" t="s">
        <v>12</v>
      </c>
      <c r="M2477" s="2" t="s">
        <v>109</v>
      </c>
      <c r="R2477" s="77">
        <v>3</v>
      </c>
      <c r="S2477" s="77">
        <v>2.5</v>
      </c>
      <c r="T2477" s="77">
        <v>2</v>
      </c>
      <c r="U2477" s="77">
        <v>1.5</v>
      </c>
      <c r="V2477" s="77">
        <v>3</v>
      </c>
      <c r="W2477" s="16" t="s">
        <v>3321</v>
      </c>
      <c r="Y2477" s="45">
        <v>43824</v>
      </c>
      <c r="Z2477" s="16" t="s">
        <v>66</v>
      </c>
      <c r="AA2477" s="7">
        <v>43830</v>
      </c>
      <c r="AB2477" s="2" t="s">
        <v>4411</v>
      </c>
    </row>
    <row r="2478" spans="1:28">
      <c r="A2478" s="285"/>
      <c r="C2478" s="25" t="s">
        <v>5645</v>
      </c>
      <c r="D2478" s="2">
        <v>26276</v>
      </c>
      <c r="E2478" s="2" t="s">
        <v>5634</v>
      </c>
      <c r="F2478" s="3">
        <v>29512140104345</v>
      </c>
      <c r="G2478" s="2" t="s">
        <v>34</v>
      </c>
      <c r="H2478" s="2" t="s">
        <v>5635</v>
      </c>
      <c r="I2478" s="2" t="s">
        <v>4315</v>
      </c>
      <c r="J2478" s="4">
        <v>43800</v>
      </c>
      <c r="K2478" s="2" t="s">
        <v>798</v>
      </c>
      <c r="L2478" s="2" t="s">
        <v>12</v>
      </c>
      <c r="M2478" s="2" t="s">
        <v>5636</v>
      </c>
      <c r="R2478" s="77">
        <v>3</v>
      </c>
      <c r="S2478" s="77">
        <v>2</v>
      </c>
      <c r="T2478" s="77">
        <v>2</v>
      </c>
      <c r="U2478" s="77">
        <v>2</v>
      </c>
      <c r="V2478" s="77">
        <v>3</v>
      </c>
      <c r="W2478" s="16" t="s">
        <v>3818</v>
      </c>
      <c r="Y2478" s="45">
        <v>43824</v>
      </c>
    </row>
    <row r="2479" spans="1:28">
      <c r="A2479" s="285"/>
      <c r="C2479" s="25" t="s">
        <v>5645</v>
      </c>
      <c r="D2479" s="2">
        <v>26277</v>
      </c>
      <c r="E2479" s="2" t="s">
        <v>5637</v>
      </c>
      <c r="F2479" s="3">
        <v>29107072302271</v>
      </c>
      <c r="G2479" s="2" t="s">
        <v>34</v>
      </c>
      <c r="H2479" s="2" t="s">
        <v>5638</v>
      </c>
      <c r="I2479" s="2" t="s">
        <v>4315</v>
      </c>
      <c r="J2479" s="4">
        <v>43800</v>
      </c>
      <c r="K2479" s="2" t="s">
        <v>798</v>
      </c>
      <c r="L2479" s="2" t="s">
        <v>12</v>
      </c>
      <c r="M2479" s="2" t="s">
        <v>4257</v>
      </c>
      <c r="R2479" s="77">
        <v>3</v>
      </c>
      <c r="S2479" s="77">
        <v>2.5</v>
      </c>
      <c r="T2479" s="77">
        <v>2</v>
      </c>
      <c r="U2479" s="77">
        <v>1.5</v>
      </c>
      <c r="V2479" s="77">
        <v>3</v>
      </c>
      <c r="W2479" s="16" t="s">
        <v>3818</v>
      </c>
      <c r="Y2479" s="45">
        <v>43824</v>
      </c>
    </row>
    <row r="2480" spans="1:28">
      <c r="A2480" s="285"/>
      <c r="C2480" s="25" t="s">
        <v>5645</v>
      </c>
      <c r="D2480" s="2">
        <v>26278</v>
      </c>
      <c r="E2480" s="2" t="s">
        <v>5639</v>
      </c>
      <c r="F2480" s="3">
        <v>29101140100391</v>
      </c>
      <c r="G2480" s="2" t="s">
        <v>34</v>
      </c>
      <c r="H2480" s="2" t="s">
        <v>5640</v>
      </c>
      <c r="I2480" s="2" t="s">
        <v>4315</v>
      </c>
      <c r="J2480" s="4">
        <v>43800</v>
      </c>
      <c r="K2480" s="2" t="s">
        <v>798</v>
      </c>
      <c r="L2480" s="2" t="s">
        <v>12</v>
      </c>
      <c r="M2480" s="2" t="s">
        <v>5387</v>
      </c>
      <c r="W2480" s="16" t="s">
        <v>63</v>
      </c>
      <c r="Z2480" s="16" t="s">
        <v>67</v>
      </c>
    </row>
    <row r="2481" spans="1:28">
      <c r="A2481" s="285"/>
      <c r="C2481" s="25" t="s">
        <v>5645</v>
      </c>
      <c r="D2481" s="2">
        <v>26279</v>
      </c>
      <c r="E2481" s="2" t="s">
        <v>5641</v>
      </c>
      <c r="F2481" s="3">
        <v>29709261500076</v>
      </c>
      <c r="G2481" s="2" t="s">
        <v>34</v>
      </c>
      <c r="H2481" s="2" t="s">
        <v>5642</v>
      </c>
      <c r="I2481" s="2" t="s">
        <v>4315</v>
      </c>
      <c r="J2481" s="4">
        <v>43800</v>
      </c>
      <c r="K2481" s="2" t="s">
        <v>798</v>
      </c>
      <c r="L2481" s="2" t="s">
        <v>12</v>
      </c>
      <c r="M2481" s="2" t="s">
        <v>4257</v>
      </c>
      <c r="R2481" s="77">
        <v>3</v>
      </c>
      <c r="S2481" s="77">
        <v>2.5</v>
      </c>
      <c r="T2481" s="77">
        <v>2.5</v>
      </c>
      <c r="U2481" s="77">
        <v>2</v>
      </c>
      <c r="V2481" s="77">
        <v>3</v>
      </c>
      <c r="W2481" s="16" t="s">
        <v>3244</v>
      </c>
      <c r="Y2481" s="7">
        <v>43824</v>
      </c>
    </row>
    <row r="2482" spans="1:28" ht="15.75" thickBot="1">
      <c r="A2482" s="286"/>
      <c r="C2482" s="28" t="s">
        <v>5645</v>
      </c>
      <c r="D2482" s="28">
        <v>26280</v>
      </c>
      <c r="E2482" s="28" t="s">
        <v>5643</v>
      </c>
      <c r="F2482" s="29">
        <v>28808090400242</v>
      </c>
      <c r="G2482" s="28" t="s">
        <v>34</v>
      </c>
      <c r="H2482" s="28" t="s">
        <v>5644</v>
      </c>
      <c r="I2482" s="28" t="s">
        <v>4315</v>
      </c>
      <c r="J2482" s="30">
        <v>43800</v>
      </c>
      <c r="K2482" s="28" t="s">
        <v>798</v>
      </c>
      <c r="L2482" s="28" t="s">
        <v>12</v>
      </c>
      <c r="M2482" s="28" t="s">
        <v>5387</v>
      </c>
      <c r="N2482" s="28"/>
      <c r="O2482" s="226"/>
      <c r="P2482" s="28"/>
      <c r="Q2482" s="226"/>
      <c r="R2482" s="28"/>
      <c r="S2482" s="28"/>
      <c r="T2482" s="28"/>
      <c r="U2482" s="28"/>
      <c r="V2482" s="28"/>
      <c r="W2482" s="28" t="s">
        <v>63</v>
      </c>
      <c r="X2482" s="28"/>
      <c r="Y2482" s="30"/>
      <c r="Z2482" s="28" t="s">
        <v>67</v>
      </c>
      <c r="AA2482" s="30"/>
      <c r="AB2482" s="28"/>
    </row>
    <row r="2483" spans="1:28" ht="15.75" thickTop="1">
      <c r="A2483" s="284" t="s">
        <v>3129</v>
      </c>
      <c r="C2483" s="25">
        <v>154</v>
      </c>
      <c r="D2483" s="25">
        <v>26263</v>
      </c>
      <c r="E2483" s="25" t="s">
        <v>5650</v>
      </c>
      <c r="F2483" s="26" t="s">
        <v>5651</v>
      </c>
      <c r="G2483" s="25" t="s">
        <v>4652</v>
      </c>
      <c r="H2483" s="34" t="s">
        <v>5655</v>
      </c>
      <c r="I2483" s="25" t="s">
        <v>4315</v>
      </c>
      <c r="J2483" s="27">
        <v>43801</v>
      </c>
      <c r="K2483" s="25" t="s">
        <v>8</v>
      </c>
      <c r="L2483" s="25" t="s">
        <v>12</v>
      </c>
      <c r="M2483" s="25" t="s">
        <v>109</v>
      </c>
      <c r="N2483" s="25"/>
      <c r="O2483" s="224"/>
      <c r="P2483" s="25"/>
      <c r="Q2483" s="224"/>
      <c r="R2483" s="77">
        <v>3</v>
      </c>
      <c r="S2483" s="77">
        <v>3</v>
      </c>
      <c r="T2483" s="77">
        <v>2</v>
      </c>
      <c r="U2483" s="77">
        <v>2</v>
      </c>
      <c r="V2483" s="77">
        <v>3</v>
      </c>
      <c r="W2483" s="25" t="s">
        <v>3321</v>
      </c>
      <c r="X2483" s="25" t="s">
        <v>66</v>
      </c>
      <c r="Y2483" s="27">
        <v>43850</v>
      </c>
      <c r="Z2483" s="25" t="s">
        <v>67</v>
      </c>
      <c r="AA2483" s="27"/>
      <c r="AB2483" s="25" t="s">
        <v>5806</v>
      </c>
    </row>
    <row r="2484" spans="1:28">
      <c r="A2484" s="285"/>
      <c r="C2484" s="25">
        <v>154</v>
      </c>
      <c r="D2484" s="2">
        <v>26264</v>
      </c>
      <c r="E2484" s="2" t="s">
        <v>5652</v>
      </c>
      <c r="F2484" s="3">
        <v>29903022102213</v>
      </c>
      <c r="G2484" s="2" t="s">
        <v>4025</v>
      </c>
      <c r="H2484" s="8" t="s">
        <v>5656</v>
      </c>
      <c r="I2484" s="2" t="s">
        <v>4315</v>
      </c>
      <c r="J2484" s="4">
        <v>43801</v>
      </c>
      <c r="K2484" s="2" t="s">
        <v>8</v>
      </c>
      <c r="L2484" s="2" t="s">
        <v>12</v>
      </c>
      <c r="M2484" s="2" t="s">
        <v>4170</v>
      </c>
      <c r="R2484" s="77">
        <v>3</v>
      </c>
      <c r="S2484" s="77">
        <v>2.5</v>
      </c>
      <c r="T2484" s="77">
        <v>2.5</v>
      </c>
      <c r="U2484" s="77">
        <v>3</v>
      </c>
      <c r="V2484" s="77">
        <v>3</v>
      </c>
      <c r="W2484" s="16" t="s">
        <v>171</v>
      </c>
      <c r="Y2484" s="7">
        <v>43828</v>
      </c>
      <c r="Z2484" s="16" t="s">
        <v>66</v>
      </c>
      <c r="AA2484" s="45">
        <v>43858</v>
      </c>
    </row>
    <row r="2485" spans="1:28">
      <c r="A2485" s="285"/>
      <c r="C2485" s="25">
        <v>154</v>
      </c>
      <c r="D2485" s="2">
        <v>26265</v>
      </c>
      <c r="E2485" s="2" t="s">
        <v>5653</v>
      </c>
      <c r="F2485" s="3">
        <v>29301011107311</v>
      </c>
      <c r="G2485" s="2" t="s">
        <v>34</v>
      </c>
      <c r="H2485" s="8" t="s">
        <v>5657</v>
      </c>
      <c r="I2485" s="2" t="s">
        <v>4315</v>
      </c>
      <c r="J2485" s="4">
        <v>43801</v>
      </c>
      <c r="K2485" s="2" t="s">
        <v>8</v>
      </c>
      <c r="L2485" s="2" t="s">
        <v>12</v>
      </c>
      <c r="M2485" s="2" t="s">
        <v>5387</v>
      </c>
      <c r="R2485" s="77">
        <v>3</v>
      </c>
      <c r="S2485" s="77">
        <v>3</v>
      </c>
      <c r="T2485" s="77">
        <v>2</v>
      </c>
      <c r="U2485" s="77">
        <v>2.5</v>
      </c>
      <c r="V2485" s="77">
        <v>3</v>
      </c>
      <c r="W2485" s="16" t="s">
        <v>61</v>
      </c>
      <c r="X2485" s="2" t="s">
        <v>66</v>
      </c>
      <c r="Y2485" s="27">
        <v>43850</v>
      </c>
      <c r="Z2485" s="16" t="s">
        <v>66</v>
      </c>
      <c r="AA2485" s="45">
        <v>43858</v>
      </c>
    </row>
    <row r="2486" spans="1:28">
      <c r="A2486" s="285"/>
      <c r="C2486" s="25">
        <v>154</v>
      </c>
      <c r="D2486" s="2">
        <v>26266</v>
      </c>
      <c r="E2486" s="2" t="s">
        <v>5654</v>
      </c>
      <c r="F2486" s="3">
        <v>29508100101184</v>
      </c>
      <c r="G2486" s="2" t="s">
        <v>34</v>
      </c>
      <c r="H2486" s="8" t="s">
        <v>5658</v>
      </c>
      <c r="I2486" s="2" t="s">
        <v>4315</v>
      </c>
      <c r="J2486" s="4">
        <v>43801</v>
      </c>
      <c r="K2486" s="2" t="s">
        <v>8</v>
      </c>
      <c r="L2486" s="2" t="s">
        <v>12</v>
      </c>
      <c r="M2486" s="2" t="s">
        <v>149</v>
      </c>
      <c r="R2486" s="77">
        <v>3</v>
      </c>
      <c r="S2486" s="77">
        <v>3</v>
      </c>
      <c r="T2486" s="77">
        <v>2.5</v>
      </c>
      <c r="U2486" s="77">
        <v>2.5</v>
      </c>
      <c r="V2486" s="77">
        <v>3</v>
      </c>
      <c r="W2486" s="16" t="s">
        <v>502</v>
      </c>
      <c r="Y2486" s="45">
        <v>43828</v>
      </c>
      <c r="Z2486" s="16" t="s">
        <v>66</v>
      </c>
      <c r="AA2486" s="7">
        <v>43898</v>
      </c>
    </row>
    <row r="2487" spans="1:28">
      <c r="A2487" s="285"/>
      <c r="C2487" s="25">
        <v>154</v>
      </c>
      <c r="D2487" s="2">
        <v>25787</v>
      </c>
      <c r="E2487" s="2" t="s">
        <v>5494</v>
      </c>
      <c r="F2487" s="3">
        <v>29712100102861</v>
      </c>
      <c r="G2487" s="2" t="s">
        <v>34</v>
      </c>
      <c r="H2487" s="2" t="s">
        <v>5495</v>
      </c>
      <c r="R2487" s="77">
        <v>3</v>
      </c>
      <c r="S2487" s="77">
        <v>2.5</v>
      </c>
      <c r="T2487" s="77">
        <v>2</v>
      </c>
      <c r="U2487" s="77">
        <v>2.5</v>
      </c>
      <c r="V2487" s="77">
        <v>3</v>
      </c>
      <c r="W2487" s="16" t="s">
        <v>61</v>
      </c>
      <c r="Y2487" s="45">
        <v>43828</v>
      </c>
      <c r="Z2487" s="16" t="s">
        <v>66</v>
      </c>
      <c r="AA2487" s="7">
        <v>43858</v>
      </c>
    </row>
    <row r="2488" spans="1:28">
      <c r="A2488" s="285"/>
      <c r="C2488" s="25">
        <v>154</v>
      </c>
      <c r="D2488" s="2">
        <v>25789</v>
      </c>
      <c r="E2488" s="2" t="s">
        <v>5498</v>
      </c>
      <c r="F2488" s="3">
        <v>29607010110182</v>
      </c>
      <c r="G2488" s="2" t="s">
        <v>34</v>
      </c>
      <c r="H2488" s="2" t="s">
        <v>5499</v>
      </c>
      <c r="R2488" s="77">
        <v>3</v>
      </c>
      <c r="S2488" s="77">
        <v>2.5</v>
      </c>
      <c r="T2488" s="77">
        <v>2.5</v>
      </c>
      <c r="U2488" s="77">
        <v>2</v>
      </c>
      <c r="V2488" s="77">
        <v>3</v>
      </c>
      <c r="X2488" s="2" t="s">
        <v>66</v>
      </c>
      <c r="Y2488" s="7">
        <v>43850</v>
      </c>
      <c r="AB2488" s="2" t="s">
        <v>5742</v>
      </c>
    </row>
    <row r="2489" spans="1:28">
      <c r="A2489" s="285"/>
      <c r="C2489" s="25">
        <v>154</v>
      </c>
      <c r="D2489" s="2">
        <v>25792</v>
      </c>
      <c r="E2489" s="2" t="s">
        <v>5504</v>
      </c>
      <c r="F2489" s="3">
        <v>29601012111528</v>
      </c>
      <c r="G2489" s="2" t="s">
        <v>34</v>
      </c>
      <c r="H2489" s="2" t="s">
        <v>5505</v>
      </c>
      <c r="R2489" s="77">
        <v>3</v>
      </c>
      <c r="S2489" s="77">
        <v>2.5</v>
      </c>
      <c r="T2489" s="77">
        <v>2</v>
      </c>
      <c r="U2489" s="77">
        <v>2.5</v>
      </c>
      <c r="V2489" s="77">
        <v>3</v>
      </c>
      <c r="W2489" s="16" t="s">
        <v>171</v>
      </c>
      <c r="Y2489" s="7">
        <v>43828</v>
      </c>
      <c r="Z2489" s="16" t="s">
        <v>66</v>
      </c>
      <c r="AA2489" s="7">
        <v>43865</v>
      </c>
      <c r="AB2489" s="2" t="s">
        <v>5886</v>
      </c>
    </row>
    <row r="2490" spans="1:28">
      <c r="A2490" s="285"/>
      <c r="C2490" s="25">
        <v>154</v>
      </c>
      <c r="D2490" s="2">
        <v>25793</v>
      </c>
      <c r="E2490" s="2" t="s">
        <v>5506</v>
      </c>
      <c r="F2490" s="3">
        <v>29405058800758</v>
      </c>
      <c r="G2490" s="2" t="s">
        <v>34</v>
      </c>
      <c r="H2490" s="2" t="s">
        <v>5507</v>
      </c>
      <c r="R2490" s="77">
        <v>3</v>
      </c>
      <c r="S2490" s="77">
        <v>3</v>
      </c>
      <c r="T2490" s="77">
        <v>2.5</v>
      </c>
      <c r="U2490" s="77">
        <v>2</v>
      </c>
      <c r="V2490" s="77">
        <v>3</v>
      </c>
      <c r="W2490" s="16" t="s">
        <v>60</v>
      </c>
      <c r="Y2490" s="7">
        <v>43828</v>
      </c>
      <c r="Z2490" s="16" t="s">
        <v>66</v>
      </c>
      <c r="AA2490" s="7">
        <v>43837</v>
      </c>
    </row>
    <row r="2491" spans="1:28" ht="15.75" thickBot="1">
      <c r="A2491" s="286"/>
      <c r="C2491" s="28">
        <v>154</v>
      </c>
      <c r="D2491" s="28">
        <v>25795</v>
      </c>
      <c r="E2491" s="28" t="s">
        <v>5510</v>
      </c>
      <c r="F2491" s="29">
        <v>29509180103715</v>
      </c>
      <c r="G2491" s="28" t="s">
        <v>34</v>
      </c>
      <c r="H2491" s="28" t="s">
        <v>5511</v>
      </c>
      <c r="I2491" s="28"/>
      <c r="J2491" s="30"/>
      <c r="K2491" s="28"/>
      <c r="L2491" s="28"/>
      <c r="M2491" s="28"/>
      <c r="N2491" s="28"/>
      <c r="O2491" s="226"/>
      <c r="P2491" s="28"/>
      <c r="Q2491" s="226"/>
      <c r="R2491" s="37">
        <v>3</v>
      </c>
      <c r="S2491" s="37">
        <v>2.5</v>
      </c>
      <c r="T2491" s="37">
        <v>2</v>
      </c>
      <c r="U2491" s="37">
        <v>2.5</v>
      </c>
      <c r="V2491" s="37">
        <v>3</v>
      </c>
      <c r="W2491" s="28" t="s">
        <v>171</v>
      </c>
      <c r="X2491" s="28"/>
      <c r="Y2491" s="30">
        <v>43828</v>
      </c>
      <c r="Z2491" s="28" t="s">
        <v>66</v>
      </c>
      <c r="AA2491" s="30">
        <v>43858</v>
      </c>
      <c r="AB2491" s="28"/>
    </row>
    <row r="2492" spans="1:28" ht="15.75" customHeight="1" thickTop="1" thickBot="1">
      <c r="A2492" s="135" t="s">
        <v>3120</v>
      </c>
      <c r="C2492" s="111" t="s">
        <v>5663</v>
      </c>
      <c r="D2492" s="111">
        <v>8914</v>
      </c>
      <c r="E2492" s="111" t="s">
        <v>5662</v>
      </c>
      <c r="F2492" s="112">
        <v>29101092100685</v>
      </c>
      <c r="G2492" s="111" t="s">
        <v>34</v>
      </c>
      <c r="H2492" s="121" t="s">
        <v>5664</v>
      </c>
      <c r="I2492" s="111" t="s">
        <v>4305</v>
      </c>
      <c r="J2492" s="113">
        <v>43822</v>
      </c>
      <c r="K2492" s="111" t="s">
        <v>8</v>
      </c>
      <c r="L2492" s="111" t="s">
        <v>12</v>
      </c>
      <c r="M2492" s="111" t="s">
        <v>5387</v>
      </c>
      <c r="N2492" s="111"/>
      <c r="O2492" s="231"/>
      <c r="P2492" s="111"/>
      <c r="Q2492" s="231"/>
      <c r="R2492" s="114">
        <v>3</v>
      </c>
      <c r="S2492" s="114">
        <v>2.5</v>
      </c>
      <c r="T2492" s="114">
        <v>2.5</v>
      </c>
      <c r="U2492" s="114">
        <v>2.5</v>
      </c>
      <c r="V2492" s="114">
        <v>3</v>
      </c>
      <c r="W2492" s="111" t="s">
        <v>170</v>
      </c>
      <c r="X2492" s="111"/>
      <c r="Y2492" s="113">
        <v>43823</v>
      </c>
      <c r="Z2492" s="111" t="s">
        <v>66</v>
      </c>
      <c r="AA2492" s="113">
        <v>43837</v>
      </c>
      <c r="AB2492" s="111"/>
    </row>
    <row r="2493" spans="1:28" ht="15.75" customHeight="1" thickTop="1">
      <c r="A2493" s="284" t="s">
        <v>4077</v>
      </c>
      <c r="C2493" s="25" t="s">
        <v>5692</v>
      </c>
      <c r="D2493" s="25">
        <v>26574</v>
      </c>
      <c r="E2493" s="25" t="s">
        <v>5666</v>
      </c>
      <c r="F2493" s="26">
        <v>29401252403411</v>
      </c>
      <c r="G2493" s="25" t="s">
        <v>4131</v>
      </c>
      <c r="H2493" s="25" t="s">
        <v>5679</v>
      </c>
      <c r="I2493" s="25" t="s">
        <v>4315</v>
      </c>
      <c r="J2493" s="27">
        <v>43810</v>
      </c>
      <c r="K2493" s="25" t="s">
        <v>798</v>
      </c>
      <c r="L2493" s="25" t="s">
        <v>12</v>
      </c>
      <c r="M2493" s="25" t="s">
        <v>149</v>
      </c>
      <c r="N2493" s="25"/>
      <c r="O2493" s="224"/>
      <c r="P2493" s="25"/>
      <c r="Q2493" s="224"/>
      <c r="R2493" s="77">
        <v>3</v>
      </c>
      <c r="S2493" s="77">
        <v>2.5</v>
      </c>
      <c r="T2493" s="77">
        <v>2</v>
      </c>
      <c r="U2493" s="77">
        <v>2</v>
      </c>
      <c r="V2493" s="77">
        <v>3</v>
      </c>
      <c r="W2493" s="25" t="s">
        <v>4970</v>
      </c>
      <c r="X2493" s="25"/>
      <c r="Y2493" s="27">
        <v>43836</v>
      </c>
      <c r="Z2493" s="25"/>
      <c r="AA2493" s="27"/>
      <c r="AB2493" s="25"/>
    </row>
    <row r="2494" spans="1:28">
      <c r="A2494" s="285"/>
      <c r="C2494" s="2" t="s">
        <v>5692</v>
      </c>
      <c r="D2494" s="2">
        <v>26575</v>
      </c>
      <c r="E2494" s="2" t="s">
        <v>5667</v>
      </c>
      <c r="F2494" s="3">
        <v>29407310100074</v>
      </c>
      <c r="G2494" s="2" t="s">
        <v>34</v>
      </c>
      <c r="H2494" s="2" t="s">
        <v>5680</v>
      </c>
      <c r="I2494" s="2" t="s">
        <v>4315</v>
      </c>
      <c r="J2494" s="4">
        <v>43810</v>
      </c>
      <c r="K2494" s="2" t="s">
        <v>798</v>
      </c>
      <c r="L2494" s="2" t="s">
        <v>12</v>
      </c>
      <c r="M2494" s="2" t="s">
        <v>769</v>
      </c>
      <c r="R2494" s="77">
        <v>3</v>
      </c>
      <c r="S2494" s="77">
        <v>1.5</v>
      </c>
      <c r="T2494" s="77">
        <v>2</v>
      </c>
      <c r="U2494" s="77">
        <v>1.5</v>
      </c>
      <c r="V2494" s="77">
        <v>3</v>
      </c>
      <c r="W2494" s="16" t="s">
        <v>3818</v>
      </c>
      <c r="Y2494" s="27">
        <v>43836</v>
      </c>
    </row>
    <row r="2495" spans="1:28">
      <c r="A2495" s="285"/>
      <c r="C2495" s="2" t="s">
        <v>5692</v>
      </c>
      <c r="D2495" s="2">
        <v>26576</v>
      </c>
      <c r="E2495" s="2" t="s">
        <v>5668</v>
      </c>
      <c r="F2495" s="3">
        <v>29208072101684</v>
      </c>
      <c r="G2495" s="2" t="s">
        <v>34</v>
      </c>
      <c r="H2495" s="2" t="s">
        <v>5681</v>
      </c>
      <c r="I2495" s="2" t="s">
        <v>4315</v>
      </c>
      <c r="J2495" s="4">
        <v>43810</v>
      </c>
      <c r="K2495" s="2" t="s">
        <v>798</v>
      </c>
      <c r="L2495" s="2" t="s">
        <v>12</v>
      </c>
      <c r="M2495" s="2" t="s">
        <v>149</v>
      </c>
      <c r="R2495" s="77">
        <v>3</v>
      </c>
      <c r="S2495" s="77">
        <v>2.5</v>
      </c>
      <c r="T2495" s="77">
        <v>2.5</v>
      </c>
      <c r="U2495" s="77">
        <v>2</v>
      </c>
      <c r="V2495" s="77">
        <v>3</v>
      </c>
      <c r="W2495" s="16" t="s">
        <v>4970</v>
      </c>
      <c r="Y2495" s="27">
        <v>43836</v>
      </c>
    </row>
    <row r="2496" spans="1:28">
      <c r="A2496" s="285"/>
      <c r="C2496" s="2" t="s">
        <v>5692</v>
      </c>
      <c r="D2496" s="2">
        <v>26577</v>
      </c>
      <c r="E2496" s="2" t="s">
        <v>5669</v>
      </c>
      <c r="F2496" s="3">
        <v>28501240103359</v>
      </c>
      <c r="G2496" s="2" t="s">
        <v>34</v>
      </c>
      <c r="H2496" s="2" t="s">
        <v>5682</v>
      </c>
      <c r="I2496" s="2" t="s">
        <v>4315</v>
      </c>
      <c r="J2496" s="4">
        <v>43810</v>
      </c>
      <c r="K2496" s="2" t="s">
        <v>798</v>
      </c>
      <c r="L2496" s="2" t="s">
        <v>12</v>
      </c>
      <c r="M2496" s="2" t="s">
        <v>4706</v>
      </c>
      <c r="R2496" s="77">
        <v>3</v>
      </c>
      <c r="S2496" s="77">
        <v>2.5</v>
      </c>
      <c r="T2496" s="77">
        <v>2</v>
      </c>
      <c r="U2496" s="77">
        <v>2</v>
      </c>
      <c r="V2496" s="77">
        <v>3</v>
      </c>
      <c r="W2496" s="16" t="s">
        <v>3321</v>
      </c>
      <c r="Y2496" s="27">
        <v>43836</v>
      </c>
      <c r="Z2496" s="16" t="s">
        <v>66</v>
      </c>
      <c r="AA2496" s="7">
        <v>43864</v>
      </c>
      <c r="AB2496" s="2" t="s">
        <v>4411</v>
      </c>
    </row>
    <row r="2497" spans="1:28">
      <c r="A2497" s="285"/>
      <c r="C2497" s="2" t="s">
        <v>5692</v>
      </c>
      <c r="D2497" s="2">
        <v>26578</v>
      </c>
      <c r="E2497" s="2" t="s">
        <v>5670</v>
      </c>
      <c r="F2497" s="3">
        <v>29401120103788</v>
      </c>
      <c r="G2497" s="2" t="s">
        <v>34</v>
      </c>
      <c r="H2497" s="2" t="s">
        <v>5683</v>
      </c>
      <c r="I2497" s="2" t="s">
        <v>4315</v>
      </c>
      <c r="J2497" s="4">
        <v>43810</v>
      </c>
      <c r="K2497" s="2" t="s">
        <v>798</v>
      </c>
      <c r="L2497" s="2" t="s">
        <v>12</v>
      </c>
      <c r="M2497" s="2" t="s">
        <v>109</v>
      </c>
      <c r="R2497" s="77">
        <v>3</v>
      </c>
      <c r="S2497" s="77">
        <v>2.5</v>
      </c>
      <c r="T2497" s="77">
        <v>2</v>
      </c>
      <c r="U2497" s="77">
        <v>1.5</v>
      </c>
      <c r="V2497" s="77">
        <v>3</v>
      </c>
      <c r="W2497" s="16" t="s">
        <v>3321</v>
      </c>
      <c r="Y2497" s="27">
        <v>43836</v>
      </c>
      <c r="AB2497" s="2" t="s">
        <v>5801</v>
      </c>
    </row>
    <row r="2498" spans="1:28">
      <c r="A2498" s="285"/>
      <c r="C2498" s="2" t="s">
        <v>5692</v>
      </c>
      <c r="D2498" s="2">
        <v>26579</v>
      </c>
      <c r="E2498" s="2" t="s">
        <v>5671</v>
      </c>
      <c r="F2498" s="3">
        <v>29709290103221</v>
      </c>
      <c r="G2498" s="2" t="s">
        <v>34</v>
      </c>
      <c r="H2498" s="2" t="s">
        <v>5684</v>
      </c>
      <c r="I2498" s="2" t="s">
        <v>4315</v>
      </c>
      <c r="J2498" s="4">
        <v>43810</v>
      </c>
      <c r="K2498" s="2" t="s">
        <v>798</v>
      </c>
      <c r="L2498" s="2" t="s">
        <v>12</v>
      </c>
      <c r="M2498" s="2" t="s">
        <v>5205</v>
      </c>
      <c r="R2498" s="77">
        <v>3</v>
      </c>
      <c r="S2498" s="77">
        <v>2.5</v>
      </c>
      <c r="T2498" s="77">
        <v>2</v>
      </c>
      <c r="U2498" s="77">
        <v>2</v>
      </c>
      <c r="V2498" s="77">
        <v>3</v>
      </c>
      <c r="W2498" s="16" t="s">
        <v>4970</v>
      </c>
      <c r="Y2498" s="27">
        <v>43836</v>
      </c>
    </row>
    <row r="2499" spans="1:28">
      <c r="A2499" s="285"/>
      <c r="C2499" s="2" t="s">
        <v>5692</v>
      </c>
      <c r="D2499" s="2">
        <v>26580</v>
      </c>
      <c r="E2499" s="2" t="s">
        <v>5672</v>
      </c>
      <c r="F2499" s="3">
        <v>29701210101826</v>
      </c>
      <c r="G2499" s="2" t="s">
        <v>34</v>
      </c>
      <c r="H2499" s="2" t="s">
        <v>5685</v>
      </c>
      <c r="I2499" s="2" t="s">
        <v>4315</v>
      </c>
      <c r="J2499" s="4">
        <v>43810</v>
      </c>
      <c r="K2499" s="2" t="s">
        <v>798</v>
      </c>
      <c r="L2499" s="2" t="s">
        <v>12</v>
      </c>
      <c r="M2499" s="2" t="s">
        <v>5152</v>
      </c>
      <c r="R2499" s="77">
        <v>3</v>
      </c>
      <c r="S2499" s="77">
        <v>2.5</v>
      </c>
      <c r="T2499" s="77">
        <v>2</v>
      </c>
      <c r="U2499" s="77">
        <v>2</v>
      </c>
      <c r="V2499" s="77">
        <v>3</v>
      </c>
      <c r="W2499" s="16" t="s">
        <v>62</v>
      </c>
      <c r="Y2499" s="27">
        <v>43836</v>
      </c>
      <c r="Z2499" s="16" t="s">
        <v>66</v>
      </c>
      <c r="AA2499" s="45">
        <v>43864</v>
      </c>
      <c r="AB2499" s="2" t="s">
        <v>5882</v>
      </c>
    </row>
    <row r="2500" spans="1:28">
      <c r="A2500" s="285"/>
      <c r="C2500" s="2" t="s">
        <v>5692</v>
      </c>
      <c r="D2500" s="2">
        <v>26581</v>
      </c>
      <c r="E2500" s="2" t="s">
        <v>5673</v>
      </c>
      <c r="F2500" s="3">
        <v>29504010111452</v>
      </c>
      <c r="G2500" s="2" t="s">
        <v>34</v>
      </c>
      <c r="H2500" s="2" t="s">
        <v>5686</v>
      </c>
      <c r="I2500" s="2" t="s">
        <v>4315</v>
      </c>
      <c r="J2500" s="4">
        <v>43810</v>
      </c>
      <c r="K2500" s="2" t="s">
        <v>798</v>
      </c>
      <c r="L2500" s="2" t="s">
        <v>12</v>
      </c>
      <c r="M2500" s="2" t="s">
        <v>4706</v>
      </c>
      <c r="R2500" s="77">
        <v>3</v>
      </c>
      <c r="S2500" s="77">
        <v>2.5</v>
      </c>
      <c r="T2500" s="77">
        <v>2</v>
      </c>
      <c r="U2500" s="77">
        <v>1.5</v>
      </c>
      <c r="V2500" s="77">
        <v>3</v>
      </c>
      <c r="W2500" s="16" t="s">
        <v>3321</v>
      </c>
      <c r="Y2500" s="27">
        <v>43836</v>
      </c>
      <c r="AB2500" s="2" t="s">
        <v>5802</v>
      </c>
    </row>
    <row r="2501" spans="1:28">
      <c r="A2501" s="285"/>
      <c r="C2501" s="2" t="s">
        <v>5692</v>
      </c>
      <c r="D2501" s="2">
        <v>26582</v>
      </c>
      <c r="E2501" s="2" t="s">
        <v>5674</v>
      </c>
      <c r="F2501" s="3">
        <v>28807250101089</v>
      </c>
      <c r="G2501" s="2" t="s">
        <v>34</v>
      </c>
      <c r="H2501" s="2" t="s">
        <v>5687</v>
      </c>
      <c r="I2501" s="2" t="s">
        <v>4315</v>
      </c>
      <c r="J2501" s="4">
        <v>43810</v>
      </c>
      <c r="K2501" s="2" t="s">
        <v>798</v>
      </c>
      <c r="L2501" s="2" t="s">
        <v>12</v>
      </c>
      <c r="M2501" s="2" t="s">
        <v>551</v>
      </c>
      <c r="R2501" s="77">
        <v>3</v>
      </c>
      <c r="S2501" s="77">
        <v>2.5</v>
      </c>
      <c r="T2501" s="77">
        <v>2</v>
      </c>
      <c r="U2501" s="77">
        <v>1</v>
      </c>
      <c r="V2501" s="77">
        <v>3</v>
      </c>
      <c r="W2501" s="16" t="s">
        <v>3818</v>
      </c>
      <c r="Y2501" s="27">
        <v>43836</v>
      </c>
    </row>
    <row r="2502" spans="1:28">
      <c r="A2502" s="285"/>
      <c r="C2502" s="2" t="s">
        <v>5692</v>
      </c>
      <c r="D2502" s="2">
        <v>26583</v>
      </c>
      <c r="E2502" s="2" t="s">
        <v>5675</v>
      </c>
      <c r="F2502" s="3">
        <v>28412110102901</v>
      </c>
      <c r="G2502" s="2" t="s">
        <v>34</v>
      </c>
      <c r="H2502" s="2" t="s">
        <v>5688</v>
      </c>
      <c r="I2502" s="2" t="s">
        <v>4315</v>
      </c>
      <c r="J2502" s="4">
        <v>43810</v>
      </c>
      <c r="K2502" s="2" t="s">
        <v>798</v>
      </c>
      <c r="L2502" s="2" t="s">
        <v>12</v>
      </c>
      <c r="M2502" s="2" t="s">
        <v>4257</v>
      </c>
      <c r="W2502" s="16" t="s">
        <v>64</v>
      </c>
      <c r="Z2502" s="16" t="s">
        <v>67</v>
      </c>
    </row>
    <row r="2503" spans="1:28">
      <c r="A2503" s="285"/>
      <c r="C2503" s="2" t="s">
        <v>5692</v>
      </c>
      <c r="D2503" s="2">
        <v>26584</v>
      </c>
      <c r="E2503" s="2" t="s">
        <v>5676</v>
      </c>
      <c r="F2503" s="3">
        <v>29510240202082</v>
      </c>
      <c r="G2503" s="2" t="s">
        <v>34</v>
      </c>
      <c r="H2503" s="2" t="s">
        <v>5689</v>
      </c>
      <c r="I2503" s="2" t="s">
        <v>4315</v>
      </c>
      <c r="J2503" s="4">
        <v>43810</v>
      </c>
      <c r="K2503" s="2" t="s">
        <v>798</v>
      </c>
      <c r="L2503" s="2" t="s">
        <v>12</v>
      </c>
      <c r="M2503" s="2" t="s">
        <v>4706</v>
      </c>
      <c r="R2503" s="77">
        <v>3</v>
      </c>
      <c r="S2503" s="77">
        <v>2.5</v>
      </c>
      <c r="T2503" s="77">
        <v>2</v>
      </c>
      <c r="U2503" s="77">
        <v>2</v>
      </c>
      <c r="V2503" s="77">
        <v>3</v>
      </c>
      <c r="W2503" s="16" t="s">
        <v>4970</v>
      </c>
      <c r="Y2503" s="7">
        <v>43836</v>
      </c>
    </row>
    <row r="2504" spans="1:28">
      <c r="A2504" s="285"/>
      <c r="C2504" s="2" t="s">
        <v>5692</v>
      </c>
      <c r="D2504" s="2">
        <v>26585</v>
      </c>
      <c r="E2504" s="2" t="s">
        <v>5677</v>
      </c>
      <c r="F2504" s="3">
        <v>29505010401112</v>
      </c>
      <c r="G2504" s="2" t="s">
        <v>34</v>
      </c>
      <c r="H2504" s="2" t="s">
        <v>5690</v>
      </c>
      <c r="I2504" s="2" t="s">
        <v>4315</v>
      </c>
      <c r="J2504" s="4">
        <v>43810</v>
      </c>
      <c r="K2504" s="2" t="s">
        <v>798</v>
      </c>
      <c r="L2504" s="2" t="s">
        <v>12</v>
      </c>
      <c r="M2504" s="2" t="s">
        <v>109</v>
      </c>
      <c r="R2504" s="77">
        <v>3</v>
      </c>
      <c r="S2504" s="77">
        <v>2.5</v>
      </c>
      <c r="T2504" s="77">
        <v>2</v>
      </c>
      <c r="U2504" s="77">
        <v>2</v>
      </c>
      <c r="V2504" s="77">
        <v>3</v>
      </c>
      <c r="W2504" s="16" t="s">
        <v>4970</v>
      </c>
      <c r="Y2504" s="7">
        <v>43836</v>
      </c>
    </row>
    <row r="2505" spans="1:28" ht="15.75" thickBot="1">
      <c r="A2505" s="286"/>
      <c r="C2505" s="28" t="s">
        <v>5692</v>
      </c>
      <c r="D2505" s="28">
        <v>26586</v>
      </c>
      <c r="E2505" s="28" t="s">
        <v>5678</v>
      </c>
      <c r="F2505" s="29">
        <v>29708251304361</v>
      </c>
      <c r="G2505" s="28" t="s">
        <v>34</v>
      </c>
      <c r="H2505" s="28" t="s">
        <v>5691</v>
      </c>
      <c r="I2505" s="28" t="s">
        <v>4315</v>
      </c>
      <c r="J2505" s="30">
        <v>43810</v>
      </c>
      <c r="K2505" s="28" t="s">
        <v>798</v>
      </c>
      <c r="L2505" s="28" t="s">
        <v>12</v>
      </c>
      <c r="M2505" s="28" t="s">
        <v>4706</v>
      </c>
      <c r="N2505" s="28"/>
      <c r="O2505" s="226"/>
      <c r="P2505" s="28"/>
      <c r="Q2505" s="226"/>
      <c r="R2505" s="37">
        <v>3</v>
      </c>
      <c r="S2505" s="37">
        <v>2.5</v>
      </c>
      <c r="T2505" s="37">
        <v>2</v>
      </c>
      <c r="U2505" s="37">
        <v>2</v>
      </c>
      <c r="V2505" s="37">
        <v>3</v>
      </c>
      <c r="W2505" s="28" t="s">
        <v>4970</v>
      </c>
      <c r="X2505" s="28"/>
      <c r="Y2505" s="30">
        <v>43836</v>
      </c>
      <c r="Z2505" s="28"/>
      <c r="AA2505" s="30"/>
      <c r="AB2505" s="28"/>
    </row>
    <row r="2506" spans="1:28" ht="15.75" thickTop="1">
      <c r="A2506" s="284" t="s">
        <v>4519</v>
      </c>
      <c r="C2506" s="25">
        <v>155</v>
      </c>
      <c r="D2506" s="25">
        <v>26564</v>
      </c>
      <c r="E2506" s="25" t="s">
        <v>5694</v>
      </c>
      <c r="F2506" s="26">
        <v>29609040102969</v>
      </c>
      <c r="G2506" s="25" t="s">
        <v>34</v>
      </c>
      <c r="H2506" s="34" t="s">
        <v>5704</v>
      </c>
      <c r="I2506" s="25" t="s">
        <v>4315</v>
      </c>
      <c r="J2506" s="27">
        <v>43811</v>
      </c>
      <c r="K2506" s="25" t="s">
        <v>8</v>
      </c>
      <c r="L2506" s="25" t="s">
        <v>12</v>
      </c>
      <c r="M2506" s="25" t="s">
        <v>5387</v>
      </c>
      <c r="N2506" s="25"/>
      <c r="O2506" s="224"/>
      <c r="P2506" s="25"/>
      <c r="Q2506" s="224"/>
      <c r="R2506" s="77">
        <v>3</v>
      </c>
      <c r="S2506" s="77">
        <v>3</v>
      </c>
      <c r="T2506" s="77">
        <v>2</v>
      </c>
      <c r="U2506" s="77">
        <v>2.5</v>
      </c>
      <c r="V2506" s="77">
        <v>3</v>
      </c>
      <c r="W2506" s="103" t="s">
        <v>61</v>
      </c>
      <c r="X2506" s="25" t="s">
        <v>66</v>
      </c>
      <c r="Y2506" s="27">
        <v>43872</v>
      </c>
      <c r="Z2506" s="25" t="s">
        <v>66</v>
      </c>
      <c r="AA2506" s="27"/>
      <c r="AB2506" s="25" t="s">
        <v>5803</v>
      </c>
    </row>
    <row r="2507" spans="1:28">
      <c r="A2507" s="285"/>
      <c r="C2507" s="25">
        <v>155</v>
      </c>
      <c r="D2507" s="2">
        <v>26565</v>
      </c>
      <c r="E2507" s="2" t="s">
        <v>5695</v>
      </c>
      <c r="F2507" s="3">
        <v>28410091702362</v>
      </c>
      <c r="G2507" s="2" t="s">
        <v>34</v>
      </c>
      <c r="H2507" s="8" t="s">
        <v>5705</v>
      </c>
      <c r="I2507" s="2" t="s">
        <v>4315</v>
      </c>
      <c r="J2507" s="4">
        <v>43811</v>
      </c>
      <c r="K2507" s="2" t="s">
        <v>8</v>
      </c>
      <c r="L2507" s="2" t="s">
        <v>12</v>
      </c>
      <c r="M2507" s="2" t="s">
        <v>109</v>
      </c>
      <c r="R2507" s="77">
        <v>3</v>
      </c>
      <c r="S2507" s="77">
        <v>2.5</v>
      </c>
      <c r="T2507" s="77">
        <v>2</v>
      </c>
      <c r="U2507" s="77">
        <v>2</v>
      </c>
      <c r="V2507" s="77">
        <v>3</v>
      </c>
      <c r="W2507" s="16" t="s">
        <v>62</v>
      </c>
      <c r="X2507" s="2" t="s">
        <v>66</v>
      </c>
      <c r="Y2507" s="27">
        <v>43872</v>
      </c>
      <c r="Z2507" s="16" t="s">
        <v>66</v>
      </c>
      <c r="AA2507" s="7">
        <v>44017</v>
      </c>
      <c r="AB2507" s="2" t="s">
        <v>4411</v>
      </c>
    </row>
    <row r="2508" spans="1:28">
      <c r="A2508" s="285"/>
      <c r="C2508" s="25">
        <v>155</v>
      </c>
      <c r="D2508" s="2">
        <v>26566</v>
      </c>
      <c r="E2508" s="2" t="s">
        <v>5696</v>
      </c>
      <c r="F2508" s="3">
        <v>29407082500857</v>
      </c>
      <c r="G2508" s="2" t="s">
        <v>4025</v>
      </c>
      <c r="H2508" s="8" t="s">
        <v>5706</v>
      </c>
      <c r="I2508" s="2" t="s">
        <v>4315</v>
      </c>
      <c r="J2508" s="4">
        <v>43811</v>
      </c>
      <c r="K2508" s="2" t="s">
        <v>8</v>
      </c>
      <c r="L2508" s="2" t="s">
        <v>12</v>
      </c>
      <c r="M2508" s="2" t="s">
        <v>109</v>
      </c>
      <c r="R2508" s="77">
        <v>3</v>
      </c>
      <c r="S2508" s="77">
        <v>2.5</v>
      </c>
      <c r="T2508" s="77">
        <v>2.5</v>
      </c>
      <c r="U2508" s="77">
        <v>2.5</v>
      </c>
      <c r="V2508" s="77">
        <v>3</v>
      </c>
      <c r="W2508" s="16" t="s">
        <v>171</v>
      </c>
      <c r="Y2508" s="7">
        <v>43839</v>
      </c>
      <c r="Z2508" s="16" t="s">
        <v>66</v>
      </c>
      <c r="AA2508" s="45">
        <v>43858</v>
      </c>
    </row>
    <row r="2509" spans="1:28">
      <c r="A2509" s="285"/>
      <c r="C2509" s="25">
        <v>155</v>
      </c>
      <c r="D2509" s="2">
        <v>26567</v>
      </c>
      <c r="E2509" s="2" t="s">
        <v>5697</v>
      </c>
      <c r="F2509" s="3">
        <v>29406130100371</v>
      </c>
      <c r="G2509" s="2" t="s">
        <v>34</v>
      </c>
      <c r="H2509" s="8" t="s">
        <v>5707</v>
      </c>
      <c r="I2509" s="2" t="s">
        <v>4315</v>
      </c>
      <c r="J2509" s="4">
        <v>43811</v>
      </c>
      <c r="K2509" s="2" t="s">
        <v>8</v>
      </c>
      <c r="L2509" s="2" t="s">
        <v>12</v>
      </c>
      <c r="M2509" s="2" t="s">
        <v>551</v>
      </c>
      <c r="R2509" s="77">
        <v>3</v>
      </c>
      <c r="S2509" s="77">
        <v>2.5</v>
      </c>
      <c r="T2509" s="77">
        <v>2</v>
      </c>
      <c r="U2509" s="77">
        <v>2.5</v>
      </c>
      <c r="V2509" s="77">
        <v>3</v>
      </c>
      <c r="W2509" s="16" t="s">
        <v>171</v>
      </c>
      <c r="Y2509" s="45">
        <v>43839</v>
      </c>
      <c r="Z2509" s="16" t="s">
        <v>66</v>
      </c>
      <c r="AA2509" s="7">
        <v>43858</v>
      </c>
    </row>
    <row r="2510" spans="1:28">
      <c r="A2510" s="285"/>
      <c r="C2510" s="25">
        <v>155</v>
      </c>
      <c r="D2510" s="2">
        <v>26568</v>
      </c>
      <c r="E2510" s="2" t="s">
        <v>5698</v>
      </c>
      <c r="F2510" s="3">
        <v>29301040105653</v>
      </c>
      <c r="G2510" s="2" t="s">
        <v>34</v>
      </c>
      <c r="H2510" s="8" t="s">
        <v>5708</v>
      </c>
      <c r="I2510" s="2" t="s">
        <v>4315</v>
      </c>
      <c r="J2510" s="4">
        <v>43811</v>
      </c>
      <c r="K2510" s="2" t="s">
        <v>8</v>
      </c>
      <c r="L2510" s="2" t="s">
        <v>12</v>
      </c>
      <c r="M2510" s="2" t="s">
        <v>4257</v>
      </c>
      <c r="R2510" s="77">
        <v>3</v>
      </c>
      <c r="S2510" s="77">
        <v>2.5</v>
      </c>
      <c r="T2510" s="77">
        <v>2</v>
      </c>
      <c r="U2510" s="77">
        <v>2.5</v>
      </c>
      <c r="V2510" s="77">
        <v>3</v>
      </c>
      <c r="W2510" s="16" t="s">
        <v>171</v>
      </c>
      <c r="Y2510" s="45">
        <v>43839</v>
      </c>
      <c r="Z2510" s="16" t="s">
        <v>66</v>
      </c>
      <c r="AA2510" s="45">
        <v>43858</v>
      </c>
    </row>
    <row r="2511" spans="1:28">
      <c r="A2511" s="285"/>
      <c r="C2511" s="25">
        <v>155</v>
      </c>
      <c r="D2511" s="2">
        <v>26569</v>
      </c>
      <c r="E2511" s="2" t="s">
        <v>5699</v>
      </c>
      <c r="F2511" s="3">
        <v>29711290102874</v>
      </c>
      <c r="G2511" s="2" t="s">
        <v>4</v>
      </c>
      <c r="H2511" s="8" t="s">
        <v>5709</v>
      </c>
      <c r="I2511" s="2" t="s">
        <v>4315</v>
      </c>
      <c r="J2511" s="4">
        <v>43811</v>
      </c>
      <c r="K2511" s="2" t="s">
        <v>8</v>
      </c>
      <c r="L2511" s="2" t="s">
        <v>12</v>
      </c>
      <c r="M2511" s="2" t="s">
        <v>109</v>
      </c>
      <c r="R2511" s="77">
        <v>3</v>
      </c>
      <c r="S2511" s="77">
        <v>2.5</v>
      </c>
      <c r="T2511" s="77">
        <v>2.5</v>
      </c>
      <c r="U2511" s="77">
        <v>2.5</v>
      </c>
      <c r="V2511" s="77">
        <v>3</v>
      </c>
      <c r="W2511" s="16" t="s">
        <v>170</v>
      </c>
      <c r="X2511" s="2" t="s">
        <v>66</v>
      </c>
      <c r="Y2511" s="27">
        <v>43872</v>
      </c>
      <c r="Z2511" s="16" t="s">
        <v>66</v>
      </c>
      <c r="AA2511" s="7">
        <v>43878</v>
      </c>
    </row>
    <row r="2512" spans="1:28">
      <c r="A2512" s="285"/>
      <c r="C2512" s="25">
        <v>155</v>
      </c>
      <c r="D2512" s="2">
        <v>26570</v>
      </c>
      <c r="E2512" s="2" t="s">
        <v>5700</v>
      </c>
      <c r="F2512" s="3">
        <v>29511162201399</v>
      </c>
      <c r="G2512" s="2" t="s">
        <v>34</v>
      </c>
      <c r="H2512" s="8" t="s">
        <v>5710</v>
      </c>
      <c r="I2512" s="2" t="s">
        <v>4315</v>
      </c>
      <c r="J2512" s="4">
        <v>43811</v>
      </c>
      <c r="K2512" s="2" t="s">
        <v>8</v>
      </c>
      <c r="L2512" s="2" t="s">
        <v>12</v>
      </c>
      <c r="M2512" s="2" t="s">
        <v>4706</v>
      </c>
      <c r="R2512" s="77">
        <v>3</v>
      </c>
      <c r="S2512" s="77">
        <v>2</v>
      </c>
      <c r="T2512" s="77">
        <v>2.5</v>
      </c>
      <c r="U2512" s="77">
        <v>2</v>
      </c>
      <c r="V2512" s="77">
        <v>3</v>
      </c>
      <c r="W2512" s="16" t="s">
        <v>59</v>
      </c>
      <c r="X2512" s="2" t="s">
        <v>67</v>
      </c>
      <c r="Y2512" s="7">
        <v>43839</v>
      </c>
      <c r="Z2512" s="16" t="s">
        <v>67</v>
      </c>
      <c r="AB2512" s="2" t="s">
        <v>4438</v>
      </c>
    </row>
    <row r="2513" spans="1:28">
      <c r="A2513" s="285"/>
      <c r="C2513" s="25">
        <v>155</v>
      </c>
      <c r="D2513" s="2">
        <v>26571</v>
      </c>
      <c r="E2513" s="2" t="s">
        <v>5701</v>
      </c>
      <c r="F2513" s="3">
        <v>29610310100406</v>
      </c>
      <c r="G2513" s="2" t="s">
        <v>34</v>
      </c>
      <c r="H2513" s="8" t="s">
        <v>5711</v>
      </c>
      <c r="I2513" s="2" t="s">
        <v>4315</v>
      </c>
      <c r="J2513" s="4">
        <v>43811</v>
      </c>
      <c r="K2513" s="2" t="s">
        <v>8</v>
      </c>
      <c r="L2513" s="2" t="s">
        <v>12</v>
      </c>
      <c r="M2513" s="2" t="s">
        <v>4493</v>
      </c>
      <c r="R2513" s="77">
        <v>3</v>
      </c>
      <c r="S2513" s="77">
        <v>2.5</v>
      </c>
      <c r="T2513" s="77">
        <v>2</v>
      </c>
      <c r="U2513" s="77">
        <v>2</v>
      </c>
      <c r="V2513" s="77">
        <v>3</v>
      </c>
      <c r="W2513" s="16" t="s">
        <v>62</v>
      </c>
      <c r="X2513" s="2" t="s">
        <v>66</v>
      </c>
      <c r="Y2513" s="27">
        <v>43872</v>
      </c>
      <c r="Z2513" s="16" t="s">
        <v>66</v>
      </c>
      <c r="AA2513" s="7">
        <v>43873</v>
      </c>
      <c r="AB2513" s="2" t="s">
        <v>6002</v>
      </c>
    </row>
    <row r="2514" spans="1:28">
      <c r="A2514" s="285"/>
      <c r="C2514" s="25">
        <v>155</v>
      </c>
      <c r="D2514" s="2">
        <v>26572</v>
      </c>
      <c r="E2514" s="2" t="s">
        <v>5702</v>
      </c>
      <c r="F2514" s="3">
        <v>28811181900133</v>
      </c>
      <c r="G2514" s="2" t="s">
        <v>34</v>
      </c>
      <c r="H2514" s="8" t="s">
        <v>5712</v>
      </c>
      <c r="I2514" s="2" t="s">
        <v>4315</v>
      </c>
      <c r="J2514" s="4">
        <v>43811</v>
      </c>
      <c r="K2514" s="2" t="s">
        <v>8</v>
      </c>
      <c r="L2514" s="2" t="s">
        <v>12</v>
      </c>
      <c r="M2514" s="2" t="s">
        <v>4706</v>
      </c>
      <c r="R2514" s="77">
        <v>3</v>
      </c>
      <c r="S2514" s="77">
        <v>2.5</v>
      </c>
      <c r="T2514" s="77">
        <v>2.5</v>
      </c>
      <c r="U2514" s="77">
        <v>2</v>
      </c>
      <c r="V2514" s="77">
        <v>3</v>
      </c>
      <c r="W2514" s="16" t="s">
        <v>170</v>
      </c>
      <c r="X2514" s="2" t="s">
        <v>66</v>
      </c>
      <c r="Y2514" s="27">
        <v>43872</v>
      </c>
      <c r="Z2514" s="16" t="s">
        <v>66</v>
      </c>
      <c r="AA2514" s="45">
        <v>43878</v>
      </c>
      <c r="AB2514" s="103"/>
    </row>
    <row r="2515" spans="1:28" ht="15.75" thickBot="1">
      <c r="A2515" s="286"/>
      <c r="C2515" s="28">
        <v>155</v>
      </c>
      <c r="D2515" s="28">
        <v>26573</v>
      </c>
      <c r="E2515" s="28" t="s">
        <v>5703</v>
      </c>
      <c r="F2515" s="29">
        <v>28502160103397</v>
      </c>
      <c r="G2515" s="28" t="s">
        <v>34</v>
      </c>
      <c r="H2515" s="78" t="s">
        <v>5713</v>
      </c>
      <c r="I2515" s="28" t="s">
        <v>4315</v>
      </c>
      <c r="J2515" s="30">
        <v>43811</v>
      </c>
      <c r="K2515" s="28" t="s">
        <v>8</v>
      </c>
      <c r="L2515" s="28" t="s">
        <v>12</v>
      </c>
      <c r="M2515" s="28" t="s">
        <v>4706</v>
      </c>
      <c r="N2515" s="28"/>
      <c r="O2515" s="226"/>
      <c r="P2515" s="28"/>
      <c r="Q2515" s="226"/>
      <c r="R2515" s="37">
        <v>3</v>
      </c>
      <c r="S2515" s="37">
        <v>3</v>
      </c>
      <c r="T2515" s="37">
        <v>2</v>
      </c>
      <c r="U2515" s="37">
        <v>1.5</v>
      </c>
      <c r="V2515" s="37">
        <v>3</v>
      </c>
      <c r="W2515" s="28" t="s">
        <v>5714</v>
      </c>
      <c r="X2515" s="28" t="s">
        <v>67</v>
      </c>
      <c r="Y2515" s="30">
        <v>43839</v>
      </c>
      <c r="Z2515" s="28" t="s">
        <v>67</v>
      </c>
      <c r="AA2515" s="30"/>
      <c r="AB2515" s="28" t="s">
        <v>5775</v>
      </c>
    </row>
    <row r="2516" spans="1:28" ht="15.75" thickTop="1">
      <c r="A2516" s="284" t="s">
        <v>5262</v>
      </c>
      <c r="C2516" s="25">
        <v>156</v>
      </c>
      <c r="D2516" s="25">
        <v>26587</v>
      </c>
      <c r="E2516" s="25" t="s">
        <v>5720</v>
      </c>
      <c r="F2516" s="26">
        <v>29709120104657</v>
      </c>
      <c r="G2516" s="25" t="s">
        <v>34</v>
      </c>
      <c r="H2516" s="34" t="s">
        <v>5732</v>
      </c>
      <c r="I2516" s="25" t="s">
        <v>4315</v>
      </c>
      <c r="J2516" s="27">
        <v>43822</v>
      </c>
      <c r="K2516" s="25" t="s">
        <v>8</v>
      </c>
      <c r="L2516" s="25" t="s">
        <v>12</v>
      </c>
      <c r="M2516" s="25" t="s">
        <v>149</v>
      </c>
      <c r="N2516" s="25"/>
      <c r="O2516" s="224"/>
      <c r="P2516" s="25"/>
      <c r="Q2516" s="224"/>
      <c r="R2516" s="25"/>
      <c r="S2516" s="25"/>
      <c r="T2516" s="25"/>
      <c r="U2516" s="25"/>
      <c r="V2516" s="25"/>
      <c r="W2516" s="25" t="s">
        <v>64</v>
      </c>
      <c r="X2516" s="25"/>
      <c r="Y2516" s="27"/>
      <c r="Z2516" s="25" t="s">
        <v>67</v>
      </c>
      <c r="AA2516" s="27"/>
      <c r="AB2516" s="25"/>
    </row>
    <row r="2517" spans="1:28">
      <c r="A2517" s="285"/>
      <c r="C2517" s="2">
        <v>156</v>
      </c>
      <c r="D2517" s="2">
        <v>26588</v>
      </c>
      <c r="E2517" s="2" t="s">
        <v>5721</v>
      </c>
      <c r="F2517" s="3">
        <v>29510200101984</v>
      </c>
      <c r="G2517" s="2" t="s">
        <v>34</v>
      </c>
      <c r="H2517" s="8" t="s">
        <v>5733</v>
      </c>
      <c r="I2517" s="2" t="s">
        <v>4315</v>
      </c>
      <c r="J2517" s="4">
        <v>43822</v>
      </c>
      <c r="K2517" s="2" t="s">
        <v>8</v>
      </c>
      <c r="L2517" s="2" t="s">
        <v>12</v>
      </c>
      <c r="M2517" s="2" t="s">
        <v>5722</v>
      </c>
      <c r="R2517" s="77">
        <v>3</v>
      </c>
      <c r="S2517" s="77">
        <v>2.5</v>
      </c>
      <c r="T2517" s="77">
        <v>2.5</v>
      </c>
      <c r="U2517" s="77">
        <v>2.5</v>
      </c>
      <c r="V2517" s="77">
        <v>3</v>
      </c>
      <c r="W2517" s="16" t="s">
        <v>171</v>
      </c>
      <c r="X2517" s="2" t="s">
        <v>66</v>
      </c>
      <c r="Y2517" s="27">
        <v>43872</v>
      </c>
      <c r="Z2517" s="16" t="s">
        <v>66</v>
      </c>
      <c r="AA2517" s="7">
        <v>43891</v>
      </c>
    </row>
    <row r="2518" spans="1:28">
      <c r="A2518" s="285"/>
      <c r="C2518" s="2">
        <v>156</v>
      </c>
      <c r="D2518" s="2">
        <v>26589</v>
      </c>
      <c r="E2518" s="2" t="s">
        <v>5723</v>
      </c>
      <c r="F2518" s="3">
        <v>29312082101552</v>
      </c>
      <c r="G2518" s="2" t="s">
        <v>34</v>
      </c>
      <c r="H2518" s="8" t="s">
        <v>5734</v>
      </c>
      <c r="I2518" s="2" t="s">
        <v>4315</v>
      </c>
      <c r="J2518" s="4">
        <v>43822</v>
      </c>
      <c r="K2518" s="2" t="s">
        <v>8</v>
      </c>
      <c r="L2518" s="2" t="s">
        <v>12</v>
      </c>
      <c r="M2518" s="2" t="s">
        <v>4706</v>
      </c>
      <c r="R2518" s="77">
        <v>3</v>
      </c>
      <c r="S2518" s="77">
        <v>2.5</v>
      </c>
      <c r="T2518" s="77">
        <v>2</v>
      </c>
      <c r="U2518" s="77">
        <v>2.5</v>
      </c>
      <c r="V2518" s="77">
        <v>3</v>
      </c>
      <c r="W2518" s="16" t="s">
        <v>171</v>
      </c>
      <c r="X2518" s="2" t="s">
        <v>66</v>
      </c>
      <c r="Y2518" s="27">
        <v>43872</v>
      </c>
      <c r="Z2518" s="16" t="s">
        <v>66</v>
      </c>
      <c r="AA2518" s="45">
        <v>43891</v>
      </c>
      <c r="AB2518" s="103"/>
    </row>
    <row r="2519" spans="1:28">
      <c r="A2519" s="285"/>
      <c r="C2519" s="2">
        <v>156</v>
      </c>
      <c r="D2519" s="2">
        <v>26590</v>
      </c>
      <c r="E2519" s="2" t="s">
        <v>5724</v>
      </c>
      <c r="F2519" s="3">
        <v>29612250103756</v>
      </c>
      <c r="G2519" s="2" t="s">
        <v>34</v>
      </c>
      <c r="H2519" s="8" t="s">
        <v>5735</v>
      </c>
      <c r="I2519" s="2" t="s">
        <v>4315</v>
      </c>
      <c r="J2519" s="4">
        <v>43822</v>
      </c>
      <c r="K2519" s="2" t="s">
        <v>8</v>
      </c>
      <c r="L2519" s="2" t="s">
        <v>12</v>
      </c>
      <c r="M2519" s="2" t="s">
        <v>109</v>
      </c>
      <c r="R2519" s="77">
        <v>3</v>
      </c>
      <c r="S2519" s="77">
        <v>2.5</v>
      </c>
      <c r="T2519" s="77">
        <v>2.5</v>
      </c>
      <c r="U2519" s="77">
        <v>2.5</v>
      </c>
      <c r="V2519" s="77">
        <v>3</v>
      </c>
      <c r="W2519" s="16" t="s">
        <v>170</v>
      </c>
      <c r="Y2519" s="7">
        <v>43849</v>
      </c>
    </row>
    <row r="2520" spans="1:28">
      <c r="A2520" s="285"/>
      <c r="C2520" s="2">
        <v>156</v>
      </c>
      <c r="D2520" s="2">
        <v>26591</v>
      </c>
      <c r="E2520" s="2" t="s">
        <v>5725</v>
      </c>
      <c r="F2520" s="3">
        <v>29701200102697</v>
      </c>
      <c r="G2520" s="2" t="s">
        <v>34</v>
      </c>
      <c r="H2520" s="8" t="s">
        <v>5736</v>
      </c>
      <c r="I2520" s="2" t="s">
        <v>4315</v>
      </c>
      <c r="J2520" s="4">
        <v>43822</v>
      </c>
      <c r="K2520" s="2" t="s">
        <v>8</v>
      </c>
      <c r="L2520" s="2" t="s">
        <v>12</v>
      </c>
      <c r="M2520" s="2" t="s">
        <v>5205</v>
      </c>
      <c r="W2520" s="16" t="s">
        <v>64</v>
      </c>
      <c r="Z2520" s="16" t="s">
        <v>67</v>
      </c>
    </row>
    <row r="2521" spans="1:28">
      <c r="A2521" s="285"/>
      <c r="C2521" s="2">
        <v>156</v>
      </c>
      <c r="D2521" s="2">
        <v>26592</v>
      </c>
      <c r="E2521" s="2" t="s">
        <v>5726</v>
      </c>
      <c r="F2521" s="3">
        <v>29304121600313</v>
      </c>
      <c r="G2521" s="2" t="s">
        <v>34</v>
      </c>
      <c r="H2521" s="8" t="s">
        <v>5737</v>
      </c>
      <c r="I2521" s="2" t="s">
        <v>4315</v>
      </c>
      <c r="J2521" s="4">
        <v>43822</v>
      </c>
      <c r="K2521" s="2" t="s">
        <v>8</v>
      </c>
      <c r="L2521" s="2" t="s">
        <v>12</v>
      </c>
      <c r="M2521" s="2" t="s">
        <v>1515</v>
      </c>
      <c r="R2521" s="77">
        <v>3</v>
      </c>
      <c r="S2521" s="77">
        <v>2.5</v>
      </c>
      <c r="T2521" s="77">
        <v>2.5</v>
      </c>
      <c r="U2521" s="77">
        <v>2</v>
      </c>
      <c r="V2521" s="77">
        <v>3</v>
      </c>
      <c r="W2521" s="16" t="s">
        <v>170</v>
      </c>
      <c r="Y2521" s="7">
        <v>43849</v>
      </c>
      <c r="Z2521" s="16" t="s">
        <v>66</v>
      </c>
      <c r="AA2521" s="7">
        <v>43859</v>
      </c>
    </row>
    <row r="2522" spans="1:28">
      <c r="A2522" s="285"/>
      <c r="C2522" s="2">
        <v>156</v>
      </c>
      <c r="D2522" s="2">
        <v>26593</v>
      </c>
      <c r="E2522" s="2" t="s">
        <v>5727</v>
      </c>
      <c r="F2522" s="3">
        <v>28910012121948</v>
      </c>
      <c r="G2522" s="2" t="s">
        <v>34</v>
      </c>
      <c r="H2522" s="8" t="s">
        <v>5738</v>
      </c>
      <c r="I2522" s="2" t="s">
        <v>4315</v>
      </c>
      <c r="J2522" s="4">
        <v>43822</v>
      </c>
      <c r="K2522" s="2" t="s">
        <v>8</v>
      </c>
      <c r="L2522" s="2" t="s">
        <v>12</v>
      </c>
      <c r="M2522" s="2" t="s">
        <v>3214</v>
      </c>
      <c r="R2522" s="77">
        <v>3</v>
      </c>
      <c r="S2522" s="77">
        <v>2</v>
      </c>
      <c r="T2522" s="77">
        <v>2</v>
      </c>
      <c r="U2522" s="77">
        <v>2</v>
      </c>
      <c r="V2522" s="77">
        <v>3</v>
      </c>
      <c r="W2522" s="16" t="s">
        <v>62</v>
      </c>
      <c r="X2522" s="2" t="s">
        <v>66</v>
      </c>
      <c r="Y2522" s="27">
        <v>43872</v>
      </c>
      <c r="Z2522" s="16" t="s">
        <v>66</v>
      </c>
      <c r="AB2522" s="2" t="s">
        <v>5968</v>
      </c>
    </row>
    <row r="2523" spans="1:28">
      <c r="A2523" s="285"/>
      <c r="C2523" s="2">
        <v>156</v>
      </c>
      <c r="D2523" s="2">
        <v>26594</v>
      </c>
      <c r="E2523" s="2" t="s">
        <v>5728</v>
      </c>
      <c r="F2523" s="3">
        <v>29607261200105</v>
      </c>
      <c r="G2523" s="2" t="s">
        <v>34</v>
      </c>
      <c r="H2523" s="8" t="s">
        <v>5739</v>
      </c>
      <c r="I2523" s="2" t="s">
        <v>4315</v>
      </c>
      <c r="J2523" s="4">
        <v>43822</v>
      </c>
      <c r="K2523" s="2" t="s">
        <v>8</v>
      </c>
      <c r="L2523" s="2" t="s">
        <v>12</v>
      </c>
      <c r="M2523" s="2" t="s">
        <v>3890</v>
      </c>
      <c r="R2523" s="77">
        <v>3</v>
      </c>
      <c r="S2523" s="77">
        <v>2.5</v>
      </c>
      <c r="T2523" s="77">
        <v>2.5</v>
      </c>
      <c r="U2523" s="77">
        <v>2.5</v>
      </c>
      <c r="V2523" s="77">
        <v>3</v>
      </c>
      <c r="W2523" s="16" t="s">
        <v>60</v>
      </c>
      <c r="Y2523" s="7">
        <v>43849</v>
      </c>
      <c r="Z2523" s="16" t="s">
        <v>66</v>
      </c>
      <c r="AA2523" s="7">
        <v>43859</v>
      </c>
    </row>
    <row r="2524" spans="1:28">
      <c r="A2524" s="285"/>
      <c r="C2524" s="2">
        <v>156</v>
      </c>
      <c r="D2524" s="2">
        <v>26595</v>
      </c>
      <c r="E2524" s="2" t="s">
        <v>5729</v>
      </c>
      <c r="F2524" s="3">
        <v>29510080100148</v>
      </c>
      <c r="G2524" s="2" t="s">
        <v>34</v>
      </c>
      <c r="H2524" s="8" t="s">
        <v>5740</v>
      </c>
      <c r="I2524" s="2" t="s">
        <v>4315</v>
      </c>
      <c r="J2524" s="4">
        <v>43822</v>
      </c>
      <c r="K2524" s="2" t="s">
        <v>8</v>
      </c>
      <c r="L2524" s="2" t="s">
        <v>12</v>
      </c>
      <c r="M2524" s="2" t="s">
        <v>5730</v>
      </c>
      <c r="R2524" s="77">
        <v>3</v>
      </c>
      <c r="S2524" s="77">
        <v>3</v>
      </c>
      <c r="T2524" s="77">
        <v>3</v>
      </c>
      <c r="U2524" s="77">
        <v>2.5</v>
      </c>
      <c r="V2524" s="77">
        <v>3</v>
      </c>
      <c r="W2524" s="16" t="s">
        <v>60</v>
      </c>
      <c r="Y2524" s="7">
        <v>43849</v>
      </c>
      <c r="Z2524" s="16" t="s">
        <v>66</v>
      </c>
      <c r="AA2524" s="7">
        <v>43859</v>
      </c>
    </row>
    <row r="2525" spans="1:28" ht="15.75" thickBot="1">
      <c r="A2525" s="285"/>
      <c r="C2525" s="28">
        <v>156</v>
      </c>
      <c r="D2525" s="28">
        <v>26597</v>
      </c>
      <c r="E2525" s="28" t="s">
        <v>5731</v>
      </c>
      <c r="F2525" s="29">
        <v>29501010224908</v>
      </c>
      <c r="G2525" s="28" t="s">
        <v>4131</v>
      </c>
      <c r="H2525" s="78" t="s">
        <v>5741</v>
      </c>
      <c r="I2525" s="28" t="s">
        <v>4315</v>
      </c>
      <c r="J2525" s="30">
        <v>43822</v>
      </c>
      <c r="K2525" s="28" t="s">
        <v>8</v>
      </c>
      <c r="L2525" s="28" t="s">
        <v>12</v>
      </c>
      <c r="M2525" s="28" t="s">
        <v>109</v>
      </c>
      <c r="N2525" s="28"/>
      <c r="O2525" s="226"/>
      <c r="P2525" s="28"/>
      <c r="Q2525" s="226"/>
      <c r="R2525" s="37">
        <v>3</v>
      </c>
      <c r="S2525" s="37">
        <v>3</v>
      </c>
      <c r="T2525" s="37">
        <v>2.5</v>
      </c>
      <c r="U2525" s="37">
        <v>2.5</v>
      </c>
      <c r="V2525" s="37">
        <v>3</v>
      </c>
      <c r="W2525" s="28" t="s">
        <v>60</v>
      </c>
      <c r="X2525" s="28"/>
      <c r="Y2525" s="30">
        <v>43849</v>
      </c>
      <c r="Z2525" s="28" t="s">
        <v>66</v>
      </c>
      <c r="AA2525" s="30">
        <v>43859</v>
      </c>
      <c r="AB2525" s="28"/>
    </row>
    <row r="2526" spans="1:28" ht="15.75" customHeight="1" thickTop="1">
      <c r="A2526" s="284" t="s">
        <v>3129</v>
      </c>
      <c r="C2526" s="25" t="s">
        <v>5769</v>
      </c>
      <c r="D2526" s="25">
        <v>26599</v>
      </c>
      <c r="E2526" s="25" t="s">
        <v>5744</v>
      </c>
      <c r="F2526" s="26">
        <v>29708090104502</v>
      </c>
      <c r="G2526" s="25" t="s">
        <v>34</v>
      </c>
      <c r="H2526" s="25" t="s">
        <v>5757</v>
      </c>
      <c r="I2526" s="25" t="s">
        <v>4315</v>
      </c>
      <c r="J2526" s="27">
        <v>43829</v>
      </c>
      <c r="K2526" s="25" t="s">
        <v>798</v>
      </c>
      <c r="L2526" s="25" t="s">
        <v>12</v>
      </c>
      <c r="M2526" s="25" t="s">
        <v>109</v>
      </c>
      <c r="N2526" s="25"/>
      <c r="O2526" s="224"/>
      <c r="P2526" s="25"/>
      <c r="Q2526" s="224"/>
      <c r="R2526" s="77">
        <v>3</v>
      </c>
      <c r="S2526" s="77">
        <v>2.5</v>
      </c>
      <c r="T2526" s="77">
        <v>2.5</v>
      </c>
      <c r="U2526" s="77">
        <v>2.5</v>
      </c>
      <c r="V2526" s="77">
        <v>3</v>
      </c>
      <c r="W2526" s="25" t="s">
        <v>3244</v>
      </c>
      <c r="X2526" s="25"/>
      <c r="Y2526" s="45">
        <v>43853</v>
      </c>
      <c r="Z2526" s="25"/>
      <c r="AA2526" s="27"/>
      <c r="AB2526" s="25"/>
    </row>
    <row r="2527" spans="1:28">
      <c r="A2527" s="285"/>
      <c r="C2527" s="25" t="s">
        <v>5769</v>
      </c>
      <c r="D2527" s="2">
        <v>26600</v>
      </c>
      <c r="E2527" s="2" t="s">
        <v>5745</v>
      </c>
      <c r="F2527" s="3">
        <v>29708230202186</v>
      </c>
      <c r="G2527" s="2" t="s">
        <v>34</v>
      </c>
      <c r="H2527" s="2" t="s">
        <v>5758</v>
      </c>
      <c r="I2527" s="2" t="s">
        <v>4315</v>
      </c>
      <c r="J2527" s="4">
        <v>43829</v>
      </c>
      <c r="K2527" s="2" t="s">
        <v>798</v>
      </c>
      <c r="L2527" s="2" t="s">
        <v>12</v>
      </c>
      <c r="M2527" s="2" t="s">
        <v>4968</v>
      </c>
      <c r="R2527" s="77">
        <v>3</v>
      </c>
      <c r="S2527" s="77">
        <v>2</v>
      </c>
      <c r="T2527" s="77">
        <v>2</v>
      </c>
      <c r="U2527" s="77">
        <v>2</v>
      </c>
      <c r="V2527" s="77">
        <v>3</v>
      </c>
      <c r="W2527" s="16" t="s">
        <v>3321</v>
      </c>
      <c r="Y2527" s="45">
        <v>43853</v>
      </c>
      <c r="Z2527" s="16" t="s">
        <v>66</v>
      </c>
      <c r="AB2527" s="2" t="s">
        <v>5803</v>
      </c>
    </row>
    <row r="2528" spans="1:28">
      <c r="A2528" s="285"/>
      <c r="C2528" s="25" t="s">
        <v>5769</v>
      </c>
      <c r="D2528" s="2">
        <v>26601</v>
      </c>
      <c r="E2528" s="2" t="s">
        <v>5746</v>
      </c>
      <c r="F2528" s="3">
        <v>29712100104392</v>
      </c>
      <c r="G2528" s="2" t="s">
        <v>4025</v>
      </c>
      <c r="H2528" s="2" t="s">
        <v>5759</v>
      </c>
      <c r="I2528" s="2" t="s">
        <v>4315</v>
      </c>
      <c r="J2528" s="4">
        <v>43829</v>
      </c>
      <c r="K2528" s="2" t="s">
        <v>798</v>
      </c>
      <c r="L2528" s="2" t="s">
        <v>12</v>
      </c>
      <c r="M2528" s="2" t="s">
        <v>5387</v>
      </c>
      <c r="R2528" s="77">
        <v>3</v>
      </c>
      <c r="S2528" s="77">
        <v>2.5</v>
      </c>
      <c r="T2528" s="77">
        <v>1.5</v>
      </c>
      <c r="U2528" s="77">
        <v>2</v>
      </c>
      <c r="V2528" s="77">
        <v>3</v>
      </c>
      <c r="W2528" s="16" t="s">
        <v>3321</v>
      </c>
      <c r="Y2528" s="45">
        <v>43853</v>
      </c>
      <c r="Z2528" s="16" t="s">
        <v>66</v>
      </c>
      <c r="AA2528" s="7">
        <v>43864</v>
      </c>
      <c r="AB2528" s="103" t="s">
        <v>4411</v>
      </c>
    </row>
    <row r="2529" spans="1:28">
      <c r="A2529" s="285"/>
      <c r="C2529" s="25" t="s">
        <v>5769</v>
      </c>
      <c r="D2529" s="2">
        <v>26602</v>
      </c>
      <c r="E2529" s="2" t="s">
        <v>5747</v>
      </c>
      <c r="F2529" s="3">
        <v>29507182101865</v>
      </c>
      <c r="G2529" s="2" t="s">
        <v>34</v>
      </c>
      <c r="H2529" s="2" t="s">
        <v>5760</v>
      </c>
      <c r="I2529" s="2" t="s">
        <v>4315</v>
      </c>
      <c r="J2529" s="4">
        <v>43829</v>
      </c>
      <c r="K2529" s="2" t="s">
        <v>798</v>
      </c>
      <c r="L2529" s="2" t="s">
        <v>12</v>
      </c>
      <c r="M2529" s="2" t="s">
        <v>4257</v>
      </c>
      <c r="R2529" s="77">
        <v>3</v>
      </c>
      <c r="S2529" s="77">
        <v>2.5</v>
      </c>
      <c r="T2529" s="77">
        <v>2</v>
      </c>
      <c r="U2529" s="77">
        <v>2</v>
      </c>
      <c r="V2529" s="77">
        <v>3</v>
      </c>
      <c r="W2529" s="16" t="s">
        <v>62</v>
      </c>
      <c r="Y2529" s="45">
        <v>43853</v>
      </c>
      <c r="Z2529" s="16" t="s">
        <v>66</v>
      </c>
      <c r="AA2529" s="45">
        <v>43864</v>
      </c>
      <c r="AB2529" s="103" t="s">
        <v>4411</v>
      </c>
    </row>
    <row r="2530" spans="1:28">
      <c r="A2530" s="285"/>
      <c r="C2530" s="25" t="s">
        <v>5769</v>
      </c>
      <c r="D2530" s="2">
        <v>26603</v>
      </c>
      <c r="E2530" s="2" t="s">
        <v>5748</v>
      </c>
      <c r="F2530" s="3">
        <v>29902101502379</v>
      </c>
      <c r="G2530" s="2" t="s">
        <v>34</v>
      </c>
      <c r="H2530" s="2" t="s">
        <v>5761</v>
      </c>
      <c r="I2530" s="2" t="s">
        <v>4315</v>
      </c>
      <c r="J2530" s="4">
        <v>43829</v>
      </c>
      <c r="K2530" s="2" t="s">
        <v>798</v>
      </c>
      <c r="L2530" s="2" t="s">
        <v>12</v>
      </c>
      <c r="M2530" s="2" t="s">
        <v>109</v>
      </c>
      <c r="R2530" s="77">
        <v>3</v>
      </c>
      <c r="S2530" s="77">
        <v>2.5</v>
      </c>
      <c r="T2530" s="77">
        <v>1.5</v>
      </c>
      <c r="U2530" s="77">
        <v>2</v>
      </c>
      <c r="V2530" s="77">
        <v>3</v>
      </c>
      <c r="W2530" s="16" t="s">
        <v>3321</v>
      </c>
      <c r="Y2530" s="45">
        <v>43853</v>
      </c>
      <c r="Z2530" s="16" t="s">
        <v>66</v>
      </c>
      <c r="AA2530" s="45">
        <v>43864</v>
      </c>
      <c r="AB2530" s="103" t="s">
        <v>4411</v>
      </c>
    </row>
    <row r="2531" spans="1:28">
      <c r="A2531" s="285"/>
      <c r="C2531" s="25" t="s">
        <v>5769</v>
      </c>
      <c r="D2531" s="2">
        <v>26604</v>
      </c>
      <c r="E2531" s="2" t="s">
        <v>5749</v>
      </c>
      <c r="F2531" s="3">
        <v>29604163100047</v>
      </c>
      <c r="G2531" s="2" t="s">
        <v>34</v>
      </c>
      <c r="H2531" s="2" t="s">
        <v>5762</v>
      </c>
      <c r="I2531" s="2" t="s">
        <v>4315</v>
      </c>
      <c r="J2531" s="4">
        <v>43829</v>
      </c>
      <c r="K2531" s="2" t="s">
        <v>798</v>
      </c>
      <c r="L2531" s="2" t="s">
        <v>12</v>
      </c>
      <c r="M2531" s="2" t="s">
        <v>5126</v>
      </c>
      <c r="R2531" s="77">
        <v>3</v>
      </c>
      <c r="S2531" s="77">
        <v>2.5</v>
      </c>
      <c r="T2531" s="77">
        <v>2</v>
      </c>
      <c r="U2531" s="77">
        <v>2</v>
      </c>
      <c r="V2531" s="77">
        <v>3</v>
      </c>
      <c r="W2531" s="16" t="s">
        <v>62</v>
      </c>
      <c r="Y2531" s="45">
        <v>43853</v>
      </c>
      <c r="Z2531" s="16" t="s">
        <v>66</v>
      </c>
      <c r="AA2531" s="45">
        <v>43864</v>
      </c>
      <c r="AB2531" s="103" t="s">
        <v>4411</v>
      </c>
    </row>
    <row r="2532" spans="1:28">
      <c r="A2532" s="285"/>
      <c r="C2532" s="25" t="s">
        <v>5769</v>
      </c>
      <c r="D2532" s="2">
        <v>26605</v>
      </c>
      <c r="E2532" s="2" t="s">
        <v>5750</v>
      </c>
      <c r="F2532" s="3">
        <v>28610140100691</v>
      </c>
      <c r="G2532" s="2" t="s">
        <v>34</v>
      </c>
      <c r="H2532" s="2" t="s">
        <v>5763</v>
      </c>
      <c r="I2532" s="2" t="s">
        <v>4315</v>
      </c>
      <c r="J2532" s="4">
        <v>43829</v>
      </c>
      <c r="K2532" s="2" t="s">
        <v>798</v>
      </c>
      <c r="L2532" s="2" t="s">
        <v>12</v>
      </c>
      <c r="M2532" s="2" t="s">
        <v>109</v>
      </c>
      <c r="R2532" s="77">
        <v>3</v>
      </c>
      <c r="S2532" s="77">
        <v>2.5</v>
      </c>
      <c r="T2532" s="77">
        <v>2</v>
      </c>
      <c r="U2532" s="77">
        <v>2</v>
      </c>
      <c r="V2532" s="77">
        <v>3</v>
      </c>
      <c r="W2532" s="16" t="s">
        <v>4970</v>
      </c>
      <c r="Y2532" s="45">
        <v>43853</v>
      </c>
    </row>
    <row r="2533" spans="1:28">
      <c r="A2533" s="285"/>
      <c r="C2533" s="25" t="s">
        <v>5769</v>
      </c>
      <c r="D2533" s="2">
        <v>26606</v>
      </c>
      <c r="E2533" s="2" t="s">
        <v>5751</v>
      </c>
      <c r="F2533" s="3">
        <v>28812310100935</v>
      </c>
      <c r="G2533" s="2" t="s">
        <v>34</v>
      </c>
      <c r="H2533" s="2" t="s">
        <v>5764</v>
      </c>
      <c r="I2533" s="2" t="s">
        <v>4315</v>
      </c>
      <c r="J2533" s="4">
        <v>43829</v>
      </c>
      <c r="K2533" s="2" t="s">
        <v>798</v>
      </c>
      <c r="L2533" s="2" t="s">
        <v>12</v>
      </c>
      <c r="M2533" s="2" t="s">
        <v>5752</v>
      </c>
      <c r="R2533" s="77">
        <v>3</v>
      </c>
      <c r="S2533" s="77">
        <v>2.5</v>
      </c>
      <c r="T2533" s="77">
        <v>2</v>
      </c>
      <c r="U2533" s="77">
        <v>2</v>
      </c>
      <c r="V2533" s="77">
        <v>3</v>
      </c>
      <c r="W2533" s="16" t="s">
        <v>4970</v>
      </c>
      <c r="Y2533" s="45">
        <v>43853</v>
      </c>
    </row>
    <row r="2534" spans="1:28">
      <c r="A2534" s="285"/>
      <c r="C2534" s="25" t="s">
        <v>5769</v>
      </c>
      <c r="D2534" s="2">
        <v>26607</v>
      </c>
      <c r="E2534" s="2" t="s">
        <v>5753</v>
      </c>
      <c r="F2534" s="3">
        <v>29703278800261</v>
      </c>
      <c r="G2534" s="2" t="s">
        <v>34</v>
      </c>
      <c r="H2534" s="2" t="s">
        <v>5765</v>
      </c>
      <c r="I2534" s="2" t="s">
        <v>4315</v>
      </c>
      <c r="J2534" s="4">
        <v>43829</v>
      </c>
      <c r="K2534" s="2" t="s">
        <v>798</v>
      </c>
      <c r="L2534" s="2" t="s">
        <v>12</v>
      </c>
      <c r="M2534" s="2" t="s">
        <v>4706</v>
      </c>
      <c r="R2534" s="77">
        <v>3</v>
      </c>
      <c r="S2534" s="77">
        <v>3</v>
      </c>
      <c r="T2534" s="77">
        <v>2</v>
      </c>
      <c r="U2534" s="77">
        <v>2</v>
      </c>
      <c r="V2534" s="77">
        <v>3</v>
      </c>
      <c r="W2534" s="16" t="s">
        <v>3244</v>
      </c>
      <c r="Y2534" s="45">
        <v>43853</v>
      </c>
    </row>
    <row r="2535" spans="1:28">
      <c r="A2535" s="285"/>
      <c r="C2535" s="25" t="s">
        <v>5769</v>
      </c>
      <c r="D2535" s="2">
        <v>26608</v>
      </c>
      <c r="E2535" s="2" t="s">
        <v>5754</v>
      </c>
      <c r="F2535" s="3">
        <v>29604201900231</v>
      </c>
      <c r="G2535" s="2" t="s">
        <v>34</v>
      </c>
      <c r="H2535" s="2" t="s">
        <v>5766</v>
      </c>
      <c r="I2535" s="2" t="s">
        <v>4315</v>
      </c>
      <c r="J2535" s="4">
        <v>43829</v>
      </c>
      <c r="K2535" s="2" t="s">
        <v>798</v>
      </c>
      <c r="L2535" s="2" t="s">
        <v>12</v>
      </c>
      <c r="M2535" s="2" t="s">
        <v>3696</v>
      </c>
      <c r="W2535" s="16" t="s">
        <v>64</v>
      </c>
      <c r="Z2535" s="16" t="s">
        <v>67</v>
      </c>
    </row>
    <row r="2536" spans="1:28">
      <c r="A2536" s="285"/>
      <c r="C2536" s="25" t="s">
        <v>5769</v>
      </c>
      <c r="D2536" s="2">
        <v>26609</v>
      </c>
      <c r="E2536" s="2" t="s">
        <v>5755</v>
      </c>
      <c r="F2536" s="3">
        <v>28403311200367</v>
      </c>
      <c r="G2536" s="2" t="s">
        <v>34</v>
      </c>
      <c r="H2536" s="2" t="s">
        <v>5767</v>
      </c>
      <c r="I2536" s="2" t="s">
        <v>4315</v>
      </c>
      <c r="J2536" s="4">
        <v>43829</v>
      </c>
      <c r="K2536" s="2" t="s">
        <v>798</v>
      </c>
      <c r="L2536" s="2" t="s">
        <v>12</v>
      </c>
      <c r="M2536" s="2" t="s">
        <v>5730</v>
      </c>
      <c r="R2536" s="77">
        <v>3</v>
      </c>
      <c r="S2536" s="77">
        <v>2.5</v>
      </c>
      <c r="T2536" s="77">
        <v>1.5</v>
      </c>
      <c r="U2536" s="77">
        <v>2</v>
      </c>
      <c r="V2536" s="77">
        <v>3</v>
      </c>
      <c r="W2536" s="16" t="s">
        <v>3321</v>
      </c>
      <c r="Y2536" s="45">
        <v>43853</v>
      </c>
      <c r="Z2536" s="16" t="s">
        <v>66</v>
      </c>
      <c r="AA2536" s="41">
        <v>43864</v>
      </c>
      <c r="AB2536" s="2" t="s">
        <v>4411</v>
      </c>
    </row>
    <row r="2537" spans="1:28">
      <c r="A2537" s="285"/>
      <c r="C2537" s="39" t="s">
        <v>5769</v>
      </c>
      <c r="D2537" s="39">
        <v>26610</v>
      </c>
      <c r="E2537" s="39" t="s">
        <v>5756</v>
      </c>
      <c r="F2537" s="40">
        <v>29708091301328</v>
      </c>
      <c r="G2537" s="39" t="s">
        <v>34</v>
      </c>
      <c r="H2537" s="39" t="s">
        <v>5768</v>
      </c>
      <c r="I2537" s="39" t="s">
        <v>4315</v>
      </c>
      <c r="J2537" s="41">
        <v>43829</v>
      </c>
      <c r="K2537" s="39" t="s">
        <v>798</v>
      </c>
      <c r="L2537" s="39" t="s">
        <v>12</v>
      </c>
      <c r="M2537" s="39" t="s">
        <v>5387</v>
      </c>
      <c r="N2537" s="39"/>
      <c r="O2537" s="230"/>
      <c r="P2537" s="39"/>
      <c r="Q2537" s="230"/>
      <c r="R2537" s="77">
        <v>3</v>
      </c>
      <c r="S2537" s="77">
        <v>2.5</v>
      </c>
      <c r="T2537" s="77">
        <v>2</v>
      </c>
      <c r="U2537" s="77">
        <v>2</v>
      </c>
      <c r="V2537" s="77">
        <v>3</v>
      </c>
      <c r="W2537" s="39" t="s">
        <v>3321</v>
      </c>
      <c r="X2537" s="39"/>
      <c r="Y2537" s="45">
        <v>43853</v>
      </c>
      <c r="Z2537" s="39" t="s">
        <v>66</v>
      </c>
      <c r="AA2537" s="41">
        <v>43864</v>
      </c>
      <c r="AB2537" s="39" t="s">
        <v>4411</v>
      </c>
    </row>
    <row r="2538" spans="1:28">
      <c r="A2538" s="285"/>
      <c r="C2538" s="103" t="s">
        <v>5769</v>
      </c>
      <c r="D2538" s="103">
        <v>26612</v>
      </c>
      <c r="E2538" s="103" t="s">
        <v>5770</v>
      </c>
      <c r="F2538" s="3">
        <v>29601172100719</v>
      </c>
      <c r="G2538" s="103" t="s">
        <v>34</v>
      </c>
      <c r="H2538" s="103" t="s">
        <v>5771</v>
      </c>
      <c r="I2538" s="103" t="s">
        <v>4315</v>
      </c>
      <c r="J2538" s="45">
        <v>43829</v>
      </c>
      <c r="K2538" s="103" t="s">
        <v>798</v>
      </c>
      <c r="L2538" s="103" t="s">
        <v>12</v>
      </c>
      <c r="M2538" s="103" t="s">
        <v>4257</v>
      </c>
      <c r="N2538" s="103"/>
      <c r="R2538" s="103"/>
      <c r="S2538" s="103"/>
      <c r="T2538" s="103"/>
      <c r="U2538" s="103"/>
      <c r="V2538" s="103"/>
      <c r="W2538" s="103" t="s">
        <v>64</v>
      </c>
      <c r="X2538" s="103"/>
      <c r="Y2538" s="45"/>
      <c r="Z2538" s="103" t="s">
        <v>67</v>
      </c>
      <c r="AA2538" s="45"/>
      <c r="AB2538" s="103"/>
    </row>
    <row r="2539" spans="1:28" ht="15.75" thickBot="1">
      <c r="A2539" s="286"/>
      <c r="C2539" s="28" t="s">
        <v>5769</v>
      </c>
      <c r="D2539" s="28">
        <v>26613</v>
      </c>
      <c r="E2539" s="28" t="s">
        <v>5772</v>
      </c>
      <c r="F2539" s="29">
        <v>28612170101872</v>
      </c>
      <c r="G2539" s="28" t="s">
        <v>34</v>
      </c>
      <c r="H2539" s="28" t="s">
        <v>5773</v>
      </c>
      <c r="I2539" s="28" t="s">
        <v>4315</v>
      </c>
      <c r="J2539" s="30">
        <v>43829</v>
      </c>
      <c r="K2539" s="28" t="s">
        <v>798</v>
      </c>
      <c r="L2539" s="28" t="s">
        <v>12</v>
      </c>
      <c r="M2539" s="28" t="s">
        <v>4968</v>
      </c>
      <c r="N2539" s="28"/>
      <c r="O2539" s="226"/>
      <c r="P2539" s="28"/>
      <c r="Q2539" s="226"/>
      <c r="R2539" s="28"/>
      <c r="S2539" s="28"/>
      <c r="T2539" s="28"/>
      <c r="U2539" s="28"/>
      <c r="V2539" s="28"/>
      <c r="W2539" s="28" t="s">
        <v>63</v>
      </c>
      <c r="X2539" s="28"/>
      <c r="Y2539" s="30"/>
      <c r="Z2539" s="28" t="s">
        <v>67</v>
      </c>
      <c r="AA2539" s="30"/>
      <c r="AB2539" s="28"/>
    </row>
    <row r="2540" spans="1:28" ht="15.75" thickTop="1">
      <c r="A2540" s="284" t="s">
        <v>4517</v>
      </c>
      <c r="C2540" s="25">
        <v>157</v>
      </c>
      <c r="D2540" s="25">
        <v>26621</v>
      </c>
      <c r="E2540" s="25" t="s">
        <v>5792</v>
      </c>
      <c r="F2540" s="26">
        <v>29409011806711</v>
      </c>
      <c r="G2540" s="25" t="s">
        <v>4131</v>
      </c>
      <c r="H2540" s="25" t="s">
        <v>5793</v>
      </c>
      <c r="I2540" s="25" t="s">
        <v>4315</v>
      </c>
      <c r="J2540" s="27">
        <v>43831</v>
      </c>
      <c r="K2540" s="25" t="s">
        <v>8</v>
      </c>
      <c r="L2540" s="25" t="s">
        <v>12</v>
      </c>
      <c r="M2540" s="25" t="s">
        <v>4968</v>
      </c>
      <c r="N2540" s="25"/>
      <c r="O2540" s="224"/>
      <c r="P2540" s="25"/>
      <c r="Q2540" s="224"/>
      <c r="R2540" s="77">
        <v>3</v>
      </c>
      <c r="S2540" s="77">
        <v>2.5</v>
      </c>
      <c r="T2540" s="77">
        <v>2.5</v>
      </c>
      <c r="U2540" s="77">
        <v>2.5</v>
      </c>
      <c r="V2540" s="77">
        <v>3</v>
      </c>
      <c r="W2540" s="25" t="s">
        <v>60</v>
      </c>
      <c r="X2540" s="25"/>
      <c r="Y2540" s="27">
        <v>43858</v>
      </c>
      <c r="Z2540" s="25" t="s">
        <v>66</v>
      </c>
      <c r="AA2540" s="27">
        <v>43859</v>
      </c>
      <c r="AB2540" s="25"/>
    </row>
    <row r="2541" spans="1:28">
      <c r="A2541" s="285"/>
      <c r="C2541" s="25">
        <v>157</v>
      </c>
      <c r="D2541" s="2">
        <v>26616</v>
      </c>
      <c r="E2541" s="2" t="s">
        <v>5780</v>
      </c>
      <c r="F2541" s="3">
        <v>29503230102539</v>
      </c>
      <c r="G2541" s="2" t="s">
        <v>34</v>
      </c>
      <c r="H2541" s="2" t="s">
        <v>5781</v>
      </c>
      <c r="I2541" s="2" t="s">
        <v>4315</v>
      </c>
      <c r="J2541" s="4">
        <v>43831</v>
      </c>
      <c r="K2541" s="2" t="s">
        <v>8</v>
      </c>
      <c r="L2541" s="2" t="s">
        <v>12</v>
      </c>
      <c r="M2541" s="2" t="s">
        <v>5782</v>
      </c>
      <c r="R2541" s="77">
        <v>3</v>
      </c>
      <c r="S2541" s="77">
        <v>3</v>
      </c>
      <c r="T2541" s="77">
        <v>2</v>
      </c>
      <c r="U2541" s="77">
        <v>2.5</v>
      </c>
      <c r="V2541" s="77">
        <v>3</v>
      </c>
      <c r="W2541" s="103" t="s">
        <v>61</v>
      </c>
      <c r="X2541" s="2" t="s">
        <v>66</v>
      </c>
      <c r="Y2541" s="27">
        <v>43891</v>
      </c>
      <c r="Z2541" s="16" t="s">
        <v>66</v>
      </c>
      <c r="AA2541" s="7">
        <v>43891</v>
      </c>
    </row>
    <row r="2542" spans="1:28">
      <c r="A2542" s="285"/>
      <c r="C2542" s="25">
        <v>157</v>
      </c>
      <c r="D2542" s="2">
        <v>26617</v>
      </c>
      <c r="E2542" s="2" t="s">
        <v>5783</v>
      </c>
      <c r="F2542" s="3">
        <v>29501080101773</v>
      </c>
      <c r="G2542" s="2" t="s">
        <v>34</v>
      </c>
      <c r="H2542" s="2" t="s">
        <v>5784</v>
      </c>
      <c r="I2542" s="2" t="s">
        <v>4315</v>
      </c>
      <c r="J2542" s="4">
        <v>43831</v>
      </c>
      <c r="K2542" s="2" t="s">
        <v>8</v>
      </c>
      <c r="L2542" s="2" t="s">
        <v>12</v>
      </c>
      <c r="M2542" s="2" t="s">
        <v>4800</v>
      </c>
      <c r="R2542" s="77">
        <v>3</v>
      </c>
      <c r="S2542" s="77">
        <v>2.5</v>
      </c>
      <c r="T2542" s="77">
        <v>2</v>
      </c>
      <c r="U2542" s="77">
        <v>2.5</v>
      </c>
      <c r="V2542" s="77">
        <v>3</v>
      </c>
      <c r="W2542" s="16" t="s">
        <v>171</v>
      </c>
      <c r="Y2542" s="7">
        <v>43858</v>
      </c>
      <c r="Z2542" s="16" t="s">
        <v>66</v>
      </c>
      <c r="AA2542" s="45">
        <v>43891</v>
      </c>
    </row>
    <row r="2543" spans="1:28">
      <c r="A2543" s="285"/>
      <c r="C2543" s="25">
        <v>157</v>
      </c>
      <c r="D2543" s="2">
        <v>26619</v>
      </c>
      <c r="E2543" s="2" t="s">
        <v>5787</v>
      </c>
      <c r="F2543" s="3">
        <v>29912308800308</v>
      </c>
      <c r="G2543" s="2" t="s">
        <v>4025</v>
      </c>
      <c r="H2543" s="2" t="s">
        <v>5788</v>
      </c>
      <c r="I2543" s="2" t="s">
        <v>4315</v>
      </c>
      <c r="J2543" s="4">
        <v>43831</v>
      </c>
      <c r="K2543" s="2" t="s">
        <v>8</v>
      </c>
      <c r="L2543" s="2" t="s">
        <v>12</v>
      </c>
      <c r="M2543" s="2" t="s">
        <v>5152</v>
      </c>
      <c r="R2543" s="77">
        <v>3</v>
      </c>
      <c r="S2543" s="77">
        <v>2.5</v>
      </c>
      <c r="T2543" s="77">
        <v>2.5</v>
      </c>
      <c r="U2543" s="77">
        <v>2</v>
      </c>
      <c r="V2543" s="77">
        <v>3</v>
      </c>
      <c r="W2543" s="16" t="s">
        <v>502</v>
      </c>
      <c r="X2543" s="2" t="s">
        <v>66</v>
      </c>
      <c r="Y2543" s="45">
        <v>43906</v>
      </c>
      <c r="AB2543" s="2" t="s">
        <v>6354</v>
      </c>
    </row>
    <row r="2544" spans="1:28">
      <c r="A2544" s="285"/>
      <c r="C2544" s="25">
        <v>157</v>
      </c>
      <c r="D2544" s="2">
        <v>26620</v>
      </c>
      <c r="E2544" s="2" t="s">
        <v>5789</v>
      </c>
      <c r="F2544" s="3">
        <v>29501010130881</v>
      </c>
      <c r="G2544" s="2" t="s">
        <v>34</v>
      </c>
      <c r="H2544" s="2" t="s">
        <v>5790</v>
      </c>
      <c r="I2544" s="2" t="s">
        <v>4315</v>
      </c>
      <c r="J2544" s="4">
        <v>43831</v>
      </c>
      <c r="K2544" s="2" t="s">
        <v>8</v>
      </c>
      <c r="L2544" s="2" t="s">
        <v>12</v>
      </c>
      <c r="M2544" s="2" t="s">
        <v>5791</v>
      </c>
      <c r="R2544" s="77">
        <v>3</v>
      </c>
      <c r="S2544" s="77">
        <v>3</v>
      </c>
      <c r="T2544" s="77">
        <v>2</v>
      </c>
      <c r="U2544" s="77">
        <v>2.5</v>
      </c>
      <c r="V2544" s="77">
        <v>3</v>
      </c>
      <c r="W2544" s="16" t="s">
        <v>61</v>
      </c>
      <c r="Y2544" s="7">
        <v>43858</v>
      </c>
      <c r="Z2544" s="16" t="s">
        <v>66</v>
      </c>
      <c r="AA2544" s="45">
        <v>43891</v>
      </c>
      <c r="AB2544" s="103"/>
    </row>
    <row r="2545" spans="1:28">
      <c r="A2545" s="285"/>
      <c r="C2545" s="25">
        <v>157</v>
      </c>
      <c r="D2545" s="2">
        <v>26614</v>
      </c>
      <c r="E2545" s="2" t="s">
        <v>5776</v>
      </c>
      <c r="F2545" s="3">
        <v>29703211404027</v>
      </c>
      <c r="G2545" s="2" t="s">
        <v>34</v>
      </c>
      <c r="H2545" s="2" t="s">
        <v>5777</v>
      </c>
      <c r="I2545" s="2" t="s">
        <v>4315</v>
      </c>
      <c r="J2545" s="4">
        <v>43831</v>
      </c>
      <c r="K2545" s="2" t="s">
        <v>8</v>
      </c>
      <c r="L2545" s="2" t="s">
        <v>12</v>
      </c>
      <c r="M2545" s="2" t="s">
        <v>4493</v>
      </c>
      <c r="R2545" s="77">
        <v>3</v>
      </c>
      <c r="S2545" s="77">
        <v>2</v>
      </c>
      <c r="T2545" s="77">
        <v>2</v>
      </c>
      <c r="U2545" s="77">
        <v>2</v>
      </c>
      <c r="V2545" s="77">
        <v>3</v>
      </c>
      <c r="W2545" s="16" t="s">
        <v>62</v>
      </c>
      <c r="Y2545" s="7">
        <v>43858</v>
      </c>
    </row>
    <row r="2546" spans="1:28">
      <c r="A2546" s="285"/>
      <c r="C2546" s="25">
        <v>157</v>
      </c>
      <c r="D2546" s="2">
        <v>26615</v>
      </c>
      <c r="E2546" s="2" t="s">
        <v>5778</v>
      </c>
      <c r="F2546" s="3">
        <v>28710012115795</v>
      </c>
      <c r="G2546" s="2" t="s">
        <v>34</v>
      </c>
      <c r="H2546" s="2" t="s">
        <v>5779</v>
      </c>
      <c r="I2546" s="2" t="s">
        <v>4315</v>
      </c>
      <c r="J2546" s="4">
        <v>43831</v>
      </c>
      <c r="K2546" s="2" t="s">
        <v>8</v>
      </c>
      <c r="L2546" s="2" t="s">
        <v>12</v>
      </c>
      <c r="M2546" s="2" t="s">
        <v>4493</v>
      </c>
      <c r="R2546" s="77">
        <v>3</v>
      </c>
      <c r="S2546" s="77">
        <v>2.5</v>
      </c>
      <c r="T2546" s="77">
        <v>2.5</v>
      </c>
      <c r="U2546" s="77">
        <v>2.5</v>
      </c>
      <c r="V2546" s="77">
        <v>3</v>
      </c>
      <c r="W2546" s="16" t="s">
        <v>61</v>
      </c>
      <c r="Y2546" s="7">
        <v>43858</v>
      </c>
      <c r="Z2546" s="16" t="s">
        <v>66</v>
      </c>
      <c r="AA2546" s="45">
        <v>43891</v>
      </c>
      <c r="AB2546" s="103"/>
    </row>
    <row r="2547" spans="1:28">
      <c r="A2547" s="285"/>
      <c r="C2547" s="25">
        <v>157</v>
      </c>
      <c r="D2547" s="2">
        <v>26618</v>
      </c>
      <c r="E2547" s="2" t="s">
        <v>5785</v>
      </c>
      <c r="F2547" s="3">
        <v>29507280101504</v>
      </c>
      <c r="G2547" s="2" t="s">
        <v>34</v>
      </c>
      <c r="H2547" s="2" t="s">
        <v>5786</v>
      </c>
      <c r="I2547" s="2" t="s">
        <v>4315</v>
      </c>
      <c r="J2547" s="4">
        <v>43831</v>
      </c>
      <c r="K2547" s="2" t="s">
        <v>8</v>
      </c>
      <c r="L2547" s="2" t="s">
        <v>12</v>
      </c>
      <c r="M2547" s="2" t="s">
        <v>147</v>
      </c>
      <c r="W2547" s="16" t="s">
        <v>64</v>
      </c>
      <c r="Z2547" s="16" t="s">
        <v>67</v>
      </c>
    </row>
    <row r="2548" spans="1:28">
      <c r="A2548" s="285"/>
      <c r="C2548" s="25">
        <v>157</v>
      </c>
      <c r="D2548" s="2">
        <v>26596</v>
      </c>
      <c r="E2548" s="2" t="s">
        <v>5794</v>
      </c>
      <c r="F2548" s="3">
        <v>29905062501458</v>
      </c>
      <c r="G2548" s="2" t="s">
        <v>3892</v>
      </c>
      <c r="H2548" s="8" t="s">
        <v>5795</v>
      </c>
      <c r="I2548" s="2" t="s">
        <v>4315</v>
      </c>
      <c r="J2548" s="4">
        <v>43822</v>
      </c>
      <c r="K2548" s="2" t="s">
        <v>8</v>
      </c>
      <c r="L2548" s="2" t="s">
        <v>12</v>
      </c>
      <c r="M2548" s="2" t="s">
        <v>4706</v>
      </c>
      <c r="R2548" s="77">
        <v>3</v>
      </c>
      <c r="S2548" s="77">
        <v>2.5</v>
      </c>
      <c r="T2548" s="77">
        <v>2.5</v>
      </c>
      <c r="U2548" s="77">
        <v>2.5</v>
      </c>
      <c r="V2548" s="77">
        <v>3</v>
      </c>
      <c r="W2548" s="16" t="s">
        <v>171</v>
      </c>
      <c r="Y2548" s="7">
        <v>43858</v>
      </c>
      <c r="Z2548" s="16" t="s">
        <v>66</v>
      </c>
      <c r="AA2548" s="45">
        <v>43891</v>
      </c>
      <c r="AB2548" s="103"/>
    </row>
    <row r="2549" spans="1:28">
      <c r="A2549" s="285"/>
      <c r="C2549" s="25">
        <v>157</v>
      </c>
      <c r="D2549" s="2">
        <v>26268</v>
      </c>
      <c r="E2549" s="2" t="s">
        <v>5618</v>
      </c>
      <c r="F2549" s="3">
        <v>28606250103515</v>
      </c>
      <c r="G2549" s="2" t="s">
        <v>34</v>
      </c>
      <c r="H2549" s="2" t="s">
        <v>5619</v>
      </c>
      <c r="I2549" s="2" t="s">
        <v>4315</v>
      </c>
      <c r="J2549" s="4">
        <v>43800</v>
      </c>
      <c r="K2549" s="2" t="s">
        <v>798</v>
      </c>
      <c r="L2549" s="2" t="s">
        <v>12</v>
      </c>
      <c r="M2549" s="2" t="s">
        <v>3173</v>
      </c>
      <c r="W2549" s="16" t="s">
        <v>63</v>
      </c>
      <c r="Z2549" s="16" t="s">
        <v>67</v>
      </c>
    </row>
    <row r="2550" spans="1:28">
      <c r="A2550" s="285"/>
      <c r="C2550" s="25">
        <v>157</v>
      </c>
      <c r="D2550" s="2">
        <v>26269</v>
      </c>
      <c r="E2550" s="2" t="s">
        <v>5620</v>
      </c>
      <c r="F2550" s="3">
        <v>29310280101271</v>
      </c>
      <c r="G2550" s="2" t="s">
        <v>34</v>
      </c>
      <c r="H2550" s="2" t="s">
        <v>5621</v>
      </c>
      <c r="I2550" s="2" t="s">
        <v>4315</v>
      </c>
      <c r="J2550" s="4">
        <v>43800</v>
      </c>
      <c r="K2550" s="2" t="s">
        <v>798</v>
      </c>
      <c r="L2550" s="2" t="s">
        <v>12</v>
      </c>
      <c r="M2550" s="2" t="s">
        <v>5387</v>
      </c>
      <c r="R2550" s="77">
        <v>3</v>
      </c>
      <c r="S2550" s="77">
        <v>2.5</v>
      </c>
      <c r="T2550" s="77">
        <v>2</v>
      </c>
      <c r="U2550" s="77">
        <v>2.5</v>
      </c>
      <c r="V2550" s="77">
        <v>3</v>
      </c>
      <c r="W2550" s="16" t="s">
        <v>171</v>
      </c>
      <c r="Y2550" s="7">
        <v>43858</v>
      </c>
      <c r="Z2550" s="16" t="s">
        <v>66</v>
      </c>
      <c r="AA2550" s="45">
        <v>43891</v>
      </c>
      <c r="AB2550" s="103"/>
    </row>
    <row r="2551" spans="1:28">
      <c r="A2551" s="285"/>
      <c r="C2551" s="2">
        <v>157</v>
      </c>
      <c r="D2551" s="2">
        <v>26272</v>
      </c>
      <c r="E2551" s="2" t="s">
        <v>5626</v>
      </c>
      <c r="F2551" s="3">
        <v>29208182700532</v>
      </c>
      <c r="G2551" s="2" t="s">
        <v>34</v>
      </c>
      <c r="H2551" s="2" t="s">
        <v>5627</v>
      </c>
      <c r="I2551" s="2" t="s">
        <v>4315</v>
      </c>
      <c r="J2551" s="4">
        <v>43800</v>
      </c>
      <c r="K2551" s="2" t="s">
        <v>798</v>
      </c>
      <c r="L2551" s="2" t="s">
        <v>12</v>
      </c>
      <c r="M2551" s="2" t="s">
        <v>4257</v>
      </c>
      <c r="R2551" s="77">
        <v>3</v>
      </c>
      <c r="S2551" s="77">
        <v>3</v>
      </c>
      <c r="T2551" s="77">
        <v>2</v>
      </c>
      <c r="U2551" s="77">
        <v>2</v>
      </c>
      <c r="V2551" s="77">
        <v>3</v>
      </c>
      <c r="W2551" s="16" t="s">
        <v>4409</v>
      </c>
      <c r="Y2551" s="7">
        <v>43858</v>
      </c>
      <c r="Z2551" s="16" t="s">
        <v>66</v>
      </c>
      <c r="AA2551" s="7">
        <v>43865</v>
      </c>
      <c r="AB2551" s="2" t="s">
        <v>5887</v>
      </c>
    </row>
    <row r="2552" spans="1:28" ht="15.75" thickBot="1">
      <c r="A2552" s="286"/>
      <c r="C2552" s="28">
        <v>157</v>
      </c>
      <c r="D2552" s="28">
        <v>26279</v>
      </c>
      <c r="E2552" s="28" t="s">
        <v>5641</v>
      </c>
      <c r="F2552" s="29">
        <v>29709261500076</v>
      </c>
      <c r="G2552" s="28" t="s">
        <v>34</v>
      </c>
      <c r="H2552" s="28" t="s">
        <v>5642</v>
      </c>
      <c r="I2552" s="39" t="s">
        <v>4315</v>
      </c>
      <c r="J2552" s="41">
        <v>43800</v>
      </c>
      <c r="K2552" s="39" t="s">
        <v>798</v>
      </c>
      <c r="L2552" s="39" t="s">
        <v>12</v>
      </c>
      <c r="M2552" s="39" t="s">
        <v>4257</v>
      </c>
      <c r="N2552" s="39"/>
      <c r="O2552" s="230"/>
      <c r="P2552" s="39"/>
      <c r="Q2552" s="230"/>
      <c r="R2552" s="37">
        <v>3</v>
      </c>
      <c r="S2552" s="37">
        <v>3</v>
      </c>
      <c r="T2552" s="37">
        <v>2.5</v>
      </c>
      <c r="U2552" s="37">
        <v>2</v>
      </c>
      <c r="V2552" s="37">
        <v>3</v>
      </c>
      <c r="W2552" s="28" t="s">
        <v>170</v>
      </c>
      <c r="X2552" s="28"/>
      <c r="Y2552" s="30">
        <v>43858</v>
      </c>
      <c r="Z2552" s="28" t="s">
        <v>66</v>
      </c>
      <c r="AA2552" s="30">
        <v>43859</v>
      </c>
      <c r="AB2552" s="28"/>
    </row>
    <row r="2553" spans="1:28" ht="17.25" customHeight="1" thickTop="1" thickBot="1">
      <c r="A2553" s="135" t="s">
        <v>3120</v>
      </c>
      <c r="C2553" s="111" t="s">
        <v>5798</v>
      </c>
      <c r="D2553" s="111">
        <v>26933</v>
      </c>
      <c r="E2553" s="111" t="s">
        <v>5797</v>
      </c>
      <c r="F2553" s="112">
        <v>29608151301662</v>
      </c>
      <c r="G2553" s="111" t="s">
        <v>34</v>
      </c>
      <c r="H2553" s="121" t="s">
        <v>5799</v>
      </c>
      <c r="I2553" s="111" t="s">
        <v>4315</v>
      </c>
      <c r="J2553" s="113">
        <v>43839</v>
      </c>
      <c r="K2553" s="111" t="s">
        <v>8</v>
      </c>
      <c r="L2553" s="111" t="s">
        <v>12</v>
      </c>
      <c r="M2553" s="111" t="s">
        <v>4257</v>
      </c>
      <c r="N2553" s="111"/>
      <c r="O2553" s="231"/>
      <c r="P2553" s="111"/>
      <c r="Q2553" s="231"/>
      <c r="R2553" s="114">
        <v>3</v>
      </c>
      <c r="S2553" s="114">
        <v>2.5</v>
      </c>
      <c r="T2553" s="114">
        <v>2.5</v>
      </c>
      <c r="U2553" s="114">
        <v>2.5</v>
      </c>
      <c r="V2553" s="114">
        <v>3</v>
      </c>
      <c r="W2553" s="111" t="s">
        <v>60</v>
      </c>
      <c r="X2553" s="111"/>
      <c r="Y2553" s="113">
        <v>43850</v>
      </c>
      <c r="Z2553" s="111" t="s">
        <v>66</v>
      </c>
      <c r="AA2553" s="113">
        <v>43859</v>
      </c>
      <c r="AB2553" s="111" t="s">
        <v>5796</v>
      </c>
    </row>
    <row r="2554" spans="1:28" ht="15.75" thickTop="1">
      <c r="A2554" s="284" t="s">
        <v>4077</v>
      </c>
      <c r="C2554" s="25">
        <v>158</v>
      </c>
      <c r="D2554" s="25">
        <v>26576</v>
      </c>
      <c r="E2554" s="25" t="s">
        <v>5668</v>
      </c>
      <c r="F2554" s="26">
        <v>29208072101684</v>
      </c>
      <c r="G2554" s="25" t="s">
        <v>34</v>
      </c>
      <c r="H2554" s="25" t="s">
        <v>5681</v>
      </c>
      <c r="I2554" s="25"/>
      <c r="J2554" s="27"/>
      <c r="K2554" s="25"/>
      <c r="L2554" s="25"/>
      <c r="M2554" s="25"/>
      <c r="N2554" s="25"/>
      <c r="O2554" s="224"/>
      <c r="P2554" s="25"/>
      <c r="Q2554" s="224"/>
      <c r="R2554" s="92">
        <v>3</v>
      </c>
      <c r="S2554" s="92">
        <v>3</v>
      </c>
      <c r="T2554" s="92">
        <v>2.5</v>
      </c>
      <c r="U2554" s="92">
        <v>2</v>
      </c>
      <c r="V2554" s="92">
        <v>3</v>
      </c>
      <c r="W2554" s="25" t="s">
        <v>60</v>
      </c>
      <c r="X2554" s="25"/>
      <c r="Y2554" s="27">
        <v>43865</v>
      </c>
      <c r="Z2554" s="25" t="s">
        <v>66</v>
      </c>
      <c r="AA2554" s="27">
        <v>43871</v>
      </c>
      <c r="AB2554" s="25"/>
    </row>
    <row r="2555" spans="1:28">
      <c r="A2555" s="285"/>
      <c r="C2555" s="2">
        <v>158</v>
      </c>
      <c r="D2555" s="2">
        <v>26579</v>
      </c>
      <c r="E2555" s="2" t="s">
        <v>5671</v>
      </c>
      <c r="F2555" s="3">
        <v>29709290103221</v>
      </c>
      <c r="G2555" s="2" t="s">
        <v>34</v>
      </c>
      <c r="H2555" s="2" t="s">
        <v>5684</v>
      </c>
      <c r="R2555" s="77">
        <v>3</v>
      </c>
      <c r="S2555" s="77">
        <v>2.5</v>
      </c>
      <c r="T2555" s="77">
        <v>2</v>
      </c>
      <c r="U2555" s="77">
        <v>2.5</v>
      </c>
      <c r="V2555" s="77">
        <v>3</v>
      </c>
      <c r="W2555" s="16" t="s">
        <v>5829</v>
      </c>
      <c r="Y2555" s="7">
        <v>43865</v>
      </c>
      <c r="Z2555" s="16" t="s">
        <v>66</v>
      </c>
      <c r="AA2555" s="45">
        <v>43891</v>
      </c>
      <c r="AB2555" s="2" t="s">
        <v>61</v>
      </c>
    </row>
    <row r="2556" spans="1:28">
      <c r="A2556" s="285"/>
      <c r="C2556" s="2">
        <v>158</v>
      </c>
      <c r="D2556" s="2">
        <v>26584</v>
      </c>
      <c r="E2556" s="2" t="s">
        <v>5676</v>
      </c>
      <c r="F2556" s="3">
        <v>29510240202082</v>
      </c>
      <c r="G2556" s="2" t="s">
        <v>34</v>
      </c>
      <c r="H2556" s="2" t="s">
        <v>5689</v>
      </c>
      <c r="R2556" s="77">
        <v>3</v>
      </c>
      <c r="S2556" s="77">
        <v>3</v>
      </c>
      <c r="T2556" s="77">
        <v>2</v>
      </c>
      <c r="U2556" s="77">
        <v>2</v>
      </c>
      <c r="V2556" s="77">
        <v>3</v>
      </c>
      <c r="W2556" s="16" t="s">
        <v>62</v>
      </c>
      <c r="X2556" s="2" t="s">
        <v>66</v>
      </c>
      <c r="Y2556" s="45">
        <v>43891</v>
      </c>
    </row>
    <row r="2557" spans="1:28">
      <c r="A2557" s="285"/>
      <c r="C2557" s="2">
        <v>158</v>
      </c>
      <c r="D2557" s="2">
        <v>26585</v>
      </c>
      <c r="E2557" s="2" t="s">
        <v>5677</v>
      </c>
      <c r="F2557" s="3">
        <v>29505010401112</v>
      </c>
      <c r="G2557" s="2" t="s">
        <v>34</v>
      </c>
      <c r="H2557" s="2" t="s">
        <v>5690</v>
      </c>
      <c r="R2557" s="77">
        <v>3</v>
      </c>
      <c r="S2557" s="77">
        <v>2.5</v>
      </c>
      <c r="T2557" s="77">
        <v>2.5</v>
      </c>
      <c r="U2557" s="77">
        <v>2.5</v>
      </c>
      <c r="V2557" s="77">
        <v>3</v>
      </c>
      <c r="W2557" s="16" t="s">
        <v>170</v>
      </c>
      <c r="X2557" s="2" t="s">
        <v>66</v>
      </c>
      <c r="Y2557" s="45">
        <v>43891</v>
      </c>
      <c r="Z2557" s="16" t="s">
        <v>66</v>
      </c>
      <c r="AA2557" s="7">
        <v>43892</v>
      </c>
    </row>
    <row r="2558" spans="1:28">
      <c r="A2558" s="285"/>
      <c r="C2558" s="2">
        <v>158</v>
      </c>
      <c r="D2558" s="2">
        <v>26586</v>
      </c>
      <c r="E2558" s="2" t="s">
        <v>5678</v>
      </c>
      <c r="F2558" s="3">
        <v>29708251304361</v>
      </c>
      <c r="G2558" s="2" t="s">
        <v>34</v>
      </c>
      <c r="H2558" s="2" t="s">
        <v>5691</v>
      </c>
      <c r="R2558" s="77">
        <v>3</v>
      </c>
      <c r="S2558" s="77">
        <v>3</v>
      </c>
      <c r="T2558" s="77">
        <v>3</v>
      </c>
      <c r="U2558" s="77">
        <v>2.5</v>
      </c>
      <c r="V2558" s="77">
        <v>3</v>
      </c>
      <c r="W2558" s="16" t="s">
        <v>60</v>
      </c>
      <c r="X2558" s="2" t="s">
        <v>66</v>
      </c>
      <c r="Y2558" s="45">
        <v>43891</v>
      </c>
      <c r="Z2558" s="16" t="s">
        <v>66</v>
      </c>
      <c r="AA2558" s="45">
        <v>43892</v>
      </c>
    </row>
    <row r="2559" spans="1:28">
      <c r="A2559" s="285"/>
      <c r="C2559" s="2">
        <v>158</v>
      </c>
      <c r="D2559" s="2">
        <v>26622</v>
      </c>
      <c r="E2559" s="2" t="s">
        <v>5814</v>
      </c>
      <c r="F2559" s="3" t="s">
        <v>5823</v>
      </c>
      <c r="G2559" s="2" t="s">
        <v>34</v>
      </c>
      <c r="H2559" s="8" t="s">
        <v>5830</v>
      </c>
      <c r="I2559" s="2" t="s">
        <v>4315</v>
      </c>
      <c r="J2559" s="4">
        <v>43837</v>
      </c>
      <c r="K2559" s="2" t="s">
        <v>8</v>
      </c>
      <c r="L2559" s="2" t="s">
        <v>12</v>
      </c>
      <c r="M2559" s="2" t="s">
        <v>551</v>
      </c>
      <c r="R2559" s="77">
        <v>3</v>
      </c>
      <c r="S2559" s="77">
        <v>2.5</v>
      </c>
      <c r="T2559" s="77">
        <v>2.5</v>
      </c>
      <c r="U2559" s="77">
        <v>2.5</v>
      </c>
      <c r="V2559" s="77">
        <v>3</v>
      </c>
      <c r="W2559" s="16" t="s">
        <v>170</v>
      </c>
      <c r="X2559" s="2" t="s">
        <v>66</v>
      </c>
      <c r="Y2559" s="45">
        <v>43891</v>
      </c>
      <c r="Z2559" s="16" t="s">
        <v>66</v>
      </c>
      <c r="AA2559" s="45">
        <v>43892</v>
      </c>
    </row>
    <row r="2560" spans="1:28">
      <c r="A2560" s="285"/>
      <c r="C2560" s="2">
        <v>158</v>
      </c>
      <c r="D2560" s="2">
        <v>26623</v>
      </c>
      <c r="E2560" s="2" t="s">
        <v>5815</v>
      </c>
      <c r="F2560" s="3" t="s">
        <v>5824</v>
      </c>
      <c r="G2560" s="2" t="s">
        <v>34</v>
      </c>
      <c r="H2560" s="8" t="s">
        <v>6258</v>
      </c>
      <c r="I2560" s="2" t="s">
        <v>4315</v>
      </c>
      <c r="J2560" s="4">
        <v>43837</v>
      </c>
      <c r="K2560" s="2" t="s">
        <v>8</v>
      </c>
      <c r="L2560" s="2" t="s">
        <v>12</v>
      </c>
      <c r="M2560" s="2" t="s">
        <v>4493</v>
      </c>
      <c r="R2560" s="77">
        <v>3</v>
      </c>
      <c r="S2560" s="77">
        <v>2.5</v>
      </c>
      <c r="T2560" s="77">
        <v>2.5</v>
      </c>
      <c r="U2560" s="77">
        <v>2</v>
      </c>
      <c r="V2560" s="77">
        <v>3</v>
      </c>
      <c r="W2560" s="16" t="s">
        <v>502</v>
      </c>
      <c r="X2560" s="2" t="s">
        <v>66</v>
      </c>
      <c r="Y2560" s="45">
        <v>43891</v>
      </c>
      <c r="Z2560" s="16" t="s">
        <v>66</v>
      </c>
      <c r="AA2560" s="7">
        <v>43898</v>
      </c>
    </row>
    <row r="2561" spans="1:28">
      <c r="A2561" s="285"/>
      <c r="C2561" s="2">
        <v>158</v>
      </c>
      <c r="D2561" s="2">
        <v>26624</v>
      </c>
      <c r="E2561" s="2" t="s">
        <v>5816</v>
      </c>
      <c r="F2561" s="3">
        <v>29509040103847</v>
      </c>
      <c r="G2561" s="2" t="s">
        <v>34</v>
      </c>
      <c r="H2561" s="8" t="s">
        <v>5831</v>
      </c>
      <c r="I2561" s="2" t="s">
        <v>4315</v>
      </c>
      <c r="J2561" s="4">
        <v>43837</v>
      </c>
      <c r="K2561" s="2" t="s">
        <v>8</v>
      </c>
      <c r="L2561" s="2" t="s">
        <v>12</v>
      </c>
      <c r="M2561" s="2" t="s">
        <v>5825</v>
      </c>
      <c r="R2561" s="77">
        <v>3</v>
      </c>
      <c r="S2561" s="77">
        <v>3</v>
      </c>
      <c r="T2561" s="77">
        <v>2.5</v>
      </c>
      <c r="U2561" s="77">
        <v>2.5</v>
      </c>
      <c r="V2561" s="77">
        <v>3</v>
      </c>
      <c r="W2561" s="16" t="s">
        <v>502</v>
      </c>
      <c r="Y2561" s="7">
        <v>43865</v>
      </c>
      <c r="Z2561" s="16" t="s">
        <v>66</v>
      </c>
      <c r="AA2561" s="7">
        <v>43898</v>
      </c>
      <c r="AB2561" s="2" t="s">
        <v>6273</v>
      </c>
    </row>
    <row r="2562" spans="1:28">
      <c r="A2562" s="285"/>
      <c r="C2562" s="2">
        <v>158</v>
      </c>
      <c r="D2562" s="2">
        <v>26625</v>
      </c>
      <c r="E2562" s="2" t="s">
        <v>5817</v>
      </c>
      <c r="F2562" s="3" t="s">
        <v>5826</v>
      </c>
      <c r="G2562" s="2" t="s">
        <v>34</v>
      </c>
      <c r="H2562" s="8" t="s">
        <v>5832</v>
      </c>
      <c r="I2562" s="2" t="s">
        <v>4315</v>
      </c>
      <c r="J2562" s="4">
        <v>43837</v>
      </c>
      <c r="K2562" s="2" t="s">
        <v>8</v>
      </c>
      <c r="L2562" s="2" t="s">
        <v>12</v>
      </c>
      <c r="M2562" s="2" t="s">
        <v>109</v>
      </c>
      <c r="R2562" s="77">
        <v>3</v>
      </c>
      <c r="S2562" s="77">
        <v>2.5</v>
      </c>
      <c r="T2562" s="77">
        <v>2.5</v>
      </c>
      <c r="U2562" s="77">
        <v>2.5</v>
      </c>
      <c r="V2562" s="77">
        <v>3</v>
      </c>
      <c r="W2562" s="16" t="s">
        <v>5829</v>
      </c>
      <c r="Y2562" s="7">
        <v>43865</v>
      </c>
      <c r="Z2562" s="16" t="s">
        <v>66</v>
      </c>
      <c r="AA2562" s="45">
        <v>43891</v>
      </c>
      <c r="AB2562" s="103" t="s">
        <v>61</v>
      </c>
    </row>
    <row r="2563" spans="1:28">
      <c r="A2563" s="285"/>
      <c r="C2563" s="2">
        <v>158</v>
      </c>
      <c r="D2563" s="2">
        <v>26626</v>
      </c>
      <c r="E2563" s="2" t="s">
        <v>5818</v>
      </c>
      <c r="F2563" s="3">
        <v>28910270103075</v>
      </c>
      <c r="G2563" s="2" t="s">
        <v>34</v>
      </c>
      <c r="H2563" s="8" t="s">
        <v>5833</v>
      </c>
      <c r="I2563" s="2" t="s">
        <v>4315</v>
      </c>
      <c r="J2563" s="4">
        <v>43837</v>
      </c>
      <c r="K2563" s="2" t="s">
        <v>8</v>
      </c>
      <c r="L2563" s="2" t="s">
        <v>12</v>
      </c>
      <c r="M2563" s="2" t="s">
        <v>5827</v>
      </c>
      <c r="R2563" s="77">
        <v>3</v>
      </c>
      <c r="S2563" s="77">
        <v>2.5</v>
      </c>
      <c r="T2563" s="77">
        <v>1.5</v>
      </c>
      <c r="U2563" s="77">
        <v>2</v>
      </c>
      <c r="V2563" s="77">
        <v>3</v>
      </c>
      <c r="W2563" s="16" t="s">
        <v>62</v>
      </c>
      <c r="Y2563" s="7">
        <v>43865</v>
      </c>
      <c r="Z2563" s="16" t="s">
        <v>66</v>
      </c>
      <c r="AA2563" s="7">
        <v>43873</v>
      </c>
      <c r="AB2563" s="2" t="s">
        <v>6307</v>
      </c>
    </row>
    <row r="2564" spans="1:28">
      <c r="A2564" s="285"/>
      <c r="C2564" s="2">
        <v>158</v>
      </c>
      <c r="D2564" s="2">
        <v>26627</v>
      </c>
      <c r="E2564" s="2" t="s">
        <v>5819</v>
      </c>
      <c r="F2564" s="3">
        <v>29601030100975</v>
      </c>
      <c r="G2564" s="2" t="s">
        <v>34</v>
      </c>
      <c r="H2564" s="8" t="s">
        <v>5834</v>
      </c>
      <c r="I2564" s="2" t="s">
        <v>4315</v>
      </c>
      <c r="J2564" s="4">
        <v>43837</v>
      </c>
      <c r="K2564" s="2" t="s">
        <v>8</v>
      </c>
      <c r="L2564" s="2" t="s">
        <v>12</v>
      </c>
      <c r="M2564" s="2" t="s">
        <v>769</v>
      </c>
      <c r="R2564" s="77">
        <v>3</v>
      </c>
      <c r="S2564" s="77">
        <v>2.5</v>
      </c>
      <c r="T2564" s="77">
        <v>2.5</v>
      </c>
      <c r="U2564" s="77">
        <v>2.5</v>
      </c>
      <c r="V2564" s="77">
        <v>3</v>
      </c>
      <c r="W2564" s="16" t="s">
        <v>502</v>
      </c>
      <c r="X2564" s="2" t="s">
        <v>66</v>
      </c>
      <c r="Y2564" s="45">
        <v>43891</v>
      </c>
      <c r="Z2564" s="16" t="s">
        <v>66</v>
      </c>
      <c r="AA2564" s="7">
        <v>43898</v>
      </c>
    </row>
    <row r="2565" spans="1:28">
      <c r="A2565" s="285"/>
      <c r="C2565" s="2">
        <v>158</v>
      </c>
      <c r="D2565" s="2">
        <v>26628</v>
      </c>
      <c r="E2565" s="2" t="s">
        <v>5820</v>
      </c>
      <c r="F2565" s="3" t="s">
        <v>5828</v>
      </c>
      <c r="G2565" s="2" t="s">
        <v>34</v>
      </c>
      <c r="H2565" s="8" t="s">
        <v>5835</v>
      </c>
      <c r="I2565" s="2" t="s">
        <v>4315</v>
      </c>
      <c r="J2565" s="4">
        <v>43837</v>
      </c>
      <c r="K2565" s="2" t="s">
        <v>8</v>
      </c>
      <c r="L2565" s="2" t="s">
        <v>12</v>
      </c>
      <c r="M2565" s="2" t="s">
        <v>4493</v>
      </c>
      <c r="R2565" s="77">
        <v>3</v>
      </c>
      <c r="S2565" s="77">
        <v>2.5</v>
      </c>
      <c r="T2565" s="77">
        <v>2</v>
      </c>
      <c r="U2565" s="77">
        <v>2</v>
      </c>
      <c r="V2565" s="77">
        <v>3</v>
      </c>
      <c r="W2565" s="16" t="s">
        <v>62</v>
      </c>
      <c r="Y2565" s="7">
        <v>43865</v>
      </c>
    </row>
    <row r="2566" spans="1:28">
      <c r="A2566" s="285"/>
      <c r="C2566" s="2">
        <v>158</v>
      </c>
      <c r="D2566" s="2">
        <v>26629</v>
      </c>
      <c r="E2566" s="2" t="s">
        <v>5821</v>
      </c>
      <c r="F2566" s="3">
        <v>29604171201995</v>
      </c>
      <c r="G2566" s="2" t="s">
        <v>34</v>
      </c>
      <c r="H2566" s="8" t="s">
        <v>5836</v>
      </c>
      <c r="I2566" s="2" t="s">
        <v>4315</v>
      </c>
      <c r="J2566" s="4">
        <v>43837</v>
      </c>
      <c r="K2566" s="2" t="s">
        <v>8</v>
      </c>
      <c r="L2566" s="2" t="s">
        <v>12</v>
      </c>
      <c r="M2566" s="2" t="s">
        <v>53</v>
      </c>
      <c r="R2566" s="77">
        <v>3</v>
      </c>
      <c r="S2566" s="77">
        <v>3</v>
      </c>
      <c r="T2566" s="77">
        <v>2.5</v>
      </c>
      <c r="U2566" s="77">
        <v>3</v>
      </c>
      <c r="V2566" s="77">
        <v>3</v>
      </c>
      <c r="W2566" s="16" t="s">
        <v>502</v>
      </c>
      <c r="Y2566" s="7">
        <v>43865</v>
      </c>
      <c r="Z2566" s="16" t="s">
        <v>66</v>
      </c>
      <c r="AA2566" s="7">
        <v>43898</v>
      </c>
      <c r="AB2566" s="2" t="s">
        <v>6272</v>
      </c>
    </row>
    <row r="2567" spans="1:28">
      <c r="A2567" s="285"/>
      <c r="C2567" s="2">
        <v>158</v>
      </c>
      <c r="D2567" s="2">
        <v>26630</v>
      </c>
      <c r="E2567" s="2" t="s">
        <v>5822</v>
      </c>
      <c r="F2567" s="3">
        <v>29809012101972</v>
      </c>
      <c r="G2567" s="2" t="s">
        <v>4977</v>
      </c>
      <c r="H2567" s="8" t="s">
        <v>5837</v>
      </c>
      <c r="I2567" s="2" t="s">
        <v>4315</v>
      </c>
      <c r="J2567" s="4">
        <v>43837</v>
      </c>
      <c r="K2567" s="2" t="s">
        <v>8</v>
      </c>
      <c r="L2567" s="2" t="s">
        <v>12</v>
      </c>
      <c r="M2567" s="2" t="s">
        <v>5825</v>
      </c>
      <c r="R2567" s="77">
        <v>3</v>
      </c>
      <c r="S2567" s="77">
        <v>2.5</v>
      </c>
      <c r="T2567" s="77">
        <v>2.5</v>
      </c>
      <c r="U2567" s="77">
        <v>2.5</v>
      </c>
      <c r="V2567" s="77">
        <v>3</v>
      </c>
      <c r="W2567" s="16" t="s">
        <v>170</v>
      </c>
      <c r="Y2567" s="7">
        <v>43865</v>
      </c>
      <c r="Z2567" s="16" t="s">
        <v>66</v>
      </c>
      <c r="AA2567" s="7">
        <v>43871</v>
      </c>
      <c r="AB2567" s="2" t="s">
        <v>5888</v>
      </c>
    </row>
    <row r="2568" spans="1:28" ht="15.75" thickBot="1">
      <c r="A2568" s="286"/>
      <c r="C2568" s="28">
        <v>158</v>
      </c>
      <c r="D2568" s="28">
        <v>25375</v>
      </c>
      <c r="E2568" s="28" t="s">
        <v>5264</v>
      </c>
      <c r="F2568" s="29">
        <v>30108262100863</v>
      </c>
      <c r="G2568" s="28" t="s">
        <v>3911</v>
      </c>
      <c r="H2568" s="78" t="s">
        <v>5265</v>
      </c>
      <c r="I2568" s="28" t="s">
        <v>4305</v>
      </c>
      <c r="J2568" s="30">
        <v>43837</v>
      </c>
      <c r="K2568" s="28" t="s">
        <v>8</v>
      </c>
      <c r="L2568" s="28" t="s">
        <v>12</v>
      </c>
      <c r="M2568" s="28" t="s">
        <v>4493</v>
      </c>
      <c r="N2568" s="28"/>
      <c r="O2568" s="226"/>
      <c r="P2568" s="28"/>
      <c r="Q2568" s="226"/>
      <c r="R2568" s="37">
        <v>3</v>
      </c>
      <c r="S2568" s="37">
        <v>2.5</v>
      </c>
      <c r="T2568" s="37">
        <v>2</v>
      </c>
      <c r="U2568" s="37">
        <v>2.5</v>
      </c>
      <c r="V2568" s="37">
        <v>3</v>
      </c>
      <c r="W2568" s="28" t="s">
        <v>61</v>
      </c>
      <c r="X2568" s="28"/>
      <c r="Y2568" s="30">
        <v>43865</v>
      </c>
      <c r="Z2568" s="28" t="s">
        <v>66</v>
      </c>
      <c r="AA2568" s="30">
        <v>43891</v>
      </c>
      <c r="AB2568" s="28"/>
    </row>
    <row r="2569" spans="1:28" ht="15.75" thickTop="1">
      <c r="A2569" s="284" t="s">
        <v>4519</v>
      </c>
      <c r="C2569" s="25">
        <v>159</v>
      </c>
      <c r="D2569" s="25">
        <v>26932</v>
      </c>
      <c r="E2569" s="25" t="s">
        <v>5838</v>
      </c>
      <c r="F2569" s="26">
        <v>29201041700089</v>
      </c>
      <c r="G2569" s="25" t="s">
        <v>5383</v>
      </c>
      <c r="H2569" s="25" t="s">
        <v>5839</v>
      </c>
      <c r="I2569" s="25" t="s">
        <v>4315</v>
      </c>
      <c r="J2569" s="27">
        <v>43839</v>
      </c>
      <c r="K2569" s="25" t="s">
        <v>8</v>
      </c>
      <c r="L2569" s="25" t="s">
        <v>12</v>
      </c>
      <c r="M2569" s="25" t="s">
        <v>5152</v>
      </c>
      <c r="N2569" s="25"/>
      <c r="O2569" s="224"/>
      <c r="P2569" s="25"/>
      <c r="Q2569" s="224"/>
      <c r="R2569" s="77">
        <v>3</v>
      </c>
      <c r="S2569" s="77">
        <v>2</v>
      </c>
      <c r="T2569" s="77">
        <v>2</v>
      </c>
      <c r="U2569" s="77">
        <v>2</v>
      </c>
      <c r="V2569" s="77">
        <v>3</v>
      </c>
      <c r="W2569" s="25" t="s">
        <v>62</v>
      </c>
      <c r="X2569" s="25"/>
      <c r="Y2569" s="27">
        <v>43870</v>
      </c>
      <c r="Z2569" s="25" t="s">
        <v>66</v>
      </c>
      <c r="AA2569" s="27">
        <v>43906</v>
      </c>
      <c r="AB2569" s="25"/>
    </row>
    <row r="2570" spans="1:28">
      <c r="A2570" s="285"/>
      <c r="C2570" s="25">
        <v>159</v>
      </c>
      <c r="D2570" s="2">
        <v>26934</v>
      </c>
      <c r="E2570" s="2" t="s">
        <v>5840</v>
      </c>
      <c r="F2570" s="3" t="s">
        <v>5841</v>
      </c>
      <c r="G2570" s="2" t="s">
        <v>34</v>
      </c>
      <c r="H2570" s="2" t="s">
        <v>5842</v>
      </c>
      <c r="I2570" s="2" t="s">
        <v>4315</v>
      </c>
      <c r="J2570" s="4">
        <v>43839</v>
      </c>
      <c r="K2570" s="2" t="s">
        <v>8</v>
      </c>
      <c r="L2570" s="2" t="s">
        <v>12</v>
      </c>
      <c r="M2570" s="2" t="s">
        <v>551</v>
      </c>
      <c r="R2570" s="77">
        <v>3</v>
      </c>
      <c r="S2570" s="77">
        <v>2</v>
      </c>
      <c r="T2570" s="77">
        <v>2.5</v>
      </c>
      <c r="U2570" s="77">
        <v>2</v>
      </c>
      <c r="V2570" s="77">
        <v>3</v>
      </c>
      <c r="W2570" s="16" t="s">
        <v>62</v>
      </c>
      <c r="Y2570" s="7">
        <v>43870</v>
      </c>
      <c r="Z2570" s="16" t="s">
        <v>66</v>
      </c>
      <c r="AA2570" s="45">
        <v>43873</v>
      </c>
    </row>
    <row r="2571" spans="1:28">
      <c r="A2571" s="285"/>
      <c r="C2571" s="25">
        <v>159</v>
      </c>
      <c r="D2571" s="2">
        <v>26935</v>
      </c>
      <c r="E2571" s="2" t="s">
        <v>5843</v>
      </c>
      <c r="F2571" s="3">
        <v>29709170103368</v>
      </c>
      <c r="G2571" s="2" t="s">
        <v>34</v>
      </c>
      <c r="H2571" s="2" t="s">
        <v>5844</v>
      </c>
      <c r="I2571" s="2" t="s">
        <v>4315</v>
      </c>
      <c r="J2571" s="4">
        <v>43839</v>
      </c>
      <c r="K2571" s="2" t="s">
        <v>8</v>
      </c>
      <c r="L2571" s="2" t="s">
        <v>12</v>
      </c>
      <c r="M2571" s="2" t="s">
        <v>4257</v>
      </c>
      <c r="R2571" s="77">
        <v>3</v>
      </c>
      <c r="S2571" s="77">
        <v>3</v>
      </c>
      <c r="T2571" s="77">
        <v>2.5</v>
      </c>
      <c r="U2571" s="77">
        <v>2</v>
      </c>
      <c r="V2571" s="77">
        <v>3</v>
      </c>
      <c r="W2571" s="16" t="s">
        <v>170</v>
      </c>
      <c r="Y2571" s="7">
        <v>43870</v>
      </c>
      <c r="Z2571" s="16" t="s">
        <v>66</v>
      </c>
      <c r="AA2571" s="7">
        <v>43878</v>
      </c>
    </row>
    <row r="2572" spans="1:28">
      <c r="A2572" s="285"/>
      <c r="C2572" s="25">
        <v>159</v>
      </c>
      <c r="D2572" s="2">
        <v>26936</v>
      </c>
      <c r="E2572" s="2" t="s">
        <v>5845</v>
      </c>
      <c r="F2572" s="3">
        <v>28603260103085</v>
      </c>
      <c r="G2572" s="2" t="s">
        <v>34</v>
      </c>
      <c r="H2572" s="2" t="s">
        <v>5846</v>
      </c>
      <c r="I2572" s="2" t="s">
        <v>4315</v>
      </c>
      <c r="J2572" s="4">
        <v>43839</v>
      </c>
      <c r="K2572" s="2" t="s">
        <v>8</v>
      </c>
      <c r="L2572" s="2" t="s">
        <v>12</v>
      </c>
      <c r="M2572" s="2" t="s">
        <v>5847</v>
      </c>
      <c r="R2572" s="77">
        <v>3</v>
      </c>
      <c r="S2572" s="77">
        <v>2</v>
      </c>
      <c r="T2572" s="77">
        <v>2</v>
      </c>
      <c r="U2572" s="77">
        <v>2</v>
      </c>
      <c r="V2572" s="77">
        <v>3</v>
      </c>
      <c r="W2572" s="16" t="s">
        <v>62</v>
      </c>
      <c r="Y2572" s="7">
        <v>43870</v>
      </c>
      <c r="Z2572" s="16" t="s">
        <v>66</v>
      </c>
      <c r="AA2572" s="45">
        <v>43873</v>
      </c>
    </row>
    <row r="2573" spans="1:28">
      <c r="A2573" s="285"/>
      <c r="C2573" s="25">
        <v>159</v>
      </c>
      <c r="D2573" s="2">
        <v>26937</v>
      </c>
      <c r="E2573" s="2" t="s">
        <v>5848</v>
      </c>
      <c r="F2573" s="3" t="s">
        <v>5849</v>
      </c>
      <c r="G2573" s="2" t="s">
        <v>34</v>
      </c>
      <c r="H2573" s="2" t="s">
        <v>5850</v>
      </c>
      <c r="I2573" s="2" t="s">
        <v>4315</v>
      </c>
      <c r="J2573" s="4">
        <v>43839</v>
      </c>
      <c r="K2573" s="2" t="s">
        <v>8</v>
      </c>
      <c r="L2573" s="2" t="s">
        <v>12</v>
      </c>
      <c r="M2573" s="2" t="s">
        <v>5276</v>
      </c>
      <c r="R2573" s="77">
        <v>3</v>
      </c>
      <c r="S2573" s="77">
        <v>1.5</v>
      </c>
      <c r="T2573" s="77">
        <v>2</v>
      </c>
      <c r="U2573" s="77">
        <v>2</v>
      </c>
      <c r="V2573" s="77">
        <v>3</v>
      </c>
      <c r="W2573" s="16" t="s">
        <v>3321</v>
      </c>
      <c r="Y2573" s="7">
        <v>43870</v>
      </c>
      <c r="Z2573" s="16" t="s">
        <v>66</v>
      </c>
      <c r="AA2573" s="7">
        <v>43873</v>
      </c>
      <c r="AB2573" s="2" t="s">
        <v>5134</v>
      </c>
    </row>
    <row r="2574" spans="1:28">
      <c r="A2574" s="285"/>
      <c r="C2574" s="25">
        <v>159</v>
      </c>
      <c r="D2574" s="2">
        <v>26938</v>
      </c>
      <c r="E2574" s="2" t="s">
        <v>5851</v>
      </c>
      <c r="F2574" s="3">
        <v>29711088800128</v>
      </c>
      <c r="G2574" s="2" t="s">
        <v>34</v>
      </c>
      <c r="H2574" s="2" t="s">
        <v>5852</v>
      </c>
      <c r="I2574" s="2" t="s">
        <v>4315</v>
      </c>
      <c r="J2574" s="4">
        <v>43839</v>
      </c>
      <c r="K2574" s="2" t="s">
        <v>8</v>
      </c>
      <c r="L2574" s="2" t="s">
        <v>12</v>
      </c>
      <c r="M2574" s="2" t="s">
        <v>149</v>
      </c>
      <c r="R2574" s="77">
        <v>3</v>
      </c>
      <c r="S2574" s="77">
        <v>2.5</v>
      </c>
      <c r="T2574" s="77">
        <v>2.5</v>
      </c>
      <c r="U2574" s="77">
        <v>2.5</v>
      </c>
      <c r="V2574" s="77">
        <v>3</v>
      </c>
      <c r="W2574" s="16" t="s">
        <v>60</v>
      </c>
      <c r="X2574" s="2" t="s">
        <v>66</v>
      </c>
      <c r="Y2574" s="45">
        <v>43891</v>
      </c>
      <c r="Z2574" s="16" t="s">
        <v>66</v>
      </c>
      <c r="AA2574" s="7">
        <v>43892</v>
      </c>
    </row>
    <row r="2575" spans="1:28">
      <c r="A2575" s="285"/>
      <c r="C2575" s="25">
        <v>159</v>
      </c>
      <c r="D2575" s="2">
        <v>26939</v>
      </c>
      <c r="E2575" s="2" t="s">
        <v>5853</v>
      </c>
      <c r="F2575" s="3">
        <v>29801010125571</v>
      </c>
      <c r="G2575" s="2" t="s">
        <v>4025</v>
      </c>
      <c r="H2575" s="2" t="s">
        <v>5854</v>
      </c>
      <c r="I2575" s="2" t="s">
        <v>4315</v>
      </c>
      <c r="J2575" s="4">
        <v>43839</v>
      </c>
      <c r="K2575" s="2" t="s">
        <v>8</v>
      </c>
      <c r="L2575" s="2" t="s">
        <v>12</v>
      </c>
      <c r="M2575" s="2" t="s">
        <v>149</v>
      </c>
      <c r="R2575" s="77">
        <v>3</v>
      </c>
      <c r="S2575" s="77">
        <v>2.5</v>
      </c>
      <c r="T2575" s="77">
        <v>2.5</v>
      </c>
      <c r="U2575" s="77">
        <v>2.5</v>
      </c>
      <c r="V2575" s="77">
        <v>3</v>
      </c>
      <c r="W2575" s="16" t="s">
        <v>60</v>
      </c>
      <c r="X2575" s="2" t="s">
        <v>66</v>
      </c>
      <c r="Y2575" s="45">
        <v>43891</v>
      </c>
      <c r="Z2575" s="16" t="s">
        <v>66</v>
      </c>
      <c r="AA2575" s="7">
        <v>43906</v>
      </c>
    </row>
    <row r="2576" spans="1:28">
      <c r="A2576" s="285"/>
      <c r="C2576" s="25">
        <v>159</v>
      </c>
      <c r="D2576" s="2">
        <v>26940</v>
      </c>
      <c r="E2576" s="2" t="s">
        <v>5855</v>
      </c>
      <c r="F2576" s="3">
        <v>29412022101671</v>
      </c>
      <c r="G2576" s="2" t="s">
        <v>5856</v>
      </c>
      <c r="H2576" s="2" t="s">
        <v>5857</v>
      </c>
      <c r="I2576" s="2" t="s">
        <v>4315</v>
      </c>
      <c r="J2576" s="4">
        <v>43839</v>
      </c>
      <c r="K2576" s="2" t="s">
        <v>8</v>
      </c>
      <c r="L2576" s="2" t="s">
        <v>12</v>
      </c>
      <c r="M2576" s="2" t="s">
        <v>4706</v>
      </c>
      <c r="R2576" s="77">
        <v>3</v>
      </c>
      <c r="S2576" s="77">
        <v>2</v>
      </c>
      <c r="T2576" s="77">
        <v>2.5</v>
      </c>
      <c r="U2576" s="77">
        <v>2</v>
      </c>
      <c r="V2576" s="77">
        <v>3</v>
      </c>
      <c r="W2576" s="16" t="s">
        <v>62</v>
      </c>
      <c r="X2576" s="2" t="s">
        <v>66</v>
      </c>
      <c r="Y2576" s="45">
        <v>43891</v>
      </c>
      <c r="Z2576" s="16" t="s">
        <v>66</v>
      </c>
      <c r="AA2576" s="7">
        <v>43893</v>
      </c>
      <c r="AB2576" s="2" t="s">
        <v>6256</v>
      </c>
    </row>
    <row r="2577" spans="1:28">
      <c r="A2577" s="285"/>
      <c r="C2577" s="25">
        <v>159</v>
      </c>
      <c r="D2577" s="2">
        <v>26941</v>
      </c>
      <c r="E2577" s="2" t="s">
        <v>5858</v>
      </c>
      <c r="F2577" s="3">
        <v>28712013400038</v>
      </c>
      <c r="G2577" s="2" t="s">
        <v>34</v>
      </c>
      <c r="H2577" s="2" t="s">
        <v>5859</v>
      </c>
      <c r="I2577" s="2" t="s">
        <v>4315</v>
      </c>
      <c r="J2577" s="4">
        <v>43839</v>
      </c>
      <c r="K2577" s="2" t="s">
        <v>8</v>
      </c>
      <c r="L2577" s="2" t="s">
        <v>12</v>
      </c>
      <c r="M2577" s="2" t="s">
        <v>5478</v>
      </c>
      <c r="R2577" s="77">
        <v>3</v>
      </c>
      <c r="S2577" s="77">
        <v>2.5</v>
      </c>
      <c r="T2577" s="77">
        <v>2</v>
      </c>
      <c r="U2577" s="77">
        <v>2</v>
      </c>
      <c r="V2577" s="77">
        <v>3</v>
      </c>
      <c r="W2577" s="16" t="s">
        <v>62</v>
      </c>
      <c r="Y2577" s="7">
        <v>43870</v>
      </c>
      <c r="Z2577" s="16" t="s">
        <v>67</v>
      </c>
      <c r="AB2577" s="2" t="s">
        <v>5969</v>
      </c>
    </row>
    <row r="2578" spans="1:28" ht="15.75" thickBot="1">
      <c r="A2578" s="286"/>
      <c r="C2578" s="28">
        <v>159</v>
      </c>
      <c r="D2578" s="28">
        <v>26574</v>
      </c>
      <c r="E2578" s="28" t="s">
        <v>5666</v>
      </c>
      <c r="F2578" s="29">
        <v>29401252403411</v>
      </c>
      <c r="G2578" s="28" t="s">
        <v>4131</v>
      </c>
      <c r="H2578" s="28" t="s">
        <v>5679</v>
      </c>
      <c r="I2578" s="28"/>
      <c r="J2578" s="30"/>
      <c r="K2578" s="28"/>
      <c r="L2578" s="28"/>
      <c r="M2578" s="28"/>
      <c r="N2578" s="28"/>
      <c r="O2578" s="226"/>
      <c r="P2578" s="28"/>
      <c r="Q2578" s="226"/>
      <c r="R2578" s="37">
        <v>3</v>
      </c>
      <c r="S2578" s="37">
        <v>2.5</v>
      </c>
      <c r="T2578" s="37">
        <v>2</v>
      </c>
      <c r="U2578" s="37">
        <v>2.5</v>
      </c>
      <c r="V2578" s="37">
        <v>3</v>
      </c>
      <c r="W2578" s="28" t="s">
        <v>171</v>
      </c>
      <c r="X2578" s="28"/>
      <c r="Y2578" s="30">
        <v>43870</v>
      </c>
      <c r="Z2578" s="28" t="s">
        <v>66</v>
      </c>
      <c r="AA2578" s="30">
        <v>43891</v>
      </c>
      <c r="AB2578" s="28"/>
    </row>
    <row r="2579" spans="1:28" ht="18" customHeight="1" thickTop="1" thickBot="1">
      <c r="A2579" s="135" t="s">
        <v>3120</v>
      </c>
      <c r="C2579" s="111" t="s">
        <v>6050</v>
      </c>
      <c r="D2579" s="111">
        <v>27067</v>
      </c>
      <c r="E2579" s="111" t="s">
        <v>6049</v>
      </c>
      <c r="F2579" s="112">
        <v>29703010103983</v>
      </c>
      <c r="G2579" s="111" t="s">
        <v>34</v>
      </c>
      <c r="H2579" s="121" t="s">
        <v>5885</v>
      </c>
      <c r="I2579" s="111" t="s">
        <v>4315</v>
      </c>
      <c r="J2579" s="113">
        <v>43860</v>
      </c>
      <c r="K2579" s="111" t="s">
        <v>798</v>
      </c>
      <c r="L2579" s="111" t="s">
        <v>12</v>
      </c>
      <c r="M2579" s="111" t="s">
        <v>109</v>
      </c>
      <c r="N2579" s="111"/>
      <c r="O2579" s="231"/>
      <c r="P2579" s="111"/>
      <c r="Q2579" s="231"/>
      <c r="R2579" s="114">
        <v>3</v>
      </c>
      <c r="S2579" s="114">
        <v>3</v>
      </c>
      <c r="T2579" s="114">
        <v>3</v>
      </c>
      <c r="U2579" s="114">
        <v>2.5</v>
      </c>
      <c r="V2579" s="114">
        <v>3</v>
      </c>
      <c r="W2579" s="111" t="s">
        <v>60</v>
      </c>
      <c r="X2579" s="111"/>
      <c r="Y2579" s="113">
        <v>43872</v>
      </c>
      <c r="Z2579" s="111" t="s">
        <v>66</v>
      </c>
      <c r="AA2579" s="113">
        <v>43878</v>
      </c>
      <c r="AB2579" s="111" t="s">
        <v>6404</v>
      </c>
    </row>
    <row r="2580" spans="1:28" ht="15.75" thickTop="1">
      <c r="A2580" s="284" t="s">
        <v>5262</v>
      </c>
      <c r="C2580" s="25" t="s">
        <v>5914</v>
      </c>
      <c r="D2580" s="25">
        <v>26956</v>
      </c>
      <c r="E2580" s="25" t="s">
        <v>5889</v>
      </c>
      <c r="F2580" s="26">
        <v>29612052202692</v>
      </c>
      <c r="G2580" s="25" t="s">
        <v>5890</v>
      </c>
      <c r="H2580" s="25" t="s">
        <v>5891</v>
      </c>
      <c r="I2580" s="25" t="s">
        <v>4315</v>
      </c>
      <c r="J2580" s="27">
        <v>43849</v>
      </c>
      <c r="K2580" s="25" t="s">
        <v>798</v>
      </c>
      <c r="L2580" s="25" t="s">
        <v>12</v>
      </c>
      <c r="M2580" s="25" t="s">
        <v>3890</v>
      </c>
      <c r="N2580" s="25"/>
      <c r="O2580" s="224"/>
      <c r="P2580" s="25"/>
      <c r="Q2580" s="224"/>
      <c r="R2580" s="77">
        <v>3</v>
      </c>
      <c r="S2580" s="77">
        <v>2.5</v>
      </c>
      <c r="T2580" s="77">
        <v>2</v>
      </c>
      <c r="U2580" s="77">
        <v>2</v>
      </c>
      <c r="V2580" s="77">
        <v>3</v>
      </c>
      <c r="W2580" s="25" t="s">
        <v>4970</v>
      </c>
      <c r="X2580" s="25"/>
      <c r="Y2580" s="27">
        <v>43874</v>
      </c>
      <c r="Z2580" s="25"/>
      <c r="AA2580" s="27"/>
      <c r="AB2580" s="25"/>
    </row>
    <row r="2581" spans="1:28">
      <c r="A2581" s="285"/>
      <c r="C2581" s="25" t="s">
        <v>5914</v>
      </c>
      <c r="D2581" s="2">
        <v>26957</v>
      </c>
      <c r="E2581" s="2" t="s">
        <v>5892</v>
      </c>
      <c r="F2581" s="3">
        <v>29604022103395</v>
      </c>
      <c r="G2581" s="2" t="s">
        <v>34</v>
      </c>
      <c r="H2581" s="2" t="s">
        <v>5893</v>
      </c>
      <c r="I2581" s="2" t="s">
        <v>4315</v>
      </c>
      <c r="J2581" s="4">
        <v>43849</v>
      </c>
      <c r="K2581" s="2" t="s">
        <v>798</v>
      </c>
      <c r="L2581" s="2" t="s">
        <v>12</v>
      </c>
      <c r="M2581" s="2" t="s">
        <v>3696</v>
      </c>
      <c r="R2581" s="77">
        <v>3</v>
      </c>
      <c r="S2581" s="77">
        <v>2.5</v>
      </c>
      <c r="T2581" s="77">
        <v>2</v>
      </c>
      <c r="U2581" s="77">
        <v>2</v>
      </c>
      <c r="V2581" s="77">
        <v>3</v>
      </c>
      <c r="W2581" s="16" t="s">
        <v>3244</v>
      </c>
      <c r="Y2581" s="27">
        <v>43874</v>
      </c>
    </row>
    <row r="2582" spans="1:28">
      <c r="A2582" s="285"/>
      <c r="C2582" s="25" t="s">
        <v>5914</v>
      </c>
      <c r="D2582" s="2">
        <v>26958</v>
      </c>
      <c r="E2582" s="2" t="s">
        <v>5894</v>
      </c>
      <c r="F2582" s="3">
        <v>29511132102825</v>
      </c>
      <c r="G2582" s="2" t="s">
        <v>34</v>
      </c>
      <c r="H2582" s="2" t="s">
        <v>5895</v>
      </c>
      <c r="I2582" s="2" t="s">
        <v>4315</v>
      </c>
      <c r="J2582" s="4">
        <v>43849</v>
      </c>
      <c r="K2582" s="2" t="s">
        <v>798</v>
      </c>
      <c r="L2582" s="2" t="s">
        <v>12</v>
      </c>
      <c r="M2582" s="2" t="s">
        <v>5752</v>
      </c>
      <c r="R2582" s="77">
        <v>3</v>
      </c>
      <c r="S2582" s="77">
        <v>2</v>
      </c>
      <c r="T2582" s="77">
        <v>2</v>
      </c>
      <c r="U2582" s="77">
        <v>2</v>
      </c>
      <c r="V2582" s="77">
        <v>3</v>
      </c>
      <c r="W2582" s="16" t="s">
        <v>3321</v>
      </c>
      <c r="Y2582" s="27">
        <v>43874</v>
      </c>
      <c r="Z2582" s="16" t="s">
        <v>66</v>
      </c>
      <c r="AA2582" s="7">
        <v>43878</v>
      </c>
      <c r="AB2582" s="2" t="s">
        <v>6001</v>
      </c>
    </row>
    <row r="2583" spans="1:28">
      <c r="A2583" s="285"/>
      <c r="C2583" s="25" t="s">
        <v>5914</v>
      </c>
      <c r="D2583" s="2">
        <v>26959</v>
      </c>
      <c r="E2583" s="2" t="s">
        <v>5896</v>
      </c>
      <c r="F2583" s="3">
        <v>29802190104425</v>
      </c>
      <c r="G2583" s="2" t="s">
        <v>34</v>
      </c>
      <c r="H2583" s="2" t="s">
        <v>5897</v>
      </c>
      <c r="I2583" s="2" t="s">
        <v>4315</v>
      </c>
      <c r="J2583" s="4">
        <v>43849</v>
      </c>
      <c r="K2583" s="2" t="s">
        <v>798</v>
      </c>
      <c r="L2583" s="2" t="s">
        <v>12</v>
      </c>
      <c r="M2583" s="2" t="s">
        <v>53</v>
      </c>
      <c r="W2583" s="16" t="s">
        <v>64</v>
      </c>
      <c r="Z2583" s="16" t="s">
        <v>67</v>
      </c>
    </row>
    <row r="2584" spans="1:28">
      <c r="A2584" s="285"/>
      <c r="C2584" s="25" t="s">
        <v>5914</v>
      </c>
      <c r="D2584" s="2">
        <v>26960</v>
      </c>
      <c r="E2584" s="2" t="s">
        <v>5898</v>
      </c>
      <c r="F2584" s="3">
        <v>28901158800252</v>
      </c>
      <c r="G2584" s="2" t="s">
        <v>34</v>
      </c>
      <c r="H2584" s="2" t="s">
        <v>5899</v>
      </c>
      <c r="I2584" s="2" t="s">
        <v>4315</v>
      </c>
      <c r="J2584" s="4">
        <v>43849</v>
      </c>
      <c r="K2584" s="2" t="s">
        <v>798</v>
      </c>
      <c r="L2584" s="2" t="s">
        <v>12</v>
      </c>
      <c r="M2584" s="2" t="s">
        <v>4170</v>
      </c>
      <c r="R2584" s="77">
        <v>3</v>
      </c>
      <c r="S2584" s="77">
        <v>2</v>
      </c>
      <c r="T2584" s="77">
        <v>2.5</v>
      </c>
      <c r="U2584" s="77">
        <v>2.5</v>
      </c>
      <c r="V2584" s="77">
        <v>3</v>
      </c>
      <c r="W2584" s="16" t="s">
        <v>3244</v>
      </c>
      <c r="Y2584" s="27">
        <v>43874</v>
      </c>
    </row>
    <row r="2585" spans="1:28">
      <c r="A2585" s="285"/>
      <c r="C2585" s="25" t="s">
        <v>5914</v>
      </c>
      <c r="D2585" s="2">
        <v>26961</v>
      </c>
      <c r="E2585" s="2" t="s">
        <v>5900</v>
      </c>
      <c r="F2585" s="3">
        <v>29305162101964</v>
      </c>
      <c r="G2585" s="2" t="s">
        <v>34</v>
      </c>
      <c r="H2585" s="2" t="s">
        <v>5901</v>
      </c>
      <c r="I2585" s="2" t="s">
        <v>4315</v>
      </c>
      <c r="J2585" s="4">
        <v>43849</v>
      </c>
      <c r="K2585" s="2" t="s">
        <v>798</v>
      </c>
      <c r="L2585" s="2" t="s">
        <v>12</v>
      </c>
      <c r="M2585" s="2" t="s">
        <v>5123</v>
      </c>
      <c r="R2585" s="77">
        <v>3</v>
      </c>
      <c r="S2585" s="77">
        <v>2.5</v>
      </c>
      <c r="T2585" s="77">
        <v>2</v>
      </c>
      <c r="U2585" s="77">
        <v>1.5</v>
      </c>
      <c r="V2585" s="77">
        <v>3</v>
      </c>
      <c r="W2585" s="16" t="s">
        <v>3818</v>
      </c>
      <c r="Y2585" s="27">
        <v>43874</v>
      </c>
    </row>
    <row r="2586" spans="1:28">
      <c r="A2586" s="285"/>
      <c r="C2586" s="25" t="s">
        <v>5914</v>
      </c>
      <c r="D2586" s="2">
        <v>26962</v>
      </c>
      <c r="E2586" s="2" t="s">
        <v>5902</v>
      </c>
      <c r="F2586" s="3">
        <v>29212240100599</v>
      </c>
      <c r="G2586" s="2" t="s">
        <v>34</v>
      </c>
      <c r="H2586" s="2" t="s">
        <v>5903</v>
      </c>
      <c r="I2586" s="2" t="s">
        <v>4315</v>
      </c>
      <c r="J2586" s="4">
        <v>43849</v>
      </c>
      <c r="K2586" s="2" t="s">
        <v>798</v>
      </c>
      <c r="L2586" s="2" t="s">
        <v>12</v>
      </c>
      <c r="M2586" s="2" t="s">
        <v>4257</v>
      </c>
      <c r="W2586" s="16" t="s">
        <v>64</v>
      </c>
      <c r="Z2586" s="16" t="s">
        <v>67</v>
      </c>
    </row>
    <row r="2587" spans="1:28">
      <c r="A2587" s="285"/>
      <c r="C2587" s="25" t="s">
        <v>5914</v>
      </c>
      <c r="D2587" s="2">
        <v>26963</v>
      </c>
      <c r="E2587" s="2" t="s">
        <v>5904</v>
      </c>
      <c r="F2587" s="3">
        <v>29507170104711</v>
      </c>
      <c r="G2587" s="2" t="s">
        <v>34</v>
      </c>
      <c r="H2587" s="2" t="s">
        <v>5905</v>
      </c>
      <c r="I2587" s="2" t="s">
        <v>4315</v>
      </c>
      <c r="J2587" s="4">
        <v>43849</v>
      </c>
      <c r="K2587" s="2" t="s">
        <v>798</v>
      </c>
      <c r="L2587" s="2" t="s">
        <v>12</v>
      </c>
      <c r="M2587" s="2" t="s">
        <v>103</v>
      </c>
      <c r="R2587" s="77">
        <v>3</v>
      </c>
      <c r="S2587" s="77">
        <v>1.5</v>
      </c>
      <c r="T2587" s="77">
        <v>1.5</v>
      </c>
      <c r="U2587" s="77">
        <v>1.5</v>
      </c>
      <c r="V2587" s="77">
        <v>3</v>
      </c>
      <c r="W2587" s="16" t="s">
        <v>3818</v>
      </c>
      <c r="Y2587" s="27">
        <v>43874</v>
      </c>
    </row>
    <row r="2588" spans="1:28">
      <c r="A2588" s="285"/>
      <c r="C2588" s="25" t="s">
        <v>5914</v>
      </c>
      <c r="D2588" s="2">
        <v>26964</v>
      </c>
      <c r="E2588" s="2" t="s">
        <v>5906</v>
      </c>
      <c r="F2588" s="3">
        <v>29706211400063</v>
      </c>
      <c r="G2588" s="2" t="s">
        <v>34</v>
      </c>
      <c r="H2588" s="2" t="s">
        <v>5907</v>
      </c>
      <c r="I2588" s="2" t="s">
        <v>4315</v>
      </c>
      <c r="J2588" s="4">
        <v>43849</v>
      </c>
      <c r="K2588" s="2" t="s">
        <v>798</v>
      </c>
      <c r="L2588" s="2" t="s">
        <v>12</v>
      </c>
      <c r="M2588" s="2" t="s">
        <v>4257</v>
      </c>
      <c r="R2588" s="77">
        <v>3</v>
      </c>
      <c r="S2588" s="77">
        <v>2.5</v>
      </c>
      <c r="T2588" s="77">
        <v>2</v>
      </c>
      <c r="U2588" s="77">
        <v>2.5</v>
      </c>
      <c r="V2588" s="77">
        <v>3</v>
      </c>
      <c r="W2588" s="16" t="s">
        <v>3244</v>
      </c>
      <c r="Y2588" s="27">
        <v>43874</v>
      </c>
    </row>
    <row r="2589" spans="1:28">
      <c r="A2589" s="285"/>
      <c r="C2589" s="25" t="s">
        <v>5914</v>
      </c>
      <c r="D2589" s="2">
        <v>26965</v>
      </c>
      <c r="E2589" s="2" t="s">
        <v>5908</v>
      </c>
      <c r="F2589" s="3">
        <v>29402241700992</v>
      </c>
      <c r="G2589" s="2" t="s">
        <v>34</v>
      </c>
      <c r="H2589" s="2" t="s">
        <v>5909</v>
      </c>
      <c r="I2589" s="2" t="s">
        <v>4315</v>
      </c>
      <c r="J2589" s="4">
        <v>43849</v>
      </c>
      <c r="K2589" s="2" t="s">
        <v>798</v>
      </c>
      <c r="L2589" s="2" t="s">
        <v>12</v>
      </c>
      <c r="M2589" s="2" t="s">
        <v>149</v>
      </c>
      <c r="R2589" s="77">
        <v>3</v>
      </c>
      <c r="S2589" s="77">
        <v>2.5</v>
      </c>
      <c r="T2589" s="77">
        <v>2</v>
      </c>
      <c r="U2589" s="77">
        <v>2</v>
      </c>
      <c r="V2589" s="77">
        <v>2.5</v>
      </c>
      <c r="W2589" s="16" t="s">
        <v>4970</v>
      </c>
      <c r="Y2589" s="27">
        <v>43874</v>
      </c>
    </row>
    <row r="2590" spans="1:28">
      <c r="A2590" s="285"/>
      <c r="C2590" s="25" t="s">
        <v>5914</v>
      </c>
      <c r="D2590" s="2">
        <v>26966</v>
      </c>
      <c r="E2590" s="2" t="s">
        <v>5910</v>
      </c>
      <c r="F2590" s="3">
        <v>28108141400844</v>
      </c>
      <c r="G2590" s="2" t="s">
        <v>34</v>
      </c>
      <c r="H2590" s="2" t="s">
        <v>5911</v>
      </c>
      <c r="I2590" s="2" t="s">
        <v>4315</v>
      </c>
      <c r="J2590" s="4">
        <v>43849</v>
      </c>
      <c r="K2590" s="2" t="s">
        <v>798</v>
      </c>
      <c r="L2590" s="2" t="s">
        <v>12</v>
      </c>
      <c r="M2590" s="2" t="s">
        <v>4170</v>
      </c>
      <c r="R2590" s="77">
        <v>3</v>
      </c>
      <c r="S2590" s="77">
        <v>2.5</v>
      </c>
      <c r="T2590" s="77">
        <v>2</v>
      </c>
      <c r="U2590" s="77">
        <v>2</v>
      </c>
      <c r="V2590" s="77">
        <v>3</v>
      </c>
      <c r="W2590" s="16" t="s">
        <v>3321</v>
      </c>
      <c r="Y2590" s="27">
        <v>43874</v>
      </c>
      <c r="Z2590" s="16" t="s">
        <v>66</v>
      </c>
      <c r="AA2590" s="7">
        <v>43956</v>
      </c>
      <c r="AB2590" s="103" t="s">
        <v>6746</v>
      </c>
    </row>
    <row r="2591" spans="1:28" ht="15.75" thickBot="1">
      <c r="A2591" s="286"/>
      <c r="C2591" s="28" t="s">
        <v>5914</v>
      </c>
      <c r="D2591" s="28">
        <v>26967</v>
      </c>
      <c r="E2591" s="28" t="s">
        <v>5912</v>
      </c>
      <c r="F2591" s="29">
        <v>27902280100639</v>
      </c>
      <c r="G2591" s="28" t="s">
        <v>5856</v>
      </c>
      <c r="H2591" s="28" t="s">
        <v>5913</v>
      </c>
      <c r="I2591" s="28" t="s">
        <v>4315</v>
      </c>
      <c r="J2591" s="30">
        <v>43849</v>
      </c>
      <c r="K2591" s="28" t="s">
        <v>798</v>
      </c>
      <c r="L2591" s="28" t="s">
        <v>12</v>
      </c>
      <c r="M2591" s="28" t="s">
        <v>5152</v>
      </c>
      <c r="N2591" s="28"/>
      <c r="O2591" s="226"/>
      <c r="P2591" s="28"/>
      <c r="Q2591" s="226"/>
      <c r="R2591" s="37">
        <v>3</v>
      </c>
      <c r="S2591" s="37">
        <v>2.5</v>
      </c>
      <c r="T2591" s="37">
        <v>1.5</v>
      </c>
      <c r="U2591" s="37">
        <v>2</v>
      </c>
      <c r="V2591" s="37">
        <v>3</v>
      </c>
      <c r="W2591" s="28" t="s">
        <v>62</v>
      </c>
      <c r="X2591" s="28"/>
      <c r="Y2591" s="30">
        <v>43874</v>
      </c>
      <c r="Z2591" s="28" t="s">
        <v>66</v>
      </c>
      <c r="AA2591" s="30">
        <v>43878</v>
      </c>
      <c r="AB2591" s="28" t="s">
        <v>6000</v>
      </c>
    </row>
    <row r="2592" spans="1:28" ht="15.75" thickTop="1">
      <c r="A2592" s="284" t="s">
        <v>1249</v>
      </c>
      <c r="C2592" s="25">
        <v>160</v>
      </c>
      <c r="D2592" s="25">
        <v>26942</v>
      </c>
      <c r="E2592" s="25" t="s">
        <v>5925</v>
      </c>
      <c r="F2592" s="26">
        <v>29707012103081</v>
      </c>
      <c r="G2592" s="25" t="s">
        <v>34</v>
      </c>
      <c r="H2592" s="34" t="s">
        <v>5943</v>
      </c>
      <c r="I2592" s="25" t="s">
        <v>4315</v>
      </c>
      <c r="J2592" s="27">
        <v>43846</v>
      </c>
      <c r="K2592" s="25" t="s">
        <v>8</v>
      </c>
      <c r="L2592" s="25" t="s">
        <v>12</v>
      </c>
      <c r="M2592" s="25" t="s">
        <v>5123</v>
      </c>
      <c r="N2592" s="25"/>
      <c r="O2592" s="224"/>
      <c r="P2592" s="25"/>
      <c r="Q2592" s="224"/>
      <c r="R2592" s="77">
        <v>3</v>
      </c>
      <c r="S2592" s="77">
        <v>2.5</v>
      </c>
      <c r="T2592" s="77">
        <v>2</v>
      </c>
      <c r="U2592" s="77">
        <v>2.5</v>
      </c>
      <c r="V2592" s="77">
        <v>3</v>
      </c>
      <c r="W2592" s="25" t="s">
        <v>59</v>
      </c>
      <c r="X2592" s="25" t="s">
        <v>67</v>
      </c>
      <c r="Y2592" s="27">
        <v>43877</v>
      </c>
      <c r="Z2592" s="25" t="s">
        <v>67</v>
      </c>
      <c r="AA2592" s="27"/>
      <c r="AB2592" s="25" t="s">
        <v>3923</v>
      </c>
    </row>
    <row r="2593" spans="1:28">
      <c r="A2593" s="285"/>
      <c r="C2593" s="25">
        <v>160</v>
      </c>
      <c r="D2593" s="2">
        <v>26943</v>
      </c>
      <c r="E2593" s="2" t="s">
        <v>5926</v>
      </c>
      <c r="F2593" s="3" t="s">
        <v>5939</v>
      </c>
      <c r="G2593" s="2" t="s">
        <v>5383</v>
      </c>
      <c r="H2593" s="8" t="s">
        <v>5944</v>
      </c>
      <c r="I2593" s="2" t="s">
        <v>4315</v>
      </c>
      <c r="J2593" s="4">
        <v>43846</v>
      </c>
      <c r="K2593" s="2" t="s">
        <v>8</v>
      </c>
      <c r="L2593" s="2" t="s">
        <v>12</v>
      </c>
      <c r="M2593" s="2" t="s">
        <v>5123</v>
      </c>
      <c r="R2593" s="77">
        <v>3</v>
      </c>
      <c r="S2593" s="77">
        <v>2</v>
      </c>
      <c r="T2593" s="77">
        <v>2.5</v>
      </c>
      <c r="U2593" s="77">
        <v>2</v>
      </c>
      <c r="V2593" s="77">
        <v>3</v>
      </c>
      <c r="W2593" s="16" t="s">
        <v>62</v>
      </c>
      <c r="X2593" s="2" t="s">
        <v>66</v>
      </c>
      <c r="Y2593" s="27">
        <v>43908</v>
      </c>
      <c r="Z2593" s="16" t="s">
        <v>66</v>
      </c>
      <c r="AA2593" s="7">
        <v>43926</v>
      </c>
      <c r="AB2593" s="2" t="s">
        <v>6255</v>
      </c>
    </row>
    <row r="2594" spans="1:28">
      <c r="A2594" s="285"/>
      <c r="C2594" s="25">
        <v>160</v>
      </c>
      <c r="D2594" s="2">
        <v>26944</v>
      </c>
      <c r="E2594" s="2" t="s">
        <v>5927</v>
      </c>
      <c r="F2594" s="3">
        <v>29409011604671</v>
      </c>
      <c r="G2594" s="2" t="s">
        <v>129</v>
      </c>
      <c r="H2594" s="8" t="s">
        <v>5945</v>
      </c>
      <c r="I2594" s="2" t="s">
        <v>4315</v>
      </c>
      <c r="J2594" s="4">
        <v>43846</v>
      </c>
      <c r="K2594" s="2" t="s">
        <v>8</v>
      </c>
      <c r="L2594" s="2" t="s">
        <v>12</v>
      </c>
      <c r="M2594" s="2" t="s">
        <v>5752</v>
      </c>
      <c r="R2594" s="77">
        <v>3</v>
      </c>
      <c r="S2594" s="77">
        <v>3</v>
      </c>
      <c r="T2594" s="77">
        <v>2.5</v>
      </c>
      <c r="U2594" s="77">
        <v>2</v>
      </c>
      <c r="V2594" s="77">
        <v>3</v>
      </c>
      <c r="W2594" s="16" t="s">
        <v>170</v>
      </c>
      <c r="X2594" s="2" t="s">
        <v>67</v>
      </c>
      <c r="Y2594" s="27">
        <v>43892</v>
      </c>
      <c r="Z2594" s="16" t="s">
        <v>66</v>
      </c>
      <c r="AA2594" s="27">
        <v>43892</v>
      </c>
    </row>
    <row r="2595" spans="1:28">
      <c r="A2595" s="285"/>
      <c r="C2595" s="25">
        <v>160</v>
      </c>
      <c r="D2595" s="2">
        <v>26945</v>
      </c>
      <c r="E2595" s="2" t="s">
        <v>5928</v>
      </c>
      <c r="F2595" s="3">
        <v>28404040104657</v>
      </c>
      <c r="G2595" s="2" t="s">
        <v>34</v>
      </c>
      <c r="H2595" s="8" t="s">
        <v>5946</v>
      </c>
      <c r="I2595" s="2" t="s">
        <v>4315</v>
      </c>
      <c r="J2595" s="4">
        <v>43846</v>
      </c>
      <c r="K2595" s="2" t="s">
        <v>8</v>
      </c>
      <c r="L2595" s="2" t="s">
        <v>12</v>
      </c>
      <c r="M2595" s="2" t="s">
        <v>5940</v>
      </c>
      <c r="R2595" s="77">
        <v>3</v>
      </c>
      <c r="S2595" s="77">
        <v>2.5</v>
      </c>
      <c r="T2595" s="77">
        <v>2</v>
      </c>
      <c r="U2595" s="77">
        <v>2.5</v>
      </c>
      <c r="V2595" s="77">
        <v>3</v>
      </c>
      <c r="W2595" s="16" t="s">
        <v>61</v>
      </c>
      <c r="Y2595" s="27">
        <v>43877</v>
      </c>
      <c r="Z2595" s="16" t="s">
        <v>66</v>
      </c>
      <c r="AA2595" s="7">
        <v>43907</v>
      </c>
    </row>
    <row r="2596" spans="1:28">
      <c r="A2596" s="285"/>
      <c r="C2596" s="25">
        <v>160</v>
      </c>
      <c r="D2596" s="2">
        <v>26946</v>
      </c>
      <c r="E2596" s="2" t="s">
        <v>5929</v>
      </c>
      <c r="F2596" s="3" t="s">
        <v>5941</v>
      </c>
      <c r="G2596" s="2" t="s">
        <v>34</v>
      </c>
      <c r="H2596" s="8" t="s">
        <v>5947</v>
      </c>
      <c r="I2596" s="2" t="s">
        <v>4315</v>
      </c>
      <c r="J2596" s="4">
        <v>43846</v>
      </c>
      <c r="K2596" s="2" t="s">
        <v>8</v>
      </c>
      <c r="L2596" s="2" t="s">
        <v>12</v>
      </c>
      <c r="M2596" s="2" t="s">
        <v>4669</v>
      </c>
      <c r="R2596" s="77">
        <v>3</v>
      </c>
      <c r="S2596" s="77">
        <v>3</v>
      </c>
      <c r="T2596" s="77">
        <v>2</v>
      </c>
      <c r="U2596" s="77">
        <v>2.5</v>
      </c>
      <c r="V2596" s="77">
        <v>3</v>
      </c>
      <c r="W2596" s="16" t="s">
        <v>61</v>
      </c>
      <c r="Y2596" s="27">
        <v>43877</v>
      </c>
      <c r="Z2596" s="16" t="s">
        <v>66</v>
      </c>
      <c r="AA2596" s="7">
        <v>43891</v>
      </c>
    </row>
    <row r="2597" spans="1:28">
      <c r="A2597" s="285"/>
      <c r="C2597" s="25">
        <v>160</v>
      </c>
      <c r="D2597" s="2">
        <v>26947</v>
      </c>
      <c r="E2597" s="2" t="s">
        <v>5930</v>
      </c>
      <c r="F2597" s="3">
        <v>29305171302476</v>
      </c>
      <c r="G2597" s="2" t="s">
        <v>129</v>
      </c>
      <c r="H2597" s="8" t="s">
        <v>5948</v>
      </c>
      <c r="I2597" s="2" t="s">
        <v>4315</v>
      </c>
      <c r="J2597" s="4">
        <v>43846</v>
      </c>
      <c r="K2597" s="2" t="s">
        <v>8</v>
      </c>
      <c r="L2597" s="2" t="s">
        <v>12</v>
      </c>
      <c r="M2597" s="2" t="s">
        <v>109</v>
      </c>
      <c r="R2597" s="77">
        <v>3</v>
      </c>
      <c r="S2597" s="77">
        <v>2.5</v>
      </c>
      <c r="T2597" s="77">
        <v>2</v>
      </c>
      <c r="U2597" s="77">
        <v>2</v>
      </c>
      <c r="V2597" s="77">
        <v>3</v>
      </c>
      <c r="W2597" s="16" t="s">
        <v>62</v>
      </c>
      <c r="Y2597" s="27">
        <v>43877</v>
      </c>
      <c r="Z2597" s="16" t="s">
        <v>66</v>
      </c>
      <c r="AB2597" s="103" t="s">
        <v>6105</v>
      </c>
    </row>
    <row r="2598" spans="1:28">
      <c r="A2598" s="285"/>
      <c r="C2598" s="25">
        <v>160</v>
      </c>
      <c r="D2598" s="2">
        <v>26948</v>
      </c>
      <c r="E2598" s="2" t="s">
        <v>5931</v>
      </c>
      <c r="F2598" s="3">
        <v>29909052106343</v>
      </c>
      <c r="G2598" s="2" t="s">
        <v>5383</v>
      </c>
      <c r="H2598" s="8" t="s">
        <v>5949</v>
      </c>
      <c r="I2598" s="2" t="s">
        <v>4315</v>
      </c>
      <c r="J2598" s="4">
        <v>43846</v>
      </c>
      <c r="K2598" s="2" t="s">
        <v>8</v>
      </c>
      <c r="L2598" s="2" t="s">
        <v>12</v>
      </c>
      <c r="M2598" s="2" t="s">
        <v>5942</v>
      </c>
      <c r="W2598" s="16" t="s">
        <v>63</v>
      </c>
      <c r="Z2598" s="16" t="s">
        <v>67</v>
      </c>
    </row>
    <row r="2599" spans="1:28">
      <c r="A2599" s="285"/>
      <c r="C2599" s="25">
        <v>160</v>
      </c>
      <c r="D2599" s="2">
        <v>26949</v>
      </c>
      <c r="E2599" s="2" t="s">
        <v>5932</v>
      </c>
      <c r="F2599" s="3">
        <v>29311160101096</v>
      </c>
      <c r="G2599" s="2" t="s">
        <v>34</v>
      </c>
      <c r="H2599" s="8" t="s">
        <v>5950</v>
      </c>
      <c r="I2599" s="2" t="s">
        <v>4315</v>
      </c>
      <c r="J2599" s="4">
        <v>43846</v>
      </c>
      <c r="K2599" s="2" t="s">
        <v>8</v>
      </c>
      <c r="L2599" s="2" t="s">
        <v>12</v>
      </c>
      <c r="M2599" s="2" t="s">
        <v>4968</v>
      </c>
      <c r="R2599" s="77">
        <v>3</v>
      </c>
      <c r="S2599" s="77">
        <v>2.5</v>
      </c>
      <c r="T2599" s="77">
        <v>2</v>
      </c>
      <c r="U2599" s="77">
        <v>2</v>
      </c>
      <c r="V2599" s="77">
        <v>3</v>
      </c>
      <c r="W2599" s="16" t="s">
        <v>59</v>
      </c>
      <c r="X2599" s="2" t="s">
        <v>67</v>
      </c>
      <c r="Y2599" s="27">
        <v>43877</v>
      </c>
      <c r="Z2599" s="16" t="s">
        <v>67</v>
      </c>
      <c r="AB2599" s="2" t="s">
        <v>5524</v>
      </c>
    </row>
    <row r="2600" spans="1:28">
      <c r="A2600" s="285"/>
      <c r="C2600" s="25">
        <v>160</v>
      </c>
      <c r="D2600" s="2">
        <v>26950</v>
      </c>
      <c r="E2600" s="2" t="s">
        <v>5933</v>
      </c>
      <c r="F2600" s="3">
        <v>29702271601038</v>
      </c>
      <c r="G2600" s="2" t="s">
        <v>34</v>
      </c>
      <c r="H2600" s="8" t="s">
        <v>5951</v>
      </c>
      <c r="I2600" s="2" t="s">
        <v>4315</v>
      </c>
      <c r="J2600" s="4">
        <v>43846</v>
      </c>
      <c r="K2600" s="2" t="s">
        <v>8</v>
      </c>
      <c r="L2600" s="2" t="s">
        <v>12</v>
      </c>
      <c r="M2600" s="2" t="s">
        <v>4706</v>
      </c>
      <c r="W2600" s="16" t="s">
        <v>64</v>
      </c>
      <c r="Z2600" s="16" t="s">
        <v>67</v>
      </c>
    </row>
    <row r="2601" spans="1:28">
      <c r="A2601" s="285"/>
      <c r="C2601" s="25">
        <v>160</v>
      </c>
      <c r="D2601" s="2">
        <v>26951</v>
      </c>
      <c r="E2601" s="2" t="s">
        <v>5934</v>
      </c>
      <c r="F2601" s="3">
        <v>28603010113531</v>
      </c>
      <c r="G2601" s="2" t="s">
        <v>34</v>
      </c>
      <c r="H2601" s="8" t="s">
        <v>5952</v>
      </c>
      <c r="I2601" s="2" t="s">
        <v>4315</v>
      </c>
      <c r="J2601" s="4">
        <v>43846</v>
      </c>
      <c r="K2601" s="2" t="s">
        <v>8</v>
      </c>
      <c r="L2601" s="2" t="s">
        <v>12</v>
      </c>
      <c r="M2601" s="2" t="s">
        <v>4706</v>
      </c>
      <c r="W2601" s="16" t="s">
        <v>63</v>
      </c>
      <c r="Z2601" s="16" t="s">
        <v>67</v>
      </c>
    </row>
    <row r="2602" spans="1:28">
      <c r="A2602" s="285"/>
      <c r="C2602" s="25">
        <v>160</v>
      </c>
      <c r="D2602" s="2">
        <v>26952</v>
      </c>
      <c r="E2602" s="2" t="s">
        <v>5935</v>
      </c>
      <c r="F2602" s="3">
        <v>29102240102419</v>
      </c>
      <c r="G2602" s="2" t="s">
        <v>34</v>
      </c>
      <c r="H2602" s="8" t="s">
        <v>5953</v>
      </c>
      <c r="I2602" s="2" t="s">
        <v>4315</v>
      </c>
      <c r="J2602" s="4">
        <v>43846</v>
      </c>
      <c r="K2602" s="2" t="s">
        <v>8</v>
      </c>
      <c r="L2602" s="2" t="s">
        <v>12</v>
      </c>
      <c r="M2602" s="2" t="s">
        <v>5940</v>
      </c>
      <c r="R2602" s="77">
        <v>3</v>
      </c>
      <c r="S2602" s="77">
        <v>2.5</v>
      </c>
      <c r="T2602" s="77">
        <v>2</v>
      </c>
      <c r="U2602" s="77">
        <v>2</v>
      </c>
      <c r="V2602" s="77">
        <v>3</v>
      </c>
      <c r="W2602" s="16" t="s">
        <v>62</v>
      </c>
      <c r="X2602" s="2" t="s">
        <v>66</v>
      </c>
      <c r="Y2602" s="27">
        <v>43908</v>
      </c>
      <c r="Z2602" s="16" t="s">
        <v>66</v>
      </c>
      <c r="AA2602" s="7">
        <v>43933</v>
      </c>
      <c r="AB2602" s="2" t="s">
        <v>6405</v>
      </c>
    </row>
    <row r="2603" spans="1:28">
      <c r="A2603" s="285"/>
      <c r="C2603" s="25">
        <v>160</v>
      </c>
      <c r="D2603" s="2">
        <v>26953</v>
      </c>
      <c r="E2603" s="2" t="s">
        <v>5936</v>
      </c>
      <c r="F2603" s="3">
        <v>29406072102997</v>
      </c>
      <c r="G2603" s="2" t="s">
        <v>4131</v>
      </c>
      <c r="H2603" s="8" t="s">
        <v>5954</v>
      </c>
      <c r="I2603" s="2" t="s">
        <v>4315</v>
      </c>
      <c r="J2603" s="4">
        <v>43846</v>
      </c>
      <c r="K2603" s="2" t="s">
        <v>8</v>
      </c>
      <c r="L2603" s="2" t="s">
        <v>12</v>
      </c>
      <c r="M2603" s="2" t="s">
        <v>5152</v>
      </c>
      <c r="W2603" s="16" t="s">
        <v>64</v>
      </c>
      <c r="Z2603" s="16" t="s">
        <v>67</v>
      </c>
    </row>
    <row r="2604" spans="1:28">
      <c r="A2604" s="285"/>
      <c r="C2604" s="25">
        <v>160</v>
      </c>
      <c r="D2604" s="2">
        <v>26954</v>
      </c>
      <c r="E2604" s="2" t="s">
        <v>5937</v>
      </c>
      <c r="F2604" s="3">
        <v>28603041203058</v>
      </c>
      <c r="G2604" s="2" t="s">
        <v>34</v>
      </c>
      <c r="H2604" s="8" t="s">
        <v>5955</v>
      </c>
      <c r="I2604" s="2" t="s">
        <v>4315</v>
      </c>
      <c r="J2604" s="4">
        <v>43846</v>
      </c>
      <c r="K2604" s="2" t="s">
        <v>8</v>
      </c>
      <c r="L2604" s="2" t="s">
        <v>12</v>
      </c>
      <c r="M2604" s="2" t="s">
        <v>4706</v>
      </c>
      <c r="W2604" s="16" t="s">
        <v>64</v>
      </c>
      <c r="Z2604" s="16" t="s">
        <v>67</v>
      </c>
    </row>
    <row r="2605" spans="1:28">
      <c r="A2605" s="285"/>
      <c r="C2605" s="25">
        <v>160</v>
      </c>
      <c r="D2605" s="2">
        <v>26955</v>
      </c>
      <c r="E2605" s="2" t="s">
        <v>5938</v>
      </c>
      <c r="F2605" s="3">
        <v>29502180102196</v>
      </c>
      <c r="G2605" s="2" t="s">
        <v>129</v>
      </c>
      <c r="H2605" s="8" t="s">
        <v>5956</v>
      </c>
      <c r="I2605" s="2" t="s">
        <v>4315</v>
      </c>
      <c r="J2605" s="4">
        <v>43846</v>
      </c>
      <c r="K2605" s="2" t="s">
        <v>8</v>
      </c>
      <c r="L2605" s="2" t="s">
        <v>12</v>
      </c>
      <c r="M2605" s="2" t="s">
        <v>3214</v>
      </c>
      <c r="R2605" s="77">
        <v>3</v>
      </c>
      <c r="S2605" s="77">
        <v>3</v>
      </c>
      <c r="T2605" s="77">
        <v>2.5</v>
      </c>
      <c r="U2605" s="77">
        <v>2.5</v>
      </c>
      <c r="V2605" s="77">
        <v>3</v>
      </c>
      <c r="W2605" s="16" t="s">
        <v>170</v>
      </c>
      <c r="Y2605" s="7">
        <v>43877</v>
      </c>
      <c r="Z2605" s="16" t="s">
        <v>66</v>
      </c>
      <c r="AA2605" s="7">
        <v>43878</v>
      </c>
    </row>
    <row r="2606" spans="1:28">
      <c r="A2606" s="285"/>
      <c r="C2606" s="25">
        <v>160</v>
      </c>
      <c r="D2606" s="2">
        <v>23322</v>
      </c>
      <c r="E2606" s="2" t="s">
        <v>3980</v>
      </c>
      <c r="F2606" s="3">
        <v>29602048800954</v>
      </c>
      <c r="G2606" s="2" t="s">
        <v>129</v>
      </c>
      <c r="H2606" s="2" t="s">
        <v>3981</v>
      </c>
      <c r="I2606" s="2" t="s">
        <v>4305</v>
      </c>
      <c r="J2606" s="4">
        <v>43846</v>
      </c>
      <c r="K2606" s="2" t="s">
        <v>8</v>
      </c>
      <c r="L2606" s="2" t="s">
        <v>12</v>
      </c>
      <c r="M2606" s="2" t="s">
        <v>4257</v>
      </c>
      <c r="R2606" s="77">
        <v>3</v>
      </c>
      <c r="S2606" s="77">
        <v>3</v>
      </c>
      <c r="T2606" s="77">
        <v>2</v>
      </c>
      <c r="U2606" s="77">
        <v>2.5</v>
      </c>
      <c r="V2606" s="77">
        <v>3</v>
      </c>
      <c r="W2606" s="16" t="s">
        <v>61</v>
      </c>
      <c r="Y2606" s="7">
        <v>43877</v>
      </c>
      <c r="Z2606" s="16" t="s">
        <v>66</v>
      </c>
      <c r="AA2606" s="7">
        <v>43891</v>
      </c>
    </row>
    <row r="2607" spans="1:28" ht="15.75" thickBot="1">
      <c r="A2607" s="286"/>
      <c r="C2607" s="28">
        <v>160</v>
      </c>
      <c r="D2607" s="28">
        <v>26970</v>
      </c>
      <c r="E2607" s="28" t="s">
        <v>5957</v>
      </c>
      <c r="F2607" s="29" t="s">
        <v>5958</v>
      </c>
      <c r="G2607" s="28" t="s">
        <v>4131</v>
      </c>
      <c r="H2607" s="78" t="s">
        <v>5959</v>
      </c>
      <c r="I2607" s="28" t="s">
        <v>4315</v>
      </c>
      <c r="J2607" s="30">
        <v>43846</v>
      </c>
      <c r="K2607" s="28" t="s">
        <v>8</v>
      </c>
      <c r="L2607" s="28" t="s">
        <v>12</v>
      </c>
      <c r="M2607" s="28" t="s">
        <v>5942</v>
      </c>
      <c r="N2607" s="28"/>
      <c r="O2607" s="226"/>
      <c r="P2607" s="28"/>
      <c r="Q2607" s="226"/>
      <c r="R2607" s="37">
        <v>3</v>
      </c>
      <c r="S2607" s="37">
        <v>3</v>
      </c>
      <c r="T2607" s="37">
        <v>2.5</v>
      </c>
      <c r="U2607" s="37">
        <v>2.5</v>
      </c>
      <c r="V2607" s="37">
        <v>3</v>
      </c>
      <c r="W2607" s="28" t="s">
        <v>60</v>
      </c>
      <c r="X2607" s="28" t="s">
        <v>66</v>
      </c>
      <c r="Y2607" s="30">
        <v>43908</v>
      </c>
      <c r="Z2607" s="28" t="s">
        <v>66</v>
      </c>
      <c r="AA2607" s="30">
        <v>43920</v>
      </c>
      <c r="AB2607" s="28"/>
    </row>
    <row r="2608" spans="1:28" ht="15.75" thickTop="1">
      <c r="A2608" s="284" t="s">
        <v>5924</v>
      </c>
      <c r="C2608" s="25">
        <v>161</v>
      </c>
      <c r="D2608" s="25">
        <v>26971</v>
      </c>
      <c r="E2608" s="25" t="s">
        <v>5972</v>
      </c>
      <c r="F2608" s="26" t="s">
        <v>5973</v>
      </c>
      <c r="G2608" s="25" t="s">
        <v>4025</v>
      </c>
      <c r="H2608" s="25" t="s">
        <v>5974</v>
      </c>
      <c r="I2608" s="25" t="s">
        <v>4315</v>
      </c>
      <c r="J2608" s="27">
        <v>43853</v>
      </c>
      <c r="K2608" s="25" t="s">
        <v>8</v>
      </c>
      <c r="L2608" s="25" t="s">
        <v>12</v>
      </c>
      <c r="M2608" s="25" t="s">
        <v>4753</v>
      </c>
      <c r="N2608" s="25"/>
      <c r="O2608" s="224"/>
      <c r="P2608" s="25"/>
      <c r="Q2608" s="224"/>
      <c r="R2608" s="77">
        <v>3</v>
      </c>
      <c r="S2608" s="77">
        <v>2.5</v>
      </c>
      <c r="T2608" s="77">
        <v>3</v>
      </c>
      <c r="U2608" s="77">
        <v>2.5</v>
      </c>
      <c r="V2608" s="77">
        <v>3</v>
      </c>
      <c r="W2608" s="25" t="s">
        <v>170</v>
      </c>
      <c r="X2608" s="25"/>
      <c r="Y2608" s="27">
        <v>43881</v>
      </c>
      <c r="Z2608" s="25" t="s">
        <v>66</v>
      </c>
      <c r="AA2608" s="27">
        <v>43885</v>
      </c>
      <c r="AB2608" s="25"/>
    </row>
    <row r="2609" spans="1:28">
      <c r="A2609" s="285"/>
      <c r="C2609" s="25">
        <v>161</v>
      </c>
      <c r="D2609" s="2">
        <v>26972</v>
      </c>
      <c r="E2609" s="2" t="s">
        <v>5975</v>
      </c>
      <c r="F2609" s="3">
        <v>29910162101809</v>
      </c>
      <c r="G2609" s="2" t="s">
        <v>34</v>
      </c>
      <c r="H2609" s="2" t="s">
        <v>5976</v>
      </c>
      <c r="I2609" s="2" t="s">
        <v>4315</v>
      </c>
      <c r="J2609" s="4">
        <v>43853</v>
      </c>
      <c r="K2609" s="2" t="s">
        <v>8</v>
      </c>
      <c r="L2609" s="2" t="s">
        <v>12</v>
      </c>
      <c r="M2609" s="2" t="s">
        <v>4493</v>
      </c>
      <c r="R2609" s="77">
        <v>3</v>
      </c>
      <c r="S2609" s="77">
        <v>3</v>
      </c>
      <c r="T2609" s="77">
        <v>2</v>
      </c>
      <c r="U2609" s="77">
        <v>2</v>
      </c>
      <c r="V2609" s="77">
        <v>3</v>
      </c>
      <c r="W2609" s="16" t="s">
        <v>62</v>
      </c>
      <c r="X2609" s="2" t="s">
        <v>66</v>
      </c>
      <c r="Y2609" s="27">
        <v>43908</v>
      </c>
      <c r="Z2609" s="16" t="s">
        <v>66</v>
      </c>
      <c r="AA2609" s="7">
        <v>43956</v>
      </c>
      <c r="AB2609" s="2" t="s">
        <v>6741</v>
      </c>
    </row>
    <row r="2610" spans="1:28">
      <c r="A2610" s="285"/>
      <c r="C2610" s="25">
        <v>161</v>
      </c>
      <c r="D2610" s="2">
        <v>26973</v>
      </c>
      <c r="E2610" s="2" t="s">
        <v>5977</v>
      </c>
      <c r="F2610" s="3">
        <v>28310010121536</v>
      </c>
      <c r="G2610" s="2" t="s">
        <v>34</v>
      </c>
      <c r="H2610" s="2" t="s">
        <v>5978</v>
      </c>
      <c r="I2610" s="2" t="s">
        <v>4315</v>
      </c>
      <c r="J2610" s="4">
        <v>43853</v>
      </c>
      <c r="K2610" s="2" t="s">
        <v>8</v>
      </c>
      <c r="L2610" s="2" t="s">
        <v>12</v>
      </c>
      <c r="M2610" s="2" t="s">
        <v>5940</v>
      </c>
      <c r="R2610" s="77">
        <v>3</v>
      </c>
      <c r="S2610" s="77">
        <v>3</v>
      </c>
      <c r="T2610" s="77">
        <v>2.5</v>
      </c>
      <c r="U2610" s="77">
        <v>2</v>
      </c>
      <c r="V2610" s="77">
        <v>3</v>
      </c>
      <c r="W2610" s="16" t="s">
        <v>170</v>
      </c>
      <c r="X2610" s="2" t="s">
        <v>66</v>
      </c>
      <c r="Y2610" s="45">
        <v>43892</v>
      </c>
      <c r="Z2610" s="16" t="s">
        <v>66</v>
      </c>
      <c r="AA2610" s="45">
        <v>43892</v>
      </c>
    </row>
    <row r="2611" spans="1:28">
      <c r="A2611" s="285"/>
      <c r="C2611" s="25">
        <v>161</v>
      </c>
      <c r="D2611" s="2">
        <v>26974</v>
      </c>
      <c r="E2611" s="2" t="s">
        <v>5979</v>
      </c>
      <c r="F2611" s="3" t="s">
        <v>5980</v>
      </c>
      <c r="G2611" s="157" t="s">
        <v>34</v>
      </c>
      <c r="H2611" s="2" t="s">
        <v>5981</v>
      </c>
      <c r="I2611" s="2" t="s">
        <v>4315</v>
      </c>
      <c r="J2611" s="4">
        <v>43853</v>
      </c>
      <c r="K2611" s="2" t="s">
        <v>8</v>
      </c>
      <c r="L2611" s="2" t="s">
        <v>12</v>
      </c>
      <c r="M2611" s="2" t="s">
        <v>5982</v>
      </c>
      <c r="R2611" s="77">
        <v>3</v>
      </c>
      <c r="S2611" s="77">
        <v>2</v>
      </c>
      <c r="T2611" s="77">
        <v>2</v>
      </c>
      <c r="U2611" s="77">
        <v>1.5</v>
      </c>
      <c r="V2611" s="77">
        <v>3</v>
      </c>
      <c r="W2611" s="16" t="s">
        <v>3321</v>
      </c>
      <c r="Y2611" s="7">
        <v>43881</v>
      </c>
      <c r="Z2611" s="16" t="s">
        <v>66</v>
      </c>
      <c r="AA2611" s="7">
        <v>43891</v>
      </c>
      <c r="AB2611" s="2" t="s">
        <v>6257</v>
      </c>
    </row>
    <row r="2612" spans="1:28">
      <c r="A2612" s="285"/>
      <c r="C2612" s="25">
        <v>161</v>
      </c>
      <c r="D2612" s="2">
        <v>26975</v>
      </c>
      <c r="E2612" s="2" t="s">
        <v>5983</v>
      </c>
      <c r="F2612" s="3">
        <v>29102182103248</v>
      </c>
      <c r="G2612" s="2" t="s">
        <v>34</v>
      </c>
      <c r="H2612" s="2" t="s">
        <v>5984</v>
      </c>
      <c r="I2612" s="2" t="s">
        <v>4315</v>
      </c>
      <c r="J2612" s="4">
        <v>43853</v>
      </c>
      <c r="K2612" s="2" t="s">
        <v>8</v>
      </c>
      <c r="L2612" s="2" t="s">
        <v>12</v>
      </c>
      <c r="M2612" s="2" t="s">
        <v>5942</v>
      </c>
      <c r="R2612" s="77">
        <v>3</v>
      </c>
      <c r="S2612" s="77">
        <v>2.5</v>
      </c>
      <c r="T2612" s="77">
        <v>2</v>
      </c>
      <c r="U2612" s="77">
        <v>2</v>
      </c>
      <c r="V2612" s="77">
        <v>3</v>
      </c>
      <c r="W2612" s="16" t="s">
        <v>59</v>
      </c>
      <c r="X2612" s="2" t="s">
        <v>67</v>
      </c>
      <c r="Y2612" s="45">
        <v>43881</v>
      </c>
      <c r="Z2612" s="16" t="s">
        <v>67</v>
      </c>
    </row>
    <row r="2613" spans="1:28">
      <c r="A2613" s="285"/>
      <c r="C2613" s="25">
        <v>161</v>
      </c>
      <c r="D2613" s="2">
        <v>26976</v>
      </c>
      <c r="E2613" s="2" t="s">
        <v>5985</v>
      </c>
      <c r="F2613" s="3">
        <v>29504222300077</v>
      </c>
      <c r="G2613" s="2" t="s">
        <v>34</v>
      </c>
      <c r="H2613" s="2" t="s">
        <v>5986</v>
      </c>
      <c r="I2613" s="2" t="s">
        <v>4315</v>
      </c>
      <c r="J2613" s="4">
        <v>43853</v>
      </c>
      <c r="K2613" s="2" t="s">
        <v>8</v>
      </c>
      <c r="L2613" s="2" t="s">
        <v>12</v>
      </c>
      <c r="M2613" s="2" t="s">
        <v>147</v>
      </c>
      <c r="R2613" s="77">
        <v>3</v>
      </c>
      <c r="S2613" s="77">
        <v>2</v>
      </c>
      <c r="T2613" s="77">
        <v>2</v>
      </c>
      <c r="U2613" s="77">
        <v>2</v>
      </c>
      <c r="V2613" s="77">
        <v>3</v>
      </c>
      <c r="W2613" s="16" t="s">
        <v>62</v>
      </c>
      <c r="Y2613" s="7">
        <v>43881</v>
      </c>
      <c r="Z2613" s="16" t="s">
        <v>66</v>
      </c>
      <c r="AA2613" s="7">
        <v>43893</v>
      </c>
      <c r="AB2613" s="2" t="s">
        <v>6255</v>
      </c>
    </row>
    <row r="2614" spans="1:28">
      <c r="A2614" s="285"/>
      <c r="C2614" s="25">
        <v>161</v>
      </c>
      <c r="D2614" s="2">
        <v>26977</v>
      </c>
      <c r="E2614" s="2" t="s">
        <v>5987</v>
      </c>
      <c r="F2614" s="3">
        <v>29708170103434</v>
      </c>
      <c r="G2614" s="2" t="s">
        <v>34</v>
      </c>
      <c r="H2614" s="2" t="s">
        <v>5988</v>
      </c>
      <c r="I2614" s="2" t="s">
        <v>4315</v>
      </c>
      <c r="J2614" s="4">
        <v>43853</v>
      </c>
      <c r="K2614" s="2" t="s">
        <v>8</v>
      </c>
      <c r="L2614" s="2" t="s">
        <v>12</v>
      </c>
      <c r="M2614" s="2" t="s">
        <v>4257</v>
      </c>
      <c r="R2614" s="77">
        <v>3</v>
      </c>
      <c r="S2614" s="77">
        <v>2.5</v>
      </c>
      <c r="T2614" s="77">
        <v>2</v>
      </c>
      <c r="U2614" s="77">
        <v>2</v>
      </c>
      <c r="V2614" s="77">
        <v>3</v>
      </c>
      <c r="W2614" s="16" t="s">
        <v>62</v>
      </c>
      <c r="Y2614" s="7">
        <v>43881</v>
      </c>
      <c r="Z2614" s="16" t="s">
        <v>66</v>
      </c>
      <c r="AA2614" s="7">
        <v>43891</v>
      </c>
      <c r="AB2614" s="2" t="s">
        <v>6257</v>
      </c>
    </row>
    <row r="2615" spans="1:28">
      <c r="A2615" s="285"/>
      <c r="C2615" s="25">
        <v>161</v>
      </c>
      <c r="D2615" s="2">
        <v>26978</v>
      </c>
      <c r="E2615" s="2" t="s">
        <v>5989</v>
      </c>
      <c r="F2615" s="3">
        <v>29804102101732</v>
      </c>
      <c r="G2615" s="2" t="s">
        <v>34</v>
      </c>
      <c r="H2615" s="2" t="s">
        <v>5990</v>
      </c>
      <c r="I2615" s="2" t="s">
        <v>4315</v>
      </c>
      <c r="J2615" s="4">
        <v>43853</v>
      </c>
      <c r="K2615" s="2" t="s">
        <v>8</v>
      </c>
      <c r="L2615" s="2" t="s">
        <v>12</v>
      </c>
      <c r="M2615" s="2" t="s">
        <v>53</v>
      </c>
      <c r="R2615" s="77">
        <v>3</v>
      </c>
      <c r="S2615" s="77">
        <v>2.5</v>
      </c>
      <c r="T2615" s="77">
        <v>2</v>
      </c>
      <c r="U2615" s="77">
        <v>2.5</v>
      </c>
      <c r="V2615" s="77">
        <v>3</v>
      </c>
      <c r="W2615" s="16" t="s">
        <v>171</v>
      </c>
      <c r="Y2615" s="7">
        <v>43881</v>
      </c>
      <c r="AB2615" s="2" t="s">
        <v>6269</v>
      </c>
    </row>
    <row r="2616" spans="1:28">
      <c r="A2616" s="285"/>
      <c r="C2616" s="25">
        <v>161</v>
      </c>
      <c r="D2616" s="2">
        <v>26979</v>
      </c>
      <c r="E2616" s="2" t="s">
        <v>5991</v>
      </c>
      <c r="F2616" s="3">
        <v>29812222102468</v>
      </c>
      <c r="G2616" s="2" t="s">
        <v>4025</v>
      </c>
      <c r="H2616" s="2" t="s">
        <v>5992</v>
      </c>
      <c r="I2616" s="2" t="s">
        <v>4315</v>
      </c>
      <c r="J2616" s="4">
        <v>43853</v>
      </c>
      <c r="K2616" s="2" t="s">
        <v>8</v>
      </c>
      <c r="L2616" s="2" t="s">
        <v>12</v>
      </c>
      <c r="M2616" s="2" t="s">
        <v>109</v>
      </c>
      <c r="R2616" s="77">
        <v>3</v>
      </c>
      <c r="S2616" s="77">
        <v>3</v>
      </c>
      <c r="T2616" s="77">
        <v>2.5</v>
      </c>
      <c r="U2616" s="77">
        <v>2</v>
      </c>
      <c r="V2616" s="77">
        <v>3</v>
      </c>
      <c r="W2616" s="16" t="s">
        <v>170</v>
      </c>
      <c r="Y2616" s="7">
        <v>43881</v>
      </c>
      <c r="Z2616" s="16" t="s">
        <v>66</v>
      </c>
      <c r="AA2616" s="7">
        <v>43892</v>
      </c>
    </row>
    <row r="2617" spans="1:28">
      <c r="A2617" s="285"/>
      <c r="C2617" s="25">
        <v>161</v>
      </c>
      <c r="D2617" s="2">
        <v>26980</v>
      </c>
      <c r="E2617" s="2" t="s">
        <v>5993</v>
      </c>
      <c r="F2617" s="3">
        <v>29310011711659</v>
      </c>
      <c r="G2617" s="2" t="s">
        <v>4025</v>
      </c>
      <c r="H2617" s="2" t="s">
        <v>5994</v>
      </c>
      <c r="I2617" s="2" t="s">
        <v>4315</v>
      </c>
      <c r="J2617" s="4">
        <v>43853</v>
      </c>
      <c r="K2617" s="2" t="s">
        <v>8</v>
      </c>
      <c r="L2617" s="2" t="s">
        <v>12</v>
      </c>
      <c r="M2617" s="2" t="s">
        <v>5246</v>
      </c>
      <c r="R2617" s="77">
        <v>3</v>
      </c>
      <c r="S2617" s="77">
        <v>2.5</v>
      </c>
      <c r="T2617" s="77">
        <v>2</v>
      </c>
      <c r="U2617" s="77">
        <v>2</v>
      </c>
      <c r="V2617" s="77">
        <v>3</v>
      </c>
      <c r="W2617" s="16" t="s">
        <v>62</v>
      </c>
      <c r="Y2617" s="7">
        <v>43881</v>
      </c>
      <c r="Z2617" s="16" t="s">
        <v>66</v>
      </c>
      <c r="AA2617" s="7">
        <v>43956</v>
      </c>
      <c r="AB2617" s="2" t="s">
        <v>6743</v>
      </c>
    </row>
    <row r="2618" spans="1:28" ht="15.75" thickBot="1">
      <c r="A2618" s="286"/>
      <c r="C2618" s="28">
        <v>161</v>
      </c>
      <c r="D2618" s="28">
        <v>26981</v>
      </c>
      <c r="E2618" s="28" t="s">
        <v>5995</v>
      </c>
      <c r="F2618" s="29">
        <v>29711212100113</v>
      </c>
      <c r="G2618" s="28" t="s">
        <v>34</v>
      </c>
      <c r="H2618" s="28" t="s">
        <v>5996</v>
      </c>
      <c r="I2618" s="28" t="s">
        <v>4315</v>
      </c>
      <c r="J2618" s="30">
        <v>43853</v>
      </c>
      <c r="K2618" s="28" t="s">
        <v>8</v>
      </c>
      <c r="L2618" s="28" t="s">
        <v>12</v>
      </c>
      <c r="M2618" s="28" t="s">
        <v>5940</v>
      </c>
      <c r="N2618" s="28"/>
      <c r="O2618" s="226"/>
      <c r="P2618" s="28"/>
      <c r="Q2618" s="226"/>
      <c r="R2618" s="37">
        <v>3</v>
      </c>
      <c r="S2618" s="37">
        <v>3</v>
      </c>
      <c r="T2618" s="37">
        <v>2.5</v>
      </c>
      <c r="U2618" s="37">
        <v>2</v>
      </c>
      <c r="V2618" s="37">
        <v>3</v>
      </c>
      <c r="W2618" s="28" t="s">
        <v>4212</v>
      </c>
      <c r="X2618" s="28" t="s">
        <v>66</v>
      </c>
      <c r="Y2618" s="30">
        <v>43908</v>
      </c>
      <c r="Z2618" s="28" t="s">
        <v>66</v>
      </c>
      <c r="AA2618" s="30">
        <v>43920</v>
      </c>
      <c r="AB2618" s="28"/>
    </row>
    <row r="2619" spans="1:28" ht="15.75" thickTop="1">
      <c r="A2619" s="284" t="s">
        <v>3129</v>
      </c>
      <c r="C2619" s="25">
        <v>162</v>
      </c>
      <c r="D2619" s="25">
        <v>26982</v>
      </c>
      <c r="E2619" s="25" t="s">
        <v>6052</v>
      </c>
      <c r="F2619" s="26">
        <v>29801012121701</v>
      </c>
      <c r="G2619" s="25" t="s">
        <v>4025</v>
      </c>
      <c r="H2619" s="25" t="s">
        <v>6053</v>
      </c>
      <c r="I2619" s="25" t="s">
        <v>4315</v>
      </c>
      <c r="J2619" s="27">
        <v>43858</v>
      </c>
      <c r="K2619" s="25" t="s">
        <v>8</v>
      </c>
      <c r="L2619" s="25" t="s">
        <v>12</v>
      </c>
      <c r="M2619" s="25" t="s">
        <v>5942</v>
      </c>
      <c r="N2619" s="25"/>
      <c r="O2619" s="224"/>
      <c r="P2619" s="25"/>
      <c r="Q2619" s="224"/>
      <c r="R2619" s="77">
        <v>3</v>
      </c>
      <c r="S2619" s="77">
        <v>2.5</v>
      </c>
      <c r="T2619" s="77">
        <v>2.5</v>
      </c>
      <c r="U2619" s="77">
        <v>2</v>
      </c>
      <c r="V2619" s="77">
        <v>3</v>
      </c>
      <c r="W2619" s="25" t="s">
        <v>170</v>
      </c>
      <c r="X2619" s="25"/>
      <c r="Y2619" s="27">
        <v>43887</v>
      </c>
      <c r="Z2619" s="25" t="s">
        <v>66</v>
      </c>
      <c r="AA2619" s="27">
        <v>44046</v>
      </c>
      <c r="AB2619" s="25" t="s">
        <v>6585</v>
      </c>
    </row>
    <row r="2620" spans="1:28">
      <c r="A2620" s="285"/>
      <c r="C2620" s="25">
        <v>162</v>
      </c>
      <c r="D2620" s="2">
        <v>26983</v>
      </c>
      <c r="E2620" s="2" t="s">
        <v>6054</v>
      </c>
      <c r="F2620" s="3">
        <v>29707050102501</v>
      </c>
      <c r="G2620" s="2" t="s">
        <v>34</v>
      </c>
      <c r="H2620" s="103" t="s">
        <v>6055</v>
      </c>
      <c r="I2620" s="2" t="s">
        <v>4315</v>
      </c>
      <c r="J2620" s="4">
        <v>43858</v>
      </c>
      <c r="K2620" s="2" t="s">
        <v>8</v>
      </c>
      <c r="L2620" s="2" t="s">
        <v>12</v>
      </c>
      <c r="M2620" s="2" t="s">
        <v>5205</v>
      </c>
      <c r="R2620" s="77">
        <v>3</v>
      </c>
      <c r="S2620" s="77">
        <v>3</v>
      </c>
      <c r="T2620" s="77">
        <v>2.5</v>
      </c>
      <c r="U2620" s="77">
        <v>2</v>
      </c>
      <c r="V2620" s="77">
        <v>3</v>
      </c>
      <c r="W2620" s="16" t="s">
        <v>170</v>
      </c>
      <c r="Y2620" s="7">
        <v>43887</v>
      </c>
      <c r="Z2620" s="16" t="s">
        <v>66</v>
      </c>
      <c r="AA2620" s="45">
        <v>43892</v>
      </c>
    </row>
    <row r="2621" spans="1:28">
      <c r="A2621" s="285"/>
      <c r="C2621" s="25">
        <v>162</v>
      </c>
      <c r="D2621" s="2">
        <v>26984</v>
      </c>
      <c r="E2621" s="2" t="s">
        <v>6056</v>
      </c>
      <c r="F2621" s="3">
        <v>29506120100815</v>
      </c>
      <c r="G2621" s="2" t="s">
        <v>34</v>
      </c>
      <c r="H2621" s="103" t="s">
        <v>6057</v>
      </c>
      <c r="I2621" s="2" t="s">
        <v>4315</v>
      </c>
      <c r="J2621" s="4">
        <v>43858</v>
      </c>
      <c r="K2621" s="2" t="s">
        <v>8</v>
      </c>
      <c r="L2621" s="2" t="s">
        <v>12</v>
      </c>
      <c r="M2621" s="2" t="s">
        <v>6058</v>
      </c>
      <c r="R2621" s="77">
        <v>3</v>
      </c>
      <c r="S2621" s="77">
        <v>3</v>
      </c>
      <c r="T2621" s="77">
        <v>2</v>
      </c>
      <c r="U2621" s="77">
        <v>2.5</v>
      </c>
      <c r="V2621" s="77">
        <v>3</v>
      </c>
      <c r="W2621" s="16" t="s">
        <v>4212</v>
      </c>
      <c r="Y2621" s="7">
        <v>43887</v>
      </c>
      <c r="Z2621" s="16" t="s">
        <v>66</v>
      </c>
      <c r="AA2621" s="7">
        <v>43898</v>
      </c>
    </row>
    <row r="2622" spans="1:28">
      <c r="A2622" s="285"/>
      <c r="C2622" s="25">
        <v>162</v>
      </c>
      <c r="D2622" s="2">
        <v>26985</v>
      </c>
      <c r="E2622" s="2" t="s">
        <v>6059</v>
      </c>
      <c r="F2622" s="3">
        <v>29802118800034</v>
      </c>
      <c r="G2622" s="2" t="s">
        <v>34</v>
      </c>
      <c r="H2622" s="103" t="s">
        <v>6060</v>
      </c>
      <c r="I2622" s="2" t="s">
        <v>4315</v>
      </c>
      <c r="J2622" s="4">
        <v>43858</v>
      </c>
      <c r="K2622" s="2" t="s">
        <v>8</v>
      </c>
      <c r="L2622" s="2" t="s">
        <v>12</v>
      </c>
      <c r="M2622" s="2" t="s">
        <v>149</v>
      </c>
      <c r="R2622" s="77">
        <v>3</v>
      </c>
      <c r="S2622" s="77">
        <v>2.5</v>
      </c>
      <c r="T2622" s="77">
        <v>2.5</v>
      </c>
      <c r="U2622" s="77">
        <v>2.5</v>
      </c>
      <c r="V2622" s="77">
        <v>3</v>
      </c>
      <c r="W2622" s="16" t="s">
        <v>60</v>
      </c>
      <c r="X2622" s="2" t="s">
        <v>66</v>
      </c>
      <c r="Y2622" s="45">
        <v>43908</v>
      </c>
      <c r="Z2622" s="16" t="s">
        <v>66</v>
      </c>
      <c r="AA2622" s="45">
        <v>43920</v>
      </c>
      <c r="AB2622" s="2" t="s">
        <v>6519</v>
      </c>
    </row>
    <row r="2623" spans="1:28">
      <c r="A2623" s="285"/>
      <c r="C2623" s="25">
        <v>162</v>
      </c>
      <c r="D2623" s="2">
        <v>26986</v>
      </c>
      <c r="E2623" s="2" t="s">
        <v>6061</v>
      </c>
      <c r="F2623" s="3">
        <v>29412271500161</v>
      </c>
      <c r="G2623" s="2" t="s">
        <v>34</v>
      </c>
      <c r="H2623" s="103" t="s">
        <v>6062</v>
      </c>
      <c r="I2623" s="2" t="s">
        <v>4315</v>
      </c>
      <c r="J2623" s="4">
        <v>43858</v>
      </c>
      <c r="K2623" s="2" t="s">
        <v>8</v>
      </c>
      <c r="L2623" s="2" t="s">
        <v>12</v>
      </c>
      <c r="M2623" s="2" t="s">
        <v>5940</v>
      </c>
      <c r="W2623" s="16" t="s">
        <v>64</v>
      </c>
      <c r="Z2623" s="16" t="s">
        <v>67</v>
      </c>
    </row>
    <row r="2624" spans="1:28">
      <c r="A2624" s="285"/>
      <c r="C2624" s="25">
        <v>162</v>
      </c>
      <c r="D2624" s="2">
        <v>26987</v>
      </c>
      <c r="E2624" s="2" t="s">
        <v>6063</v>
      </c>
      <c r="F2624" s="3">
        <v>29408222800259</v>
      </c>
      <c r="G2624" s="2" t="s">
        <v>34</v>
      </c>
      <c r="H2624" s="103" t="s">
        <v>6064</v>
      </c>
      <c r="I2624" s="2" t="s">
        <v>4315</v>
      </c>
      <c r="J2624" s="4">
        <v>43858</v>
      </c>
      <c r="K2624" s="2" t="s">
        <v>8</v>
      </c>
      <c r="L2624" s="2" t="s">
        <v>12</v>
      </c>
      <c r="M2624" s="2" t="s">
        <v>109</v>
      </c>
      <c r="R2624" s="77">
        <v>3</v>
      </c>
      <c r="S2624" s="77">
        <v>2.5</v>
      </c>
      <c r="T2624" s="77">
        <v>2.5</v>
      </c>
      <c r="U2624" s="77">
        <v>2.5</v>
      </c>
      <c r="V2624" s="77">
        <v>3</v>
      </c>
      <c r="W2624" s="16" t="s">
        <v>60</v>
      </c>
      <c r="X2624" s="2" t="s">
        <v>66</v>
      </c>
      <c r="Y2624" s="45">
        <v>43908</v>
      </c>
      <c r="Z2624" s="16" t="s">
        <v>66</v>
      </c>
      <c r="AA2624" s="7">
        <v>43920</v>
      </c>
      <c r="AB2624" s="2" t="s">
        <v>6517</v>
      </c>
    </row>
    <row r="2625" spans="1:28">
      <c r="A2625" s="285"/>
      <c r="C2625" s="25">
        <v>162</v>
      </c>
      <c r="D2625" s="2">
        <v>26988</v>
      </c>
      <c r="E2625" s="2" t="s">
        <v>6065</v>
      </c>
      <c r="F2625" s="3">
        <v>30011058800631</v>
      </c>
      <c r="G2625" s="2" t="s">
        <v>5890</v>
      </c>
      <c r="H2625" s="103" t="s">
        <v>6066</v>
      </c>
      <c r="I2625" s="2" t="s">
        <v>4315</v>
      </c>
      <c r="J2625" s="4">
        <v>43858</v>
      </c>
      <c r="K2625" s="2" t="s">
        <v>8</v>
      </c>
      <c r="L2625" s="2" t="s">
        <v>12</v>
      </c>
      <c r="M2625" s="2" t="s">
        <v>5982</v>
      </c>
      <c r="R2625" s="77">
        <v>3</v>
      </c>
      <c r="S2625" s="77">
        <v>3</v>
      </c>
      <c r="T2625" s="77">
        <v>2.5</v>
      </c>
      <c r="U2625" s="77">
        <v>2</v>
      </c>
      <c r="V2625" s="77">
        <v>3</v>
      </c>
      <c r="W2625" s="16" t="s">
        <v>60</v>
      </c>
      <c r="Y2625" s="7">
        <v>43887</v>
      </c>
      <c r="Z2625" s="16" t="s">
        <v>66</v>
      </c>
      <c r="AA2625" s="45">
        <v>43892</v>
      </c>
    </row>
    <row r="2626" spans="1:28">
      <c r="A2626" s="285"/>
      <c r="C2626" s="25">
        <v>162</v>
      </c>
      <c r="D2626" s="2">
        <v>26989</v>
      </c>
      <c r="E2626" s="2" t="s">
        <v>6067</v>
      </c>
      <c r="F2626" s="3">
        <v>29612310100387</v>
      </c>
      <c r="G2626" s="2" t="s">
        <v>34</v>
      </c>
      <c r="H2626" s="103" t="s">
        <v>6068</v>
      </c>
      <c r="I2626" s="2" t="s">
        <v>4315</v>
      </c>
      <c r="J2626" s="4">
        <v>43858</v>
      </c>
      <c r="K2626" s="2" t="s">
        <v>8</v>
      </c>
      <c r="L2626" s="2" t="s">
        <v>12</v>
      </c>
      <c r="M2626" s="2" t="s">
        <v>4753</v>
      </c>
      <c r="R2626" s="77">
        <v>3</v>
      </c>
      <c r="S2626" s="77">
        <v>2</v>
      </c>
      <c r="T2626" s="77">
        <v>2</v>
      </c>
      <c r="U2626" s="77">
        <v>2</v>
      </c>
      <c r="V2626" s="77">
        <v>3</v>
      </c>
      <c r="W2626" s="16" t="s">
        <v>62</v>
      </c>
      <c r="Y2626" s="7">
        <v>43887</v>
      </c>
      <c r="Z2626" s="16" t="s">
        <v>66</v>
      </c>
      <c r="AA2626" s="7">
        <v>43905</v>
      </c>
    </row>
    <row r="2627" spans="1:28">
      <c r="A2627" s="285"/>
      <c r="C2627" s="25">
        <v>162</v>
      </c>
      <c r="D2627" s="2">
        <v>26990</v>
      </c>
      <c r="E2627" s="2" t="s">
        <v>6069</v>
      </c>
      <c r="F2627" s="3">
        <v>29809270100956</v>
      </c>
      <c r="G2627" s="2" t="s">
        <v>5890</v>
      </c>
      <c r="H2627" s="103" t="s">
        <v>6070</v>
      </c>
      <c r="I2627" s="2" t="s">
        <v>4315</v>
      </c>
      <c r="J2627" s="4">
        <v>43858</v>
      </c>
      <c r="K2627" s="2" t="s">
        <v>8</v>
      </c>
      <c r="L2627" s="2" t="s">
        <v>12</v>
      </c>
      <c r="M2627" s="2" t="s">
        <v>6071</v>
      </c>
      <c r="R2627" s="77">
        <v>3</v>
      </c>
      <c r="S2627" s="77">
        <v>3</v>
      </c>
      <c r="T2627" s="77">
        <v>2.5</v>
      </c>
      <c r="U2627" s="77">
        <v>2.5</v>
      </c>
      <c r="V2627" s="77">
        <v>3</v>
      </c>
      <c r="W2627" s="16" t="s">
        <v>60</v>
      </c>
      <c r="X2627" s="2" t="s">
        <v>66</v>
      </c>
      <c r="Y2627" s="45">
        <v>43908</v>
      </c>
      <c r="Z2627" s="16" t="s">
        <v>66</v>
      </c>
      <c r="AA2627" s="45">
        <v>43920</v>
      </c>
      <c r="AB2627" s="2" t="s">
        <v>6517</v>
      </c>
    </row>
    <row r="2628" spans="1:28">
      <c r="A2628" s="285"/>
      <c r="C2628" s="25">
        <v>162</v>
      </c>
      <c r="D2628" s="2">
        <v>26991</v>
      </c>
      <c r="E2628" s="2" t="s">
        <v>6072</v>
      </c>
      <c r="F2628" s="3">
        <v>29402140100129</v>
      </c>
      <c r="G2628" s="2" t="s">
        <v>34</v>
      </c>
      <c r="H2628" s="103" t="s">
        <v>6073</v>
      </c>
      <c r="I2628" s="2" t="s">
        <v>4315</v>
      </c>
      <c r="J2628" s="4">
        <v>43858</v>
      </c>
      <c r="K2628" s="2" t="s">
        <v>8</v>
      </c>
      <c r="L2628" s="2" t="s">
        <v>12</v>
      </c>
      <c r="M2628" s="2" t="s">
        <v>109</v>
      </c>
      <c r="R2628" s="77">
        <v>3</v>
      </c>
      <c r="S2628" s="77">
        <v>2</v>
      </c>
      <c r="T2628" s="77">
        <v>2</v>
      </c>
      <c r="U2628" s="77">
        <v>2</v>
      </c>
      <c r="V2628" s="77">
        <v>3</v>
      </c>
      <c r="W2628" s="16" t="s">
        <v>5714</v>
      </c>
      <c r="X2628" s="2" t="s">
        <v>67</v>
      </c>
      <c r="Y2628" s="45">
        <v>43887</v>
      </c>
      <c r="Z2628" s="16" t="s">
        <v>67</v>
      </c>
      <c r="AB2628" s="2" t="s">
        <v>5378</v>
      </c>
    </row>
    <row r="2629" spans="1:28">
      <c r="A2629" s="285"/>
      <c r="C2629" s="25">
        <v>162</v>
      </c>
      <c r="D2629" s="2">
        <v>26599</v>
      </c>
      <c r="E2629" s="2" t="s">
        <v>5744</v>
      </c>
      <c r="F2629" s="3">
        <v>29708090104502</v>
      </c>
      <c r="G2629" s="2" t="s">
        <v>34</v>
      </c>
      <c r="H2629" s="103" t="s">
        <v>5757</v>
      </c>
      <c r="R2629" s="77">
        <v>3</v>
      </c>
      <c r="S2629" s="77">
        <v>2</v>
      </c>
      <c r="T2629" s="77">
        <v>2.5</v>
      </c>
      <c r="U2629" s="77">
        <v>2</v>
      </c>
      <c r="V2629" s="77">
        <v>3</v>
      </c>
      <c r="W2629" s="16" t="s">
        <v>62</v>
      </c>
      <c r="Y2629" s="45">
        <v>43887</v>
      </c>
      <c r="Z2629" s="16" t="s">
        <v>66</v>
      </c>
      <c r="AA2629" s="45">
        <v>43905</v>
      </c>
      <c r="AB2629" s="2" t="s">
        <v>6106</v>
      </c>
    </row>
    <row r="2630" spans="1:28">
      <c r="A2630" s="285"/>
      <c r="C2630" s="25">
        <v>162</v>
      </c>
      <c r="D2630" s="2">
        <v>26605</v>
      </c>
      <c r="E2630" s="2" t="s">
        <v>5750</v>
      </c>
      <c r="F2630" s="3">
        <v>28610140100691</v>
      </c>
      <c r="G2630" s="2" t="s">
        <v>34</v>
      </c>
      <c r="H2630" s="103" t="s">
        <v>5763</v>
      </c>
      <c r="R2630" s="77">
        <v>3</v>
      </c>
      <c r="S2630" s="77">
        <v>2.5</v>
      </c>
      <c r="T2630" s="77">
        <v>2</v>
      </c>
      <c r="U2630" s="77">
        <v>2.5</v>
      </c>
      <c r="V2630" s="77">
        <v>3</v>
      </c>
      <c r="W2630" s="16" t="s">
        <v>61</v>
      </c>
      <c r="X2630" s="2" t="s">
        <v>66</v>
      </c>
      <c r="Y2630" s="45">
        <v>43908</v>
      </c>
      <c r="Z2630" s="16" t="s">
        <v>66</v>
      </c>
      <c r="AA2630" s="7">
        <v>43940</v>
      </c>
    </row>
    <row r="2631" spans="1:28">
      <c r="A2631" s="285"/>
      <c r="C2631" s="25">
        <v>162</v>
      </c>
      <c r="D2631" s="2">
        <v>26606</v>
      </c>
      <c r="E2631" s="2" t="s">
        <v>5751</v>
      </c>
      <c r="F2631" s="3">
        <v>28812310100935</v>
      </c>
      <c r="G2631" s="2" t="s">
        <v>34</v>
      </c>
      <c r="H2631" s="2" t="s">
        <v>5764</v>
      </c>
      <c r="R2631" s="77">
        <v>3</v>
      </c>
      <c r="S2631" s="77">
        <v>2.5</v>
      </c>
      <c r="T2631" s="77">
        <v>2.5</v>
      </c>
      <c r="U2631" s="77">
        <v>2</v>
      </c>
      <c r="V2631" s="77">
        <v>3</v>
      </c>
      <c r="W2631" s="16" t="s">
        <v>502</v>
      </c>
      <c r="X2631" s="2" t="s">
        <v>66</v>
      </c>
      <c r="Y2631" s="45">
        <v>43908</v>
      </c>
      <c r="Z2631" s="16" t="s">
        <v>66</v>
      </c>
      <c r="AA2631" s="45">
        <v>43920</v>
      </c>
    </row>
    <row r="2632" spans="1:28" ht="15.75" thickBot="1">
      <c r="A2632" s="286"/>
      <c r="C2632" s="28">
        <v>162</v>
      </c>
      <c r="D2632" s="28">
        <v>26607</v>
      </c>
      <c r="E2632" s="28" t="s">
        <v>5753</v>
      </c>
      <c r="F2632" s="29">
        <v>29703278800261</v>
      </c>
      <c r="G2632" s="28" t="s">
        <v>34</v>
      </c>
      <c r="H2632" s="28" t="s">
        <v>5765</v>
      </c>
      <c r="I2632" s="28"/>
      <c r="J2632" s="30"/>
      <c r="K2632" s="28"/>
      <c r="L2632" s="28"/>
      <c r="M2632" s="28"/>
      <c r="N2632" s="28"/>
      <c r="O2632" s="226"/>
      <c r="P2632" s="28"/>
      <c r="Q2632" s="226"/>
      <c r="R2632" s="37">
        <v>3</v>
      </c>
      <c r="S2632" s="37">
        <v>3</v>
      </c>
      <c r="T2632" s="37">
        <v>2</v>
      </c>
      <c r="U2632" s="37">
        <v>2.5</v>
      </c>
      <c r="V2632" s="37">
        <v>3</v>
      </c>
      <c r="W2632" s="28" t="s">
        <v>171</v>
      </c>
      <c r="X2632" s="28"/>
      <c r="Y2632" s="30">
        <v>43887</v>
      </c>
      <c r="Z2632" s="28" t="s">
        <v>66</v>
      </c>
      <c r="AA2632" s="30">
        <v>43891</v>
      </c>
      <c r="AB2632" s="28"/>
    </row>
    <row r="2633" spans="1:28" ht="15.75" thickTop="1">
      <c r="A2633" s="284" t="s">
        <v>4517</v>
      </c>
      <c r="C2633" s="25" t="s">
        <v>6100</v>
      </c>
      <c r="D2633" s="25">
        <v>27055</v>
      </c>
      <c r="E2633" s="25" t="s">
        <v>6076</v>
      </c>
      <c r="F2633" s="26">
        <v>29509142103752</v>
      </c>
      <c r="G2633" s="25" t="s">
        <v>34</v>
      </c>
      <c r="H2633" s="34" t="s">
        <v>6088</v>
      </c>
      <c r="I2633" s="25" t="s">
        <v>4315</v>
      </c>
      <c r="J2633" s="27">
        <v>43860</v>
      </c>
      <c r="K2633" s="25" t="s">
        <v>798</v>
      </c>
      <c r="L2633" s="25" t="s">
        <v>12</v>
      </c>
      <c r="M2633" s="25" t="s">
        <v>4706</v>
      </c>
      <c r="N2633" s="25"/>
      <c r="O2633" s="224"/>
      <c r="P2633" s="25"/>
      <c r="Q2633" s="224"/>
      <c r="R2633" s="77">
        <v>3</v>
      </c>
      <c r="S2633" s="77">
        <v>2.5</v>
      </c>
      <c r="T2633" s="77">
        <v>2</v>
      </c>
      <c r="U2633" s="77">
        <v>1.5</v>
      </c>
      <c r="V2633" s="77">
        <v>3</v>
      </c>
      <c r="W2633" s="25" t="s">
        <v>3321</v>
      </c>
      <c r="X2633" s="25"/>
      <c r="Y2633" s="27">
        <v>43888</v>
      </c>
      <c r="Z2633" s="25" t="s">
        <v>66</v>
      </c>
      <c r="AA2633" s="27">
        <v>44026</v>
      </c>
      <c r="AB2633" s="25"/>
    </row>
    <row r="2634" spans="1:28">
      <c r="A2634" s="285"/>
      <c r="C2634" s="25" t="s">
        <v>6100</v>
      </c>
      <c r="D2634" s="2">
        <v>27056</v>
      </c>
      <c r="E2634" s="2" t="s">
        <v>6077</v>
      </c>
      <c r="F2634" s="3">
        <v>30101182102453</v>
      </c>
      <c r="G2634" s="2" t="s">
        <v>5890</v>
      </c>
      <c r="H2634" s="8" t="s">
        <v>6089</v>
      </c>
      <c r="I2634" s="2" t="s">
        <v>4315</v>
      </c>
      <c r="J2634" s="4">
        <v>43860</v>
      </c>
      <c r="K2634" s="2" t="s">
        <v>798</v>
      </c>
      <c r="L2634" s="2" t="s">
        <v>12</v>
      </c>
      <c r="M2634" s="2" t="s">
        <v>5982</v>
      </c>
      <c r="R2634" s="77">
        <v>3</v>
      </c>
      <c r="S2634" s="77">
        <v>2.5</v>
      </c>
      <c r="T2634" s="77">
        <v>2</v>
      </c>
      <c r="U2634" s="77">
        <v>2</v>
      </c>
      <c r="V2634" s="77">
        <v>3</v>
      </c>
      <c r="W2634" s="16" t="s">
        <v>62</v>
      </c>
      <c r="Y2634" s="27">
        <v>43888</v>
      </c>
      <c r="Z2634" s="16" t="s">
        <v>66</v>
      </c>
      <c r="AA2634" s="45">
        <v>43905</v>
      </c>
    </row>
    <row r="2635" spans="1:28">
      <c r="A2635" s="285"/>
      <c r="C2635" s="25" t="s">
        <v>6100</v>
      </c>
      <c r="D2635" s="2">
        <v>27057</v>
      </c>
      <c r="E2635" s="2" t="s">
        <v>6078</v>
      </c>
      <c r="F2635" s="3">
        <v>29104240100494</v>
      </c>
      <c r="G2635" s="2" t="s">
        <v>34</v>
      </c>
      <c r="H2635" s="8" t="s">
        <v>6090</v>
      </c>
      <c r="I2635" s="2" t="s">
        <v>4315</v>
      </c>
      <c r="J2635" s="4">
        <v>43860</v>
      </c>
      <c r="K2635" s="2" t="s">
        <v>798</v>
      </c>
      <c r="L2635" s="2" t="s">
        <v>12</v>
      </c>
      <c r="M2635" s="2" t="s">
        <v>3890</v>
      </c>
      <c r="R2635" s="77">
        <v>3</v>
      </c>
      <c r="S2635" s="77">
        <v>3</v>
      </c>
      <c r="T2635" s="77">
        <v>2</v>
      </c>
      <c r="U2635" s="77">
        <v>1.5</v>
      </c>
      <c r="V2635" s="77">
        <v>3</v>
      </c>
      <c r="W2635" s="16" t="s">
        <v>4970</v>
      </c>
      <c r="Y2635" s="27">
        <v>43888</v>
      </c>
    </row>
    <row r="2636" spans="1:28">
      <c r="A2636" s="285"/>
      <c r="C2636" s="25" t="s">
        <v>6100</v>
      </c>
      <c r="D2636" s="2">
        <v>27058</v>
      </c>
      <c r="E2636" s="2" t="s">
        <v>6079</v>
      </c>
      <c r="F2636" s="3">
        <v>29009160103457</v>
      </c>
      <c r="G2636" s="2" t="s">
        <v>34</v>
      </c>
      <c r="H2636" s="8" t="s">
        <v>6091</v>
      </c>
      <c r="I2636" s="2" t="s">
        <v>4315</v>
      </c>
      <c r="J2636" s="4">
        <v>43860</v>
      </c>
      <c r="K2636" s="2" t="s">
        <v>798</v>
      </c>
      <c r="L2636" s="2" t="s">
        <v>12</v>
      </c>
      <c r="M2636" s="2" t="s">
        <v>5942</v>
      </c>
      <c r="R2636" s="77">
        <v>3</v>
      </c>
      <c r="S2636" s="77">
        <v>2.5</v>
      </c>
      <c r="T2636" s="77">
        <v>2</v>
      </c>
      <c r="U2636" s="77">
        <v>2</v>
      </c>
      <c r="V2636" s="77">
        <v>3</v>
      </c>
      <c r="W2636" s="16" t="s">
        <v>3244</v>
      </c>
      <c r="Y2636" s="27">
        <v>43888</v>
      </c>
    </row>
    <row r="2637" spans="1:28">
      <c r="A2637" s="285"/>
      <c r="C2637" s="25" t="s">
        <v>6100</v>
      </c>
      <c r="D2637" s="2">
        <v>27059</v>
      </c>
      <c r="E2637" s="2" t="s">
        <v>6080</v>
      </c>
      <c r="F2637" s="3">
        <v>29809101200097</v>
      </c>
      <c r="G2637" s="2" t="s">
        <v>34</v>
      </c>
      <c r="H2637" s="8" t="s">
        <v>6092</v>
      </c>
      <c r="I2637" s="2" t="s">
        <v>4315</v>
      </c>
      <c r="J2637" s="4">
        <v>43860</v>
      </c>
      <c r="K2637" s="2" t="s">
        <v>798</v>
      </c>
      <c r="L2637" s="2" t="s">
        <v>12</v>
      </c>
      <c r="M2637" s="2" t="s">
        <v>53</v>
      </c>
      <c r="R2637" s="77">
        <v>3</v>
      </c>
      <c r="S2637" s="77">
        <v>2.5</v>
      </c>
      <c r="T2637" s="77">
        <v>2</v>
      </c>
      <c r="U2637" s="77">
        <v>1.5</v>
      </c>
      <c r="V2637" s="77">
        <v>3</v>
      </c>
      <c r="W2637" s="16" t="s">
        <v>3818</v>
      </c>
      <c r="Y2637" s="27">
        <v>43888</v>
      </c>
    </row>
    <row r="2638" spans="1:28">
      <c r="A2638" s="285"/>
      <c r="C2638" s="25" t="s">
        <v>6100</v>
      </c>
      <c r="D2638" s="2">
        <v>27060</v>
      </c>
      <c r="E2638" s="2" t="s">
        <v>6081</v>
      </c>
      <c r="F2638" s="3">
        <v>29312202102841</v>
      </c>
      <c r="G2638" s="2" t="s">
        <v>34</v>
      </c>
      <c r="H2638" s="8" t="s">
        <v>6093</v>
      </c>
      <c r="I2638" s="2" t="s">
        <v>4315</v>
      </c>
      <c r="J2638" s="4">
        <v>43860</v>
      </c>
      <c r="K2638" s="2" t="s">
        <v>798</v>
      </c>
      <c r="L2638" s="2" t="s">
        <v>12</v>
      </c>
      <c r="M2638" s="2" t="s">
        <v>52</v>
      </c>
      <c r="R2638" s="77">
        <v>3</v>
      </c>
      <c r="S2638" s="77">
        <v>2.5</v>
      </c>
      <c r="T2638" s="77">
        <v>1.5</v>
      </c>
      <c r="U2638" s="77">
        <v>1.5</v>
      </c>
      <c r="V2638" s="77">
        <v>3</v>
      </c>
      <c r="W2638" s="16" t="s">
        <v>3818</v>
      </c>
      <c r="Y2638" s="27">
        <v>43888</v>
      </c>
    </row>
    <row r="2639" spans="1:28">
      <c r="A2639" s="285"/>
      <c r="C2639" s="25" t="s">
        <v>6100</v>
      </c>
      <c r="D2639" s="2">
        <v>27061</v>
      </c>
      <c r="E2639" s="2" t="s">
        <v>6082</v>
      </c>
      <c r="F2639" s="3">
        <v>28607121200152</v>
      </c>
      <c r="G2639" s="2" t="s">
        <v>34</v>
      </c>
      <c r="H2639" s="8" t="s">
        <v>6094</v>
      </c>
      <c r="I2639" s="2" t="s">
        <v>4315</v>
      </c>
      <c r="J2639" s="4">
        <v>43860</v>
      </c>
      <c r="K2639" s="2" t="s">
        <v>798</v>
      </c>
      <c r="L2639" s="2" t="s">
        <v>12</v>
      </c>
      <c r="M2639" s="2" t="s">
        <v>5940</v>
      </c>
      <c r="W2639" s="16" t="s">
        <v>64</v>
      </c>
      <c r="Z2639" s="16" t="s">
        <v>67</v>
      </c>
    </row>
    <row r="2640" spans="1:28">
      <c r="A2640" s="285"/>
      <c r="C2640" s="25" t="s">
        <v>6100</v>
      </c>
      <c r="D2640" s="2">
        <v>27062</v>
      </c>
      <c r="E2640" s="2" t="s">
        <v>6083</v>
      </c>
      <c r="F2640" s="3">
        <v>29803062101444</v>
      </c>
      <c r="G2640" s="2" t="s">
        <v>34</v>
      </c>
      <c r="H2640" s="8" t="s">
        <v>6095</v>
      </c>
      <c r="I2640" s="2" t="s">
        <v>4315</v>
      </c>
      <c r="J2640" s="4">
        <v>43860</v>
      </c>
      <c r="K2640" s="2" t="s">
        <v>798</v>
      </c>
      <c r="L2640" s="2" t="s">
        <v>12</v>
      </c>
      <c r="M2640" s="2" t="s">
        <v>5942</v>
      </c>
      <c r="R2640" s="77">
        <v>3</v>
      </c>
      <c r="S2640" s="77">
        <v>2.5</v>
      </c>
      <c r="T2640" s="77">
        <v>2</v>
      </c>
      <c r="U2640" s="77">
        <v>2.5</v>
      </c>
      <c r="V2640" s="77">
        <v>3</v>
      </c>
      <c r="W2640" s="16" t="s">
        <v>3244</v>
      </c>
      <c r="Y2640" s="27">
        <v>43888</v>
      </c>
    </row>
    <row r="2641" spans="1:28">
      <c r="A2641" s="285"/>
      <c r="C2641" s="25" t="s">
        <v>6100</v>
      </c>
      <c r="D2641" s="2">
        <v>27063</v>
      </c>
      <c r="E2641" s="2" t="s">
        <v>6084</v>
      </c>
      <c r="F2641" s="3">
        <v>29801012419424</v>
      </c>
      <c r="G2641" s="2" t="s">
        <v>34</v>
      </c>
      <c r="H2641" s="8" t="s">
        <v>6096</v>
      </c>
      <c r="I2641" s="2" t="s">
        <v>4315</v>
      </c>
      <c r="J2641" s="4">
        <v>43860</v>
      </c>
      <c r="K2641" s="2" t="s">
        <v>798</v>
      </c>
      <c r="L2641" s="2" t="s">
        <v>12</v>
      </c>
      <c r="M2641" s="2" t="s">
        <v>109</v>
      </c>
      <c r="W2641" s="16" t="s">
        <v>63</v>
      </c>
      <c r="Z2641" s="16" t="s">
        <v>67</v>
      </c>
    </row>
    <row r="2642" spans="1:28">
      <c r="A2642" s="285"/>
      <c r="C2642" s="25" t="s">
        <v>6100</v>
      </c>
      <c r="D2642" s="2">
        <v>27064</v>
      </c>
      <c r="E2642" s="2" t="s">
        <v>6085</v>
      </c>
      <c r="F2642" s="3">
        <v>29803010106979</v>
      </c>
      <c r="G2642" s="2" t="s">
        <v>5383</v>
      </c>
      <c r="H2642" s="8" t="s">
        <v>6097</v>
      </c>
      <c r="I2642" s="2" t="s">
        <v>4315</v>
      </c>
      <c r="J2642" s="4">
        <v>43860</v>
      </c>
      <c r="K2642" s="2" t="s">
        <v>798</v>
      </c>
      <c r="L2642" s="2" t="s">
        <v>12</v>
      </c>
      <c r="M2642" s="2" t="s">
        <v>5982</v>
      </c>
      <c r="R2642" s="77">
        <v>3</v>
      </c>
      <c r="S2642" s="77">
        <v>2.5</v>
      </c>
      <c r="T2642" s="77">
        <v>2</v>
      </c>
      <c r="U2642" s="77">
        <v>2</v>
      </c>
      <c r="V2642" s="77">
        <v>3</v>
      </c>
      <c r="W2642" s="16" t="s">
        <v>3244</v>
      </c>
      <c r="Y2642" s="27">
        <v>43888</v>
      </c>
    </row>
    <row r="2643" spans="1:28">
      <c r="A2643" s="285"/>
      <c r="C2643" s="25" t="s">
        <v>6100</v>
      </c>
      <c r="D2643" s="2">
        <v>27065</v>
      </c>
      <c r="E2643" s="2" t="s">
        <v>6086</v>
      </c>
      <c r="F2643" s="3">
        <v>29709050101604</v>
      </c>
      <c r="G2643" s="2" t="s">
        <v>34</v>
      </c>
      <c r="H2643" s="8" t="s">
        <v>6098</v>
      </c>
      <c r="I2643" s="2" t="s">
        <v>4315</v>
      </c>
      <c r="J2643" s="4">
        <v>43860</v>
      </c>
      <c r="K2643" s="2" t="s">
        <v>798</v>
      </c>
      <c r="L2643" s="2" t="s">
        <v>12</v>
      </c>
      <c r="M2643" s="2" t="s">
        <v>5123</v>
      </c>
      <c r="W2643" s="16" t="s">
        <v>64</v>
      </c>
      <c r="Z2643" s="16" t="s">
        <v>67</v>
      </c>
    </row>
    <row r="2644" spans="1:28" ht="15.75" thickBot="1">
      <c r="A2644" s="286"/>
      <c r="C2644" s="28" t="s">
        <v>6100</v>
      </c>
      <c r="D2644" s="28">
        <v>27066</v>
      </c>
      <c r="E2644" s="28" t="s">
        <v>6087</v>
      </c>
      <c r="F2644" s="29">
        <v>29707262702231</v>
      </c>
      <c r="G2644" s="28" t="s">
        <v>3892</v>
      </c>
      <c r="H2644" s="78" t="s">
        <v>6099</v>
      </c>
      <c r="I2644" s="28" t="s">
        <v>4315</v>
      </c>
      <c r="J2644" s="30">
        <v>43860</v>
      </c>
      <c r="K2644" s="28" t="s">
        <v>798</v>
      </c>
      <c r="L2644" s="28" t="s">
        <v>12</v>
      </c>
      <c r="M2644" s="28" t="s">
        <v>1515</v>
      </c>
      <c r="N2644" s="28"/>
      <c r="O2644" s="226"/>
      <c r="P2644" s="28"/>
      <c r="Q2644" s="226"/>
      <c r="R2644" s="37">
        <v>3</v>
      </c>
      <c r="S2644" s="37">
        <v>2</v>
      </c>
      <c r="T2644" s="37">
        <v>2.5</v>
      </c>
      <c r="U2644" s="37">
        <v>2</v>
      </c>
      <c r="V2644" s="37">
        <v>3</v>
      </c>
      <c r="W2644" s="28" t="s">
        <v>4970</v>
      </c>
      <c r="X2644" s="28"/>
      <c r="Y2644" s="30">
        <v>43888</v>
      </c>
      <c r="Z2644" s="28"/>
      <c r="AA2644" s="30"/>
      <c r="AB2644" s="28"/>
    </row>
    <row r="2645" spans="1:28" ht="15.75" customHeight="1" thickTop="1">
      <c r="A2645" s="284" t="s">
        <v>4519</v>
      </c>
      <c r="C2645" s="25" t="s">
        <v>6128</v>
      </c>
      <c r="D2645" s="25">
        <v>27099</v>
      </c>
      <c r="E2645" s="25" t="s">
        <v>6110</v>
      </c>
      <c r="F2645" s="26">
        <v>28907280101231</v>
      </c>
      <c r="G2645" s="25" t="s">
        <v>34</v>
      </c>
      <c r="H2645" s="34" t="s">
        <v>6118</v>
      </c>
      <c r="I2645" s="25" t="s">
        <v>4315</v>
      </c>
      <c r="J2645" s="27">
        <v>43872</v>
      </c>
      <c r="K2645" s="25" t="s">
        <v>798</v>
      </c>
      <c r="L2645" s="25" t="s">
        <v>12</v>
      </c>
      <c r="M2645" s="25" t="s">
        <v>293</v>
      </c>
      <c r="N2645" s="25"/>
      <c r="O2645" s="224"/>
      <c r="P2645" s="25"/>
      <c r="Q2645" s="224"/>
      <c r="R2645" s="77">
        <v>3</v>
      </c>
      <c r="S2645" s="77">
        <v>2</v>
      </c>
      <c r="T2645" s="77">
        <v>1</v>
      </c>
      <c r="U2645" s="77">
        <v>1</v>
      </c>
      <c r="V2645" s="77">
        <v>3</v>
      </c>
      <c r="W2645" s="25" t="s">
        <v>3818</v>
      </c>
      <c r="X2645" s="25"/>
      <c r="Y2645" s="27">
        <v>43901</v>
      </c>
      <c r="Z2645" s="25"/>
      <c r="AA2645" s="27"/>
      <c r="AB2645" s="25"/>
    </row>
    <row r="2646" spans="1:28">
      <c r="A2646" s="285"/>
      <c r="C2646" s="25" t="s">
        <v>6128</v>
      </c>
      <c r="D2646" s="2">
        <v>27100</v>
      </c>
      <c r="E2646" s="2" t="s">
        <v>6111</v>
      </c>
      <c r="F2646" s="3">
        <v>29910202701545</v>
      </c>
      <c r="G2646" s="2" t="s">
        <v>5890</v>
      </c>
      <c r="H2646" s="8" t="s">
        <v>6119</v>
      </c>
      <c r="I2646" s="2" t="s">
        <v>4315</v>
      </c>
      <c r="J2646" s="4">
        <v>43872</v>
      </c>
      <c r="K2646" s="2" t="s">
        <v>798</v>
      </c>
      <c r="L2646" s="2" t="s">
        <v>12</v>
      </c>
      <c r="M2646" s="2" t="s">
        <v>6071</v>
      </c>
      <c r="R2646" s="77">
        <v>3</v>
      </c>
      <c r="S2646" s="77">
        <v>3</v>
      </c>
      <c r="T2646" s="77">
        <v>1.5</v>
      </c>
      <c r="U2646" s="77">
        <v>2</v>
      </c>
      <c r="V2646" s="77">
        <v>3</v>
      </c>
      <c r="W2646" s="16" t="s">
        <v>4970</v>
      </c>
      <c r="Y2646" s="27">
        <v>43901</v>
      </c>
    </row>
    <row r="2647" spans="1:28">
      <c r="A2647" s="285"/>
      <c r="C2647" s="25" t="s">
        <v>6128</v>
      </c>
      <c r="D2647" s="2">
        <v>27101</v>
      </c>
      <c r="E2647" s="2" t="s">
        <v>6112</v>
      </c>
      <c r="F2647" s="3">
        <v>28907020202115</v>
      </c>
      <c r="G2647" s="2" t="s">
        <v>5890</v>
      </c>
      <c r="H2647" s="8" t="s">
        <v>6120</v>
      </c>
      <c r="I2647" s="2" t="s">
        <v>4315</v>
      </c>
      <c r="J2647" s="4">
        <v>43872</v>
      </c>
      <c r="K2647" s="2" t="s">
        <v>798</v>
      </c>
      <c r="L2647" s="2" t="s">
        <v>12</v>
      </c>
      <c r="M2647" s="2" t="s">
        <v>6071</v>
      </c>
      <c r="R2647" s="77">
        <v>3</v>
      </c>
      <c r="S2647" s="77">
        <v>2</v>
      </c>
      <c r="T2647" s="77">
        <v>2</v>
      </c>
      <c r="U2647" s="77">
        <v>2</v>
      </c>
      <c r="V2647" s="77">
        <v>3</v>
      </c>
      <c r="W2647" s="16" t="s">
        <v>3321</v>
      </c>
      <c r="Y2647" s="27">
        <v>43901</v>
      </c>
      <c r="Z2647" s="16" t="s">
        <v>66</v>
      </c>
      <c r="AA2647" s="45">
        <v>43906</v>
      </c>
      <c r="AB2647" s="2" t="s">
        <v>4411</v>
      </c>
    </row>
    <row r="2648" spans="1:28">
      <c r="A2648" s="285"/>
      <c r="C2648" s="25" t="s">
        <v>6128</v>
      </c>
      <c r="D2648" s="2">
        <v>27102</v>
      </c>
      <c r="E2648" s="2" t="s">
        <v>6113</v>
      </c>
      <c r="F2648" s="3">
        <v>29309301407297</v>
      </c>
      <c r="G2648" s="2" t="s">
        <v>34</v>
      </c>
      <c r="H2648" s="8" t="s">
        <v>6121</v>
      </c>
      <c r="I2648" s="2" t="s">
        <v>4315</v>
      </c>
      <c r="J2648" s="4">
        <v>43872</v>
      </c>
      <c r="K2648" s="2" t="s">
        <v>798</v>
      </c>
      <c r="L2648" s="2" t="s">
        <v>12</v>
      </c>
      <c r="M2648" s="2" t="s">
        <v>6071</v>
      </c>
      <c r="R2648" s="77">
        <v>3</v>
      </c>
      <c r="S2648" s="77">
        <v>2.5</v>
      </c>
      <c r="T2648" s="77">
        <v>2</v>
      </c>
      <c r="U2648" s="77">
        <v>2</v>
      </c>
      <c r="V2648" s="77">
        <v>3</v>
      </c>
      <c r="W2648" s="16" t="s">
        <v>3244</v>
      </c>
      <c r="Y2648" s="27">
        <v>43901</v>
      </c>
    </row>
    <row r="2649" spans="1:28">
      <c r="A2649" s="285"/>
      <c r="C2649" s="25" t="s">
        <v>6128</v>
      </c>
      <c r="D2649" s="2">
        <v>27103</v>
      </c>
      <c r="E2649" s="2" t="s">
        <v>6114</v>
      </c>
      <c r="F2649" s="3">
        <v>29109210104128</v>
      </c>
      <c r="G2649" s="2" t="s">
        <v>34</v>
      </c>
      <c r="H2649" s="8" t="s">
        <v>6122</v>
      </c>
      <c r="I2649" s="2" t="s">
        <v>4315</v>
      </c>
      <c r="J2649" s="4">
        <v>43872</v>
      </c>
      <c r="K2649" s="2" t="s">
        <v>798</v>
      </c>
      <c r="L2649" s="2" t="s">
        <v>12</v>
      </c>
      <c r="M2649" s="2" t="s">
        <v>4669</v>
      </c>
      <c r="R2649" s="77">
        <v>3</v>
      </c>
      <c r="S2649" s="77">
        <v>2.5</v>
      </c>
      <c r="T2649" s="77">
        <v>2</v>
      </c>
      <c r="U2649" s="77">
        <v>1.5</v>
      </c>
      <c r="V2649" s="77">
        <v>3</v>
      </c>
      <c r="W2649" s="16" t="s">
        <v>3321</v>
      </c>
      <c r="Y2649" s="27">
        <v>43901</v>
      </c>
      <c r="Z2649" s="16" t="s">
        <v>66</v>
      </c>
      <c r="AA2649" s="45">
        <v>43906</v>
      </c>
      <c r="AB2649" s="2" t="s">
        <v>4411</v>
      </c>
    </row>
    <row r="2650" spans="1:28">
      <c r="A2650" s="285"/>
      <c r="C2650" s="25" t="s">
        <v>6128</v>
      </c>
      <c r="D2650" s="2">
        <v>27104</v>
      </c>
      <c r="E2650" s="2" t="s">
        <v>6115</v>
      </c>
      <c r="F2650" s="3">
        <v>29408091601506</v>
      </c>
      <c r="G2650" s="2" t="s">
        <v>34</v>
      </c>
      <c r="H2650" s="8" t="s">
        <v>6123</v>
      </c>
      <c r="I2650" s="2" t="s">
        <v>4315</v>
      </c>
      <c r="J2650" s="4">
        <v>43872</v>
      </c>
      <c r="K2650" s="2" t="s">
        <v>798</v>
      </c>
      <c r="L2650" s="2" t="s">
        <v>12</v>
      </c>
      <c r="M2650" s="2" t="s">
        <v>4493</v>
      </c>
      <c r="R2650" s="77">
        <v>3</v>
      </c>
      <c r="S2650" s="77">
        <v>2.5</v>
      </c>
      <c r="T2650" s="77">
        <v>2</v>
      </c>
      <c r="U2650" s="77">
        <v>1.5</v>
      </c>
      <c r="V2650" s="77">
        <v>3</v>
      </c>
      <c r="W2650" s="16" t="s">
        <v>3321</v>
      </c>
      <c r="Y2650" s="27">
        <v>43901</v>
      </c>
      <c r="AB2650" s="2" t="s">
        <v>4411</v>
      </c>
    </row>
    <row r="2651" spans="1:28">
      <c r="A2651" s="285"/>
      <c r="C2651" s="25" t="s">
        <v>6128</v>
      </c>
      <c r="D2651" s="2">
        <v>27105</v>
      </c>
      <c r="E2651" s="2" t="s">
        <v>6116</v>
      </c>
      <c r="F2651" s="3">
        <v>29801060100511</v>
      </c>
      <c r="G2651" s="2" t="s">
        <v>5890</v>
      </c>
      <c r="H2651" s="8" t="s">
        <v>6124</v>
      </c>
      <c r="I2651" s="2" t="s">
        <v>4315</v>
      </c>
      <c r="J2651" s="4">
        <v>43872</v>
      </c>
      <c r="K2651" s="2" t="s">
        <v>798</v>
      </c>
      <c r="L2651" s="2" t="s">
        <v>12</v>
      </c>
      <c r="M2651" s="2" t="s">
        <v>5942</v>
      </c>
      <c r="R2651" s="77">
        <v>3</v>
      </c>
      <c r="S2651" s="77">
        <v>2.5</v>
      </c>
      <c r="T2651" s="77">
        <v>2</v>
      </c>
      <c r="U2651" s="77">
        <v>1.5</v>
      </c>
      <c r="V2651" s="77">
        <v>3</v>
      </c>
      <c r="W2651" s="16" t="s">
        <v>3321</v>
      </c>
      <c r="Y2651" s="27">
        <v>43901</v>
      </c>
      <c r="Z2651" s="16" t="s">
        <v>66</v>
      </c>
      <c r="AA2651" s="45">
        <v>43906</v>
      </c>
      <c r="AB2651" s="2" t="s">
        <v>4411</v>
      </c>
    </row>
    <row r="2652" spans="1:28">
      <c r="A2652" s="285"/>
      <c r="C2652" s="25" t="s">
        <v>6128</v>
      </c>
      <c r="D2652" s="2">
        <v>27106</v>
      </c>
      <c r="E2652" s="2" t="s">
        <v>6117</v>
      </c>
      <c r="F2652" s="3">
        <v>29603301601111</v>
      </c>
      <c r="G2652" s="2" t="s">
        <v>34</v>
      </c>
      <c r="H2652" s="8" t="s">
        <v>6125</v>
      </c>
      <c r="I2652" s="2" t="s">
        <v>4315</v>
      </c>
      <c r="J2652" s="4">
        <v>43872</v>
      </c>
      <c r="K2652" s="2" t="s">
        <v>798</v>
      </c>
      <c r="L2652" s="2" t="s">
        <v>12</v>
      </c>
      <c r="M2652" s="2" t="s">
        <v>1515</v>
      </c>
      <c r="R2652" s="77">
        <v>3</v>
      </c>
      <c r="S2652" s="77">
        <v>3</v>
      </c>
      <c r="T2652" s="77">
        <v>2</v>
      </c>
      <c r="U2652" s="77">
        <v>2</v>
      </c>
      <c r="V2652" s="77">
        <v>3</v>
      </c>
      <c r="W2652" s="16" t="s">
        <v>3244</v>
      </c>
      <c r="Y2652" s="27">
        <v>43901</v>
      </c>
    </row>
    <row r="2653" spans="1:28">
      <c r="A2653" s="285"/>
      <c r="C2653" s="25" t="s">
        <v>6128</v>
      </c>
      <c r="D2653" s="2">
        <v>23971</v>
      </c>
      <c r="E2653" s="2" t="s">
        <v>4426</v>
      </c>
      <c r="F2653" s="3">
        <v>29109011403493</v>
      </c>
      <c r="G2653" s="2" t="s">
        <v>129</v>
      </c>
      <c r="H2653" s="2" t="s">
        <v>4427</v>
      </c>
      <c r="I2653" s="2" t="s">
        <v>4305</v>
      </c>
      <c r="J2653" s="4">
        <v>43872</v>
      </c>
      <c r="K2653" s="2" t="s">
        <v>798</v>
      </c>
      <c r="L2653" s="2" t="s">
        <v>12</v>
      </c>
      <c r="M2653" s="2" t="s">
        <v>4257</v>
      </c>
      <c r="R2653" s="77">
        <v>3</v>
      </c>
      <c r="S2653" s="77">
        <v>3</v>
      </c>
      <c r="T2653" s="77">
        <v>2</v>
      </c>
      <c r="U2653" s="77">
        <v>1.5</v>
      </c>
      <c r="V2653" s="77">
        <v>3</v>
      </c>
      <c r="W2653" s="16" t="s">
        <v>3321</v>
      </c>
      <c r="Y2653" s="27">
        <v>43901</v>
      </c>
      <c r="Z2653" s="16" t="s">
        <v>66</v>
      </c>
      <c r="AA2653" s="7">
        <v>43906</v>
      </c>
      <c r="AB2653" s="2" t="s">
        <v>4411</v>
      </c>
    </row>
    <row r="2654" spans="1:28">
      <c r="A2654" s="285"/>
      <c r="C2654" s="25" t="s">
        <v>6128</v>
      </c>
      <c r="D2654" s="2">
        <v>27108</v>
      </c>
      <c r="E2654" s="2" t="s">
        <v>6126</v>
      </c>
      <c r="F2654" s="3">
        <v>29709202406295</v>
      </c>
      <c r="G2654" s="2" t="s">
        <v>34</v>
      </c>
      <c r="H2654" s="8" t="s">
        <v>6130</v>
      </c>
      <c r="I2654" s="2" t="s">
        <v>4315</v>
      </c>
      <c r="J2654" s="4">
        <v>43872</v>
      </c>
      <c r="K2654" s="2" t="s">
        <v>798</v>
      </c>
      <c r="L2654" s="2" t="s">
        <v>12</v>
      </c>
      <c r="M2654" s="2" t="s">
        <v>293</v>
      </c>
      <c r="R2654" s="77">
        <v>3</v>
      </c>
      <c r="S2654" s="77">
        <v>2.5</v>
      </c>
      <c r="T2654" s="77">
        <v>2</v>
      </c>
      <c r="U2654" s="77">
        <v>1.5</v>
      </c>
      <c r="V2654" s="77">
        <v>3</v>
      </c>
      <c r="W2654" s="16" t="s">
        <v>62</v>
      </c>
      <c r="Y2654" s="27">
        <v>43901</v>
      </c>
      <c r="Z2654" s="16" t="s">
        <v>66</v>
      </c>
      <c r="AA2654" s="45">
        <v>43906</v>
      </c>
      <c r="AB2654" s="2" t="s">
        <v>4411</v>
      </c>
    </row>
    <row r="2655" spans="1:28">
      <c r="A2655" s="285"/>
      <c r="C2655" s="39" t="s">
        <v>6128</v>
      </c>
      <c r="D2655" s="39">
        <v>19488</v>
      </c>
      <c r="E2655" s="39" t="s">
        <v>6127</v>
      </c>
      <c r="F2655" s="40">
        <v>29411051402579</v>
      </c>
      <c r="G2655" s="39" t="s">
        <v>34</v>
      </c>
      <c r="H2655" s="183" t="s">
        <v>6131</v>
      </c>
      <c r="I2655" s="39" t="s">
        <v>4305</v>
      </c>
      <c r="J2655" s="41">
        <v>43872</v>
      </c>
      <c r="K2655" s="39" t="s">
        <v>798</v>
      </c>
      <c r="L2655" s="39" t="s">
        <v>12</v>
      </c>
      <c r="M2655" s="39" t="s">
        <v>293</v>
      </c>
      <c r="N2655" s="39"/>
      <c r="O2655" s="230"/>
      <c r="P2655" s="39"/>
      <c r="Q2655" s="230"/>
      <c r="R2655" s="77">
        <v>3</v>
      </c>
      <c r="S2655" s="77">
        <v>2</v>
      </c>
      <c r="T2655" s="77">
        <v>2</v>
      </c>
      <c r="U2655" s="77">
        <v>2</v>
      </c>
      <c r="V2655" s="77">
        <v>3</v>
      </c>
      <c r="W2655" s="39" t="s">
        <v>4970</v>
      </c>
      <c r="X2655" s="39"/>
      <c r="Y2655" s="27">
        <v>43901</v>
      </c>
      <c r="Z2655" s="39"/>
      <c r="AA2655" s="41"/>
      <c r="AB2655" s="39"/>
    </row>
    <row r="2656" spans="1:28" s="44" customFormat="1" ht="15.75" thickBot="1">
      <c r="A2656" s="286"/>
      <c r="C2656" s="28" t="s">
        <v>6128</v>
      </c>
      <c r="D2656" s="28">
        <v>26277</v>
      </c>
      <c r="E2656" s="28" t="s">
        <v>5637</v>
      </c>
      <c r="F2656" s="29">
        <v>29107072302271</v>
      </c>
      <c r="G2656" s="28" t="s">
        <v>34</v>
      </c>
      <c r="H2656" s="78" t="s">
        <v>5638</v>
      </c>
      <c r="I2656" s="28"/>
      <c r="J2656" s="30"/>
      <c r="K2656" s="28"/>
      <c r="L2656" s="28"/>
      <c r="M2656" s="28"/>
      <c r="N2656" s="28"/>
      <c r="O2656" s="226"/>
      <c r="P2656" s="28"/>
      <c r="Q2656" s="226"/>
      <c r="R2656" s="77">
        <v>3</v>
      </c>
      <c r="S2656" s="77">
        <v>2</v>
      </c>
      <c r="T2656" s="77">
        <v>2</v>
      </c>
      <c r="U2656" s="77">
        <v>1.5</v>
      </c>
      <c r="V2656" s="77">
        <v>3</v>
      </c>
      <c r="W2656" s="28" t="s">
        <v>3321</v>
      </c>
      <c r="X2656" s="28"/>
      <c r="Y2656" s="30">
        <v>43901</v>
      </c>
      <c r="Z2656" s="28" t="s">
        <v>66</v>
      </c>
      <c r="AA2656" s="30">
        <v>43906</v>
      </c>
      <c r="AB2656" s="28" t="s">
        <v>4411</v>
      </c>
    </row>
    <row r="2657" spans="1:28" ht="15.75" thickTop="1">
      <c r="A2657" s="284" t="s">
        <v>5923</v>
      </c>
      <c r="C2657" s="25">
        <v>163</v>
      </c>
      <c r="D2657" s="25">
        <v>27068</v>
      </c>
      <c r="E2657" s="25" t="s">
        <v>6132</v>
      </c>
      <c r="F2657" s="26">
        <v>29709052400625</v>
      </c>
      <c r="G2657" s="25" t="s">
        <v>34</v>
      </c>
      <c r="H2657" s="25" t="s">
        <v>6133</v>
      </c>
      <c r="I2657" s="25" t="s">
        <v>4315</v>
      </c>
      <c r="J2657" s="27">
        <v>43871</v>
      </c>
      <c r="K2657" s="25" t="s">
        <v>8</v>
      </c>
      <c r="L2657" s="25" t="s">
        <v>12</v>
      </c>
      <c r="M2657" s="25" t="s">
        <v>3890</v>
      </c>
      <c r="N2657" s="25"/>
      <c r="O2657" s="224"/>
      <c r="P2657" s="25"/>
      <c r="Q2657" s="224"/>
      <c r="R2657" s="92">
        <v>3</v>
      </c>
      <c r="S2657" s="92">
        <v>3</v>
      </c>
      <c r="T2657" s="92">
        <v>2.5</v>
      </c>
      <c r="U2657" s="92">
        <v>2</v>
      </c>
      <c r="V2657" s="92">
        <v>3</v>
      </c>
      <c r="W2657" s="25" t="s">
        <v>170</v>
      </c>
      <c r="X2657" s="25" t="s">
        <v>67</v>
      </c>
      <c r="Y2657" s="27">
        <v>43905</v>
      </c>
      <c r="Z2657" s="25" t="s">
        <v>66</v>
      </c>
      <c r="AA2657" s="27">
        <v>43906</v>
      </c>
      <c r="AB2657" s="25" t="s">
        <v>6517</v>
      </c>
    </row>
    <row r="2658" spans="1:28">
      <c r="A2658" s="285"/>
      <c r="C2658" s="2">
        <v>163</v>
      </c>
      <c r="D2658" s="2">
        <v>27069</v>
      </c>
      <c r="E2658" s="2" t="s">
        <v>6134</v>
      </c>
      <c r="F2658" s="3" t="s">
        <v>6135</v>
      </c>
      <c r="G2658" s="2" t="s">
        <v>4025</v>
      </c>
      <c r="H2658" s="2" t="s">
        <v>6136</v>
      </c>
      <c r="I2658" s="2" t="s">
        <v>4315</v>
      </c>
      <c r="J2658" s="4">
        <v>43871</v>
      </c>
      <c r="K2658" s="2" t="s">
        <v>8</v>
      </c>
      <c r="L2658" s="2" t="s">
        <v>12</v>
      </c>
      <c r="M2658" s="2" t="s">
        <v>147</v>
      </c>
      <c r="R2658" s="77">
        <v>3</v>
      </c>
      <c r="S2658" s="77">
        <v>2.5</v>
      </c>
      <c r="T2658" s="77">
        <v>2.5</v>
      </c>
      <c r="U2658" s="77">
        <v>2</v>
      </c>
      <c r="V2658" s="77">
        <v>3</v>
      </c>
      <c r="W2658" s="25" t="s">
        <v>170</v>
      </c>
      <c r="X2658" s="2" t="s">
        <v>67</v>
      </c>
      <c r="Y2658" s="27">
        <v>43905</v>
      </c>
      <c r="Z2658" s="16" t="s">
        <v>66</v>
      </c>
      <c r="AA2658" s="27">
        <v>43906</v>
      </c>
      <c r="AB2658" s="2" t="s">
        <v>6406</v>
      </c>
    </row>
    <row r="2659" spans="1:28">
      <c r="A2659" s="285"/>
      <c r="C2659" s="103">
        <v>163</v>
      </c>
      <c r="D2659" s="2">
        <v>27070</v>
      </c>
      <c r="E2659" s="2" t="s">
        <v>6137</v>
      </c>
      <c r="F2659" s="3">
        <v>29805070101464</v>
      </c>
      <c r="G2659" s="2" t="s">
        <v>4025</v>
      </c>
      <c r="H2659" s="2" t="s">
        <v>6138</v>
      </c>
      <c r="I2659" s="2" t="s">
        <v>4315</v>
      </c>
      <c r="J2659" s="4">
        <v>43871</v>
      </c>
      <c r="K2659" s="2" t="s">
        <v>8</v>
      </c>
      <c r="L2659" s="2" t="s">
        <v>12</v>
      </c>
      <c r="M2659" s="2" t="s">
        <v>4706</v>
      </c>
      <c r="R2659" s="77">
        <v>3</v>
      </c>
      <c r="S2659" s="77">
        <v>2.5</v>
      </c>
      <c r="T2659" s="77">
        <v>2.5</v>
      </c>
      <c r="U2659" s="77">
        <v>2.5</v>
      </c>
      <c r="V2659" s="77">
        <v>3</v>
      </c>
      <c r="W2659" s="16" t="s">
        <v>60</v>
      </c>
      <c r="Y2659" s="7">
        <v>43900</v>
      </c>
    </row>
    <row r="2660" spans="1:28">
      <c r="A2660" s="285"/>
      <c r="C2660" s="103">
        <v>163</v>
      </c>
      <c r="D2660" s="2">
        <v>27071</v>
      </c>
      <c r="E2660" s="2" t="s">
        <v>6139</v>
      </c>
      <c r="F2660" s="3">
        <v>29703052200903</v>
      </c>
      <c r="G2660" s="2" t="s">
        <v>34</v>
      </c>
      <c r="H2660" s="2" t="s">
        <v>6140</v>
      </c>
      <c r="I2660" s="2" t="s">
        <v>4315</v>
      </c>
      <c r="J2660" s="4">
        <v>43871</v>
      </c>
      <c r="K2660" s="2" t="s">
        <v>8</v>
      </c>
      <c r="L2660" s="2" t="s">
        <v>12</v>
      </c>
      <c r="M2660" s="2" t="s">
        <v>4706</v>
      </c>
      <c r="R2660" s="77">
        <v>3</v>
      </c>
      <c r="S2660" s="77">
        <v>3</v>
      </c>
      <c r="T2660" s="77">
        <v>2.5</v>
      </c>
      <c r="U2660" s="77">
        <v>2</v>
      </c>
      <c r="V2660" s="77">
        <v>3</v>
      </c>
      <c r="W2660" s="16" t="s">
        <v>502</v>
      </c>
      <c r="X2660" s="2" t="s">
        <v>66</v>
      </c>
      <c r="Y2660" s="7">
        <v>43928</v>
      </c>
      <c r="Z2660" s="16" t="s">
        <v>66</v>
      </c>
      <c r="AA2660" s="7">
        <v>43933</v>
      </c>
      <c r="AB2660" s="2" t="s">
        <v>6386</v>
      </c>
    </row>
    <row r="2661" spans="1:28">
      <c r="A2661" s="285"/>
      <c r="C2661" s="103">
        <v>163</v>
      </c>
      <c r="D2661" s="2">
        <v>27072</v>
      </c>
      <c r="E2661" s="2" t="s">
        <v>6141</v>
      </c>
      <c r="F2661" s="3">
        <v>29905190101039</v>
      </c>
      <c r="G2661" s="2" t="s">
        <v>5890</v>
      </c>
      <c r="H2661" s="2" t="s">
        <v>6142</v>
      </c>
      <c r="I2661" s="2" t="s">
        <v>4315</v>
      </c>
      <c r="J2661" s="4">
        <v>43871</v>
      </c>
      <c r="K2661" s="2" t="s">
        <v>8</v>
      </c>
      <c r="L2661" s="2" t="s">
        <v>12</v>
      </c>
      <c r="M2661" s="2" t="s">
        <v>5940</v>
      </c>
      <c r="R2661" s="77">
        <v>3</v>
      </c>
      <c r="S2661" s="77">
        <v>2.5</v>
      </c>
      <c r="T2661" s="77">
        <v>2</v>
      </c>
      <c r="U2661" s="77">
        <v>2</v>
      </c>
      <c r="V2661" s="77">
        <v>3</v>
      </c>
      <c r="W2661" s="16" t="s">
        <v>4312</v>
      </c>
      <c r="X2661" s="2" t="s">
        <v>66</v>
      </c>
      <c r="Y2661" s="45">
        <v>43928</v>
      </c>
      <c r="Z2661" s="16" t="s">
        <v>66</v>
      </c>
      <c r="AA2661" s="7">
        <v>43961</v>
      </c>
      <c r="AB2661" s="2" t="s">
        <v>61</v>
      </c>
    </row>
    <row r="2662" spans="1:28">
      <c r="A2662" s="285"/>
      <c r="C2662" s="103">
        <v>163</v>
      </c>
      <c r="D2662" s="2">
        <v>27073</v>
      </c>
      <c r="E2662" s="2" t="s">
        <v>6143</v>
      </c>
      <c r="F2662" s="3">
        <v>29908010101493</v>
      </c>
      <c r="G2662" s="2" t="s">
        <v>5890</v>
      </c>
      <c r="H2662" s="2" t="s">
        <v>6144</v>
      </c>
      <c r="I2662" s="2" t="s">
        <v>4315</v>
      </c>
      <c r="J2662" s="4">
        <v>43871</v>
      </c>
      <c r="K2662" s="2" t="s">
        <v>8</v>
      </c>
      <c r="L2662" s="2" t="s">
        <v>12</v>
      </c>
      <c r="M2662" s="2" t="s">
        <v>4257</v>
      </c>
      <c r="R2662" s="77">
        <v>3</v>
      </c>
      <c r="S2662" s="77">
        <v>2.5</v>
      </c>
      <c r="T2662" s="77">
        <v>3</v>
      </c>
      <c r="U2662" s="77">
        <v>2.5</v>
      </c>
      <c r="V2662" s="77">
        <v>3</v>
      </c>
      <c r="W2662" s="16" t="s">
        <v>60</v>
      </c>
      <c r="Y2662" s="7">
        <v>43900</v>
      </c>
      <c r="Z2662" s="16" t="s">
        <v>66</v>
      </c>
      <c r="AA2662" s="7">
        <v>43906</v>
      </c>
      <c r="AB2662" s="2" t="s">
        <v>6517</v>
      </c>
    </row>
    <row r="2663" spans="1:28">
      <c r="A2663" s="285"/>
      <c r="C2663" s="103">
        <v>163</v>
      </c>
      <c r="D2663" s="2">
        <v>27074</v>
      </c>
      <c r="E2663" s="2" t="s">
        <v>6145</v>
      </c>
      <c r="F2663" s="3">
        <v>30001062102293</v>
      </c>
      <c r="G2663" s="2" t="s">
        <v>5890</v>
      </c>
      <c r="H2663" s="2" t="s">
        <v>6146</v>
      </c>
      <c r="I2663" s="2" t="s">
        <v>4315</v>
      </c>
      <c r="J2663" s="4">
        <v>43871</v>
      </c>
      <c r="K2663" s="2" t="s">
        <v>8</v>
      </c>
      <c r="L2663" s="2" t="s">
        <v>12</v>
      </c>
      <c r="M2663" s="2" t="s">
        <v>6147</v>
      </c>
      <c r="R2663" s="77">
        <v>3</v>
      </c>
      <c r="S2663" s="77">
        <v>2.5</v>
      </c>
      <c r="T2663" s="77">
        <v>2</v>
      </c>
      <c r="U2663" s="77">
        <v>2</v>
      </c>
      <c r="V2663" s="77">
        <v>3</v>
      </c>
      <c r="W2663" s="16" t="s">
        <v>62</v>
      </c>
      <c r="Y2663" s="7">
        <v>43900</v>
      </c>
      <c r="Z2663" s="16" t="s">
        <v>66</v>
      </c>
      <c r="AA2663" s="7">
        <v>43926</v>
      </c>
      <c r="AB2663" s="2" t="s">
        <v>6255</v>
      </c>
    </row>
    <row r="2664" spans="1:28">
      <c r="A2664" s="285"/>
      <c r="C2664" s="103">
        <v>163</v>
      </c>
      <c r="D2664" s="2">
        <v>27086</v>
      </c>
      <c r="E2664" s="2" t="s">
        <v>6148</v>
      </c>
      <c r="F2664" s="3" t="s">
        <v>6149</v>
      </c>
      <c r="G2664" s="2" t="s">
        <v>34</v>
      </c>
      <c r="H2664" s="8" t="s">
        <v>6154</v>
      </c>
      <c r="I2664" s="2" t="s">
        <v>4315</v>
      </c>
      <c r="J2664" s="4">
        <v>43871</v>
      </c>
      <c r="K2664" s="2" t="s">
        <v>8</v>
      </c>
      <c r="L2664" s="2" t="s">
        <v>12</v>
      </c>
      <c r="M2664" s="2" t="s">
        <v>293</v>
      </c>
      <c r="R2664" s="77">
        <v>3</v>
      </c>
      <c r="S2664" s="77">
        <v>3</v>
      </c>
      <c r="T2664" s="77">
        <v>2</v>
      </c>
      <c r="U2664" s="77">
        <v>2</v>
      </c>
      <c r="V2664" s="77">
        <v>3</v>
      </c>
      <c r="W2664" s="103" t="s">
        <v>171</v>
      </c>
      <c r="X2664" s="2" t="s">
        <v>66</v>
      </c>
      <c r="Y2664" s="45">
        <v>43928</v>
      </c>
      <c r="Z2664" s="16" t="s">
        <v>66</v>
      </c>
      <c r="AA2664" s="7">
        <v>43940</v>
      </c>
    </row>
    <row r="2665" spans="1:28">
      <c r="A2665" s="285"/>
      <c r="C2665" s="103">
        <v>163</v>
      </c>
      <c r="D2665" s="2">
        <v>27087</v>
      </c>
      <c r="E2665" s="2" t="s">
        <v>6150</v>
      </c>
      <c r="F2665" s="3">
        <v>30006190103091</v>
      </c>
      <c r="G2665" s="2" t="s">
        <v>4025</v>
      </c>
      <c r="H2665" s="8" t="s">
        <v>6155</v>
      </c>
      <c r="I2665" s="2" t="s">
        <v>4315</v>
      </c>
      <c r="J2665" s="4">
        <v>43871</v>
      </c>
      <c r="K2665" s="2" t="s">
        <v>8</v>
      </c>
      <c r="L2665" s="2" t="s">
        <v>12</v>
      </c>
      <c r="M2665" s="2" t="s">
        <v>5152</v>
      </c>
      <c r="R2665" s="77">
        <v>3</v>
      </c>
      <c r="S2665" s="77">
        <v>2.5</v>
      </c>
      <c r="T2665" s="77">
        <v>2.5</v>
      </c>
      <c r="U2665" s="77">
        <v>2</v>
      </c>
      <c r="V2665" s="77">
        <v>3</v>
      </c>
      <c r="W2665" s="103" t="s">
        <v>4212</v>
      </c>
      <c r="X2665" s="2" t="s">
        <v>66</v>
      </c>
      <c r="Y2665" s="45">
        <v>43928</v>
      </c>
      <c r="Z2665" s="16" t="s">
        <v>66</v>
      </c>
      <c r="AA2665" s="7">
        <v>43961</v>
      </c>
      <c r="AB2665" s="2" t="s">
        <v>61</v>
      </c>
    </row>
    <row r="2666" spans="1:28">
      <c r="A2666" s="285"/>
      <c r="C2666" s="103">
        <v>163</v>
      </c>
      <c r="D2666" s="2">
        <v>27088</v>
      </c>
      <c r="E2666" s="2" t="s">
        <v>6151</v>
      </c>
      <c r="F2666" s="3">
        <v>29401010100171</v>
      </c>
      <c r="G2666" s="2" t="s">
        <v>34</v>
      </c>
      <c r="H2666" s="8" t="s">
        <v>6156</v>
      </c>
      <c r="I2666" s="2" t="s">
        <v>4315</v>
      </c>
      <c r="J2666" s="4">
        <v>43871</v>
      </c>
      <c r="K2666" s="2" t="s">
        <v>8</v>
      </c>
      <c r="L2666" s="2" t="s">
        <v>12</v>
      </c>
      <c r="M2666" s="2" t="s">
        <v>5940</v>
      </c>
      <c r="R2666" s="77">
        <v>3</v>
      </c>
      <c r="S2666" s="77">
        <v>2.5</v>
      </c>
      <c r="T2666" s="77">
        <v>2</v>
      </c>
      <c r="U2666" s="77">
        <v>2.5</v>
      </c>
      <c r="V2666" s="77">
        <v>3</v>
      </c>
      <c r="W2666" s="16" t="s">
        <v>171</v>
      </c>
      <c r="Y2666" s="7">
        <v>43900</v>
      </c>
      <c r="Z2666" s="16" t="s">
        <v>66</v>
      </c>
      <c r="AA2666" s="45">
        <v>43907</v>
      </c>
    </row>
    <row r="2667" spans="1:28">
      <c r="A2667" s="285"/>
      <c r="C2667" s="103">
        <v>163</v>
      </c>
      <c r="D2667" s="2">
        <v>27089</v>
      </c>
      <c r="E2667" s="2" t="s">
        <v>6152</v>
      </c>
      <c r="F2667" s="3">
        <v>30012252102836</v>
      </c>
      <c r="G2667" s="2" t="s">
        <v>4025</v>
      </c>
      <c r="H2667" s="8" t="s">
        <v>6157</v>
      </c>
      <c r="I2667" s="2" t="s">
        <v>4315</v>
      </c>
      <c r="J2667" s="4">
        <v>43871</v>
      </c>
      <c r="K2667" s="2" t="s">
        <v>8</v>
      </c>
      <c r="L2667" s="2" t="s">
        <v>12</v>
      </c>
      <c r="M2667" s="2" t="s">
        <v>53</v>
      </c>
      <c r="R2667" s="77">
        <v>3</v>
      </c>
      <c r="S2667" s="77">
        <v>3</v>
      </c>
      <c r="T2667" s="77">
        <v>2</v>
      </c>
      <c r="U2667" s="77">
        <v>2.5</v>
      </c>
      <c r="V2667" s="77">
        <v>3</v>
      </c>
      <c r="W2667" s="16" t="s">
        <v>171</v>
      </c>
      <c r="Y2667" s="7">
        <v>43900</v>
      </c>
      <c r="Z2667" s="16" t="s">
        <v>66</v>
      </c>
      <c r="AA2667" s="45">
        <v>43961</v>
      </c>
      <c r="AB2667" s="2" t="s">
        <v>6270</v>
      </c>
    </row>
    <row r="2668" spans="1:28">
      <c r="A2668" s="285"/>
      <c r="C2668" s="103">
        <v>163</v>
      </c>
      <c r="D2668" s="2">
        <v>27090</v>
      </c>
      <c r="E2668" s="2" t="s">
        <v>6153</v>
      </c>
      <c r="F2668" s="3">
        <v>29411042100772</v>
      </c>
      <c r="G2668" s="2" t="s">
        <v>34</v>
      </c>
      <c r="H2668" s="8" t="s">
        <v>6158</v>
      </c>
      <c r="I2668" s="2" t="s">
        <v>4315</v>
      </c>
      <c r="J2668" s="4">
        <v>43871</v>
      </c>
      <c r="K2668" s="2" t="s">
        <v>8</v>
      </c>
      <c r="L2668" s="2" t="s">
        <v>12</v>
      </c>
      <c r="M2668" s="2" t="s">
        <v>4623</v>
      </c>
      <c r="R2668" s="77">
        <v>3</v>
      </c>
      <c r="S2668" s="77">
        <v>2.5</v>
      </c>
      <c r="T2668" s="77">
        <v>2</v>
      </c>
      <c r="U2668" s="77">
        <v>2.5</v>
      </c>
      <c r="V2668" s="77">
        <v>3</v>
      </c>
      <c r="W2668" s="16" t="s">
        <v>171</v>
      </c>
      <c r="Y2668" s="7">
        <v>43900</v>
      </c>
      <c r="Z2668" s="16" t="s">
        <v>66</v>
      </c>
      <c r="AA2668" s="7">
        <v>43907</v>
      </c>
    </row>
    <row r="2669" spans="1:28" ht="15.75" thickBot="1">
      <c r="A2669" s="286"/>
      <c r="C2669" s="28">
        <v>163</v>
      </c>
      <c r="D2669" s="28">
        <v>27098</v>
      </c>
      <c r="E2669" s="28" t="s">
        <v>6159</v>
      </c>
      <c r="F2669" s="29">
        <v>29703140101613</v>
      </c>
      <c r="G2669" s="28" t="s">
        <v>34</v>
      </c>
      <c r="H2669" s="28" t="s">
        <v>6160</v>
      </c>
      <c r="I2669" s="28" t="s">
        <v>4315</v>
      </c>
      <c r="J2669" s="30">
        <v>43871</v>
      </c>
      <c r="K2669" s="28" t="s">
        <v>8</v>
      </c>
      <c r="L2669" s="28" t="s">
        <v>12</v>
      </c>
      <c r="M2669" s="28" t="s">
        <v>5373</v>
      </c>
      <c r="N2669" s="28"/>
      <c r="O2669" s="226"/>
      <c r="P2669" s="28"/>
      <c r="Q2669" s="226"/>
      <c r="R2669" s="37">
        <v>3</v>
      </c>
      <c r="S2669" s="37">
        <v>2.5</v>
      </c>
      <c r="T2669" s="37">
        <v>2</v>
      </c>
      <c r="U2669" s="37">
        <v>1.5</v>
      </c>
      <c r="V2669" s="37">
        <v>3</v>
      </c>
      <c r="W2669" s="28" t="s">
        <v>62</v>
      </c>
      <c r="X2669" s="28"/>
      <c r="Y2669" s="30">
        <v>43900</v>
      </c>
      <c r="Z2669" s="28"/>
      <c r="AA2669" s="30"/>
      <c r="AB2669" s="28"/>
    </row>
    <row r="2670" spans="1:28" ht="15.75" thickTop="1">
      <c r="A2670" s="284" t="s">
        <v>4077</v>
      </c>
      <c r="C2670" s="25">
        <v>164</v>
      </c>
      <c r="D2670" s="25">
        <v>27075</v>
      </c>
      <c r="E2670" s="25" t="s">
        <v>6161</v>
      </c>
      <c r="F2670" s="26" t="s">
        <v>6162</v>
      </c>
      <c r="G2670" s="25" t="s">
        <v>34</v>
      </c>
      <c r="H2670" s="25" t="s">
        <v>6163</v>
      </c>
      <c r="I2670" s="25" t="s">
        <v>4315</v>
      </c>
      <c r="J2670" s="27">
        <v>43871</v>
      </c>
      <c r="K2670" s="25" t="s">
        <v>8</v>
      </c>
      <c r="L2670" s="25" t="s">
        <v>12</v>
      </c>
      <c r="M2670" s="25" t="s">
        <v>5205</v>
      </c>
      <c r="N2670" s="25"/>
      <c r="O2670" s="224"/>
      <c r="P2670" s="25"/>
      <c r="Q2670" s="224"/>
      <c r="R2670" s="77">
        <v>3</v>
      </c>
      <c r="S2670" s="77">
        <v>2.5</v>
      </c>
      <c r="T2670" s="77">
        <v>2</v>
      </c>
      <c r="U2670" s="77">
        <v>2</v>
      </c>
      <c r="V2670" s="77">
        <v>3</v>
      </c>
      <c r="W2670" s="25" t="s">
        <v>62</v>
      </c>
      <c r="X2670" s="25" t="s">
        <v>66</v>
      </c>
      <c r="Y2670" s="27">
        <v>43947</v>
      </c>
      <c r="Z2670" s="25" t="s">
        <v>66</v>
      </c>
      <c r="AA2670" s="27">
        <v>43949</v>
      </c>
      <c r="AB2670" s="25" t="s">
        <v>6002</v>
      </c>
    </row>
    <row r="2671" spans="1:28">
      <c r="A2671" s="285"/>
      <c r="C2671" s="25">
        <v>164</v>
      </c>
      <c r="D2671" s="2">
        <v>27076</v>
      </c>
      <c r="E2671" s="2" t="s">
        <v>6164</v>
      </c>
      <c r="F2671" s="3">
        <v>29801132100189</v>
      </c>
      <c r="G2671" s="2" t="s">
        <v>34</v>
      </c>
      <c r="H2671" s="2" t="s">
        <v>6165</v>
      </c>
      <c r="I2671" s="2" t="s">
        <v>4315</v>
      </c>
      <c r="J2671" s="4">
        <v>43871</v>
      </c>
      <c r="K2671" s="2" t="s">
        <v>8</v>
      </c>
      <c r="L2671" s="2" t="s">
        <v>12</v>
      </c>
      <c r="M2671" s="2" t="s">
        <v>3696</v>
      </c>
      <c r="R2671" s="77">
        <v>3</v>
      </c>
      <c r="S2671" s="77">
        <v>2.5</v>
      </c>
      <c r="T2671" s="77">
        <v>2.5</v>
      </c>
      <c r="U2671" s="77">
        <v>2.5</v>
      </c>
      <c r="V2671" s="77">
        <v>3</v>
      </c>
      <c r="W2671" s="16" t="s">
        <v>170</v>
      </c>
      <c r="Y2671" s="7">
        <v>43899</v>
      </c>
      <c r="Z2671" s="16" t="s">
        <v>66</v>
      </c>
      <c r="AA2671" s="45">
        <v>43906</v>
      </c>
      <c r="AB2671" s="2" t="s">
        <v>6406</v>
      </c>
    </row>
    <row r="2672" spans="1:28">
      <c r="A2672" s="285"/>
      <c r="C2672" s="25">
        <v>164</v>
      </c>
      <c r="D2672" s="2">
        <v>27077</v>
      </c>
      <c r="E2672" s="2" t="s">
        <v>6166</v>
      </c>
      <c r="F2672" s="3">
        <v>29407252102932</v>
      </c>
      <c r="G2672" s="2" t="s">
        <v>34</v>
      </c>
      <c r="H2672" s="2" t="s">
        <v>6167</v>
      </c>
      <c r="I2672" s="2" t="s">
        <v>4315</v>
      </c>
      <c r="J2672" s="4">
        <v>43871</v>
      </c>
      <c r="K2672" s="2" t="s">
        <v>8</v>
      </c>
      <c r="L2672" s="2" t="s">
        <v>12</v>
      </c>
      <c r="M2672" s="2" t="s">
        <v>6071</v>
      </c>
      <c r="R2672" s="77">
        <v>3</v>
      </c>
      <c r="S2672" s="77">
        <v>2.5</v>
      </c>
      <c r="T2672" s="77">
        <v>2</v>
      </c>
      <c r="U2672" s="77">
        <v>2</v>
      </c>
      <c r="V2672" s="77">
        <v>3</v>
      </c>
      <c r="W2672" s="16" t="s">
        <v>5714</v>
      </c>
      <c r="X2672" s="2" t="s">
        <v>67</v>
      </c>
      <c r="Y2672" s="7">
        <v>43899</v>
      </c>
      <c r="Z2672" s="16" t="s">
        <v>67</v>
      </c>
    </row>
    <row r="2673" spans="1:28">
      <c r="A2673" s="285"/>
      <c r="C2673" s="25">
        <v>164</v>
      </c>
      <c r="D2673" s="2">
        <v>27078</v>
      </c>
      <c r="E2673" s="2" t="s">
        <v>6168</v>
      </c>
      <c r="F2673" s="3">
        <v>28608152104735</v>
      </c>
      <c r="G2673" s="2" t="s">
        <v>34</v>
      </c>
      <c r="H2673" s="2" t="s">
        <v>6169</v>
      </c>
      <c r="I2673" s="2" t="s">
        <v>4315</v>
      </c>
      <c r="J2673" s="4">
        <v>43871</v>
      </c>
      <c r="K2673" s="2" t="s">
        <v>8</v>
      </c>
      <c r="L2673" s="2" t="s">
        <v>12</v>
      </c>
      <c r="M2673" s="2" t="s">
        <v>4257</v>
      </c>
      <c r="R2673" s="77">
        <v>3</v>
      </c>
      <c r="S2673" s="77">
        <v>2.5</v>
      </c>
      <c r="T2673" s="77">
        <v>2.5</v>
      </c>
      <c r="U2673" s="77">
        <v>2.5</v>
      </c>
      <c r="V2673" s="77">
        <v>3</v>
      </c>
      <c r="W2673" s="16" t="s">
        <v>170</v>
      </c>
      <c r="Y2673" s="7">
        <v>43899</v>
      </c>
      <c r="Z2673" s="16" t="s">
        <v>66</v>
      </c>
      <c r="AA2673" s="7">
        <v>43906</v>
      </c>
      <c r="AB2673" s="2" t="s">
        <v>6406</v>
      </c>
    </row>
    <row r="2674" spans="1:28">
      <c r="A2674" s="285"/>
      <c r="C2674" s="25">
        <v>164</v>
      </c>
      <c r="D2674" s="2">
        <v>27079</v>
      </c>
      <c r="E2674" s="2" t="s">
        <v>6170</v>
      </c>
      <c r="F2674" s="3">
        <v>29409050103204</v>
      </c>
      <c r="G2674" s="2" t="s">
        <v>34</v>
      </c>
      <c r="H2674" s="2" t="s">
        <v>6171</v>
      </c>
      <c r="I2674" s="2" t="s">
        <v>4315</v>
      </c>
      <c r="J2674" s="4">
        <v>43871</v>
      </c>
      <c r="K2674" s="2" t="s">
        <v>8</v>
      </c>
      <c r="L2674" s="2" t="s">
        <v>12</v>
      </c>
      <c r="M2674" s="2" t="s">
        <v>1515</v>
      </c>
      <c r="R2674" s="77">
        <v>3</v>
      </c>
      <c r="S2674" s="77">
        <v>2.5</v>
      </c>
      <c r="T2674" s="77">
        <v>2</v>
      </c>
      <c r="U2674" s="77">
        <v>2</v>
      </c>
      <c r="V2674" s="77">
        <v>3</v>
      </c>
      <c r="W2674" s="16" t="s">
        <v>62</v>
      </c>
      <c r="Y2674" s="7">
        <v>43899</v>
      </c>
      <c r="AB2674" s="2" t="s">
        <v>6262</v>
      </c>
    </row>
    <row r="2675" spans="1:28">
      <c r="A2675" s="285"/>
      <c r="C2675" s="25">
        <v>164</v>
      </c>
      <c r="D2675" s="2">
        <v>27080</v>
      </c>
      <c r="E2675" s="2" t="s">
        <v>6172</v>
      </c>
      <c r="F2675" s="3">
        <v>29506110104057</v>
      </c>
      <c r="G2675" s="2" t="s">
        <v>34</v>
      </c>
      <c r="H2675" s="2" t="s">
        <v>6173</v>
      </c>
      <c r="I2675" s="2" t="s">
        <v>4315</v>
      </c>
      <c r="J2675" s="4">
        <v>43871</v>
      </c>
      <c r="K2675" s="2" t="s">
        <v>8</v>
      </c>
      <c r="L2675" s="2" t="s">
        <v>12</v>
      </c>
      <c r="M2675" s="2" t="s">
        <v>5940</v>
      </c>
      <c r="R2675" s="77">
        <v>3</v>
      </c>
      <c r="S2675" s="77">
        <v>2.5</v>
      </c>
      <c r="T2675" s="77">
        <v>2</v>
      </c>
      <c r="U2675" s="77">
        <v>2.5</v>
      </c>
      <c r="V2675" s="77">
        <v>3</v>
      </c>
      <c r="W2675" s="16" t="s">
        <v>4212</v>
      </c>
      <c r="Y2675" s="7">
        <v>43899</v>
      </c>
      <c r="Z2675" s="16" t="s">
        <v>66</v>
      </c>
      <c r="AA2675" s="7">
        <v>43898</v>
      </c>
    </row>
    <row r="2676" spans="1:28">
      <c r="A2676" s="285"/>
      <c r="C2676" s="25">
        <v>164</v>
      </c>
      <c r="D2676" s="2">
        <v>27081</v>
      </c>
      <c r="E2676" s="2" t="s">
        <v>6174</v>
      </c>
      <c r="F2676" s="3">
        <v>29612238800808</v>
      </c>
      <c r="G2676" s="2" t="s">
        <v>34</v>
      </c>
      <c r="H2676" s="2" t="s">
        <v>6175</v>
      </c>
      <c r="I2676" s="2" t="s">
        <v>4315</v>
      </c>
      <c r="J2676" s="4">
        <v>43871</v>
      </c>
      <c r="K2676" s="2" t="s">
        <v>8</v>
      </c>
      <c r="L2676" s="2" t="s">
        <v>12</v>
      </c>
      <c r="M2676" s="2" t="s">
        <v>5205</v>
      </c>
      <c r="R2676" s="77">
        <v>3</v>
      </c>
      <c r="S2676" s="77">
        <v>2</v>
      </c>
      <c r="T2676" s="77">
        <v>2.5</v>
      </c>
      <c r="U2676" s="77">
        <v>2</v>
      </c>
      <c r="V2676" s="77">
        <v>3</v>
      </c>
      <c r="W2676" s="16" t="s">
        <v>62</v>
      </c>
      <c r="X2676" s="2" t="s">
        <v>66</v>
      </c>
      <c r="Y2676" s="27">
        <v>43947</v>
      </c>
      <c r="Z2676" s="16" t="s">
        <v>66</v>
      </c>
      <c r="AA2676" s="7">
        <v>43949</v>
      </c>
      <c r="AB2676" s="2" t="s">
        <v>6002</v>
      </c>
    </row>
    <row r="2677" spans="1:28">
      <c r="A2677" s="285"/>
      <c r="C2677" s="25">
        <v>164</v>
      </c>
      <c r="D2677" s="2">
        <v>27082</v>
      </c>
      <c r="E2677" s="2" t="s">
        <v>6176</v>
      </c>
      <c r="F2677" s="3">
        <v>29508010111113</v>
      </c>
      <c r="G2677" s="2" t="s">
        <v>34</v>
      </c>
      <c r="H2677" s="2" t="s">
        <v>6177</v>
      </c>
      <c r="I2677" s="2" t="s">
        <v>4315</v>
      </c>
      <c r="J2677" s="4">
        <v>43871</v>
      </c>
      <c r="K2677" s="2" t="s">
        <v>8</v>
      </c>
      <c r="L2677" s="2" t="s">
        <v>12</v>
      </c>
      <c r="M2677" s="2" t="s">
        <v>5942</v>
      </c>
      <c r="R2677" s="77">
        <v>3</v>
      </c>
      <c r="S2677" s="77">
        <v>2.5</v>
      </c>
      <c r="T2677" s="77">
        <v>2</v>
      </c>
      <c r="U2677" s="77">
        <v>2</v>
      </c>
      <c r="V2677" s="77">
        <v>3</v>
      </c>
      <c r="W2677" s="16" t="s">
        <v>62</v>
      </c>
      <c r="Y2677" s="7">
        <v>43899</v>
      </c>
      <c r="Z2677" s="16" t="s">
        <v>67</v>
      </c>
      <c r="AB2677" s="2" t="s">
        <v>6261</v>
      </c>
    </row>
    <row r="2678" spans="1:28">
      <c r="A2678" s="285"/>
      <c r="C2678" s="25">
        <v>164</v>
      </c>
      <c r="D2678" s="2">
        <v>27083</v>
      </c>
      <c r="E2678" s="2" t="s">
        <v>6178</v>
      </c>
      <c r="F2678" s="3">
        <v>29102052100778</v>
      </c>
      <c r="G2678" s="2" t="s">
        <v>34</v>
      </c>
      <c r="H2678" s="2" t="s">
        <v>6179</v>
      </c>
      <c r="I2678" s="2" t="s">
        <v>4315</v>
      </c>
      <c r="J2678" s="4">
        <v>43871</v>
      </c>
      <c r="K2678" s="2" t="s">
        <v>8</v>
      </c>
      <c r="L2678" s="2" t="s">
        <v>12</v>
      </c>
      <c r="M2678" s="2" t="s">
        <v>5942</v>
      </c>
      <c r="R2678" s="77">
        <v>3</v>
      </c>
      <c r="S2678" s="77">
        <v>2.5</v>
      </c>
      <c r="T2678" s="77">
        <v>2.5</v>
      </c>
      <c r="U2678" s="77">
        <v>2</v>
      </c>
      <c r="V2678" s="77">
        <v>3</v>
      </c>
      <c r="W2678" s="16" t="s">
        <v>4212</v>
      </c>
      <c r="Y2678" s="7">
        <v>43899</v>
      </c>
      <c r="Z2678" s="16" t="s">
        <v>66</v>
      </c>
      <c r="AA2678" s="7">
        <v>43898</v>
      </c>
    </row>
    <row r="2679" spans="1:28">
      <c r="A2679" s="285"/>
      <c r="C2679" s="25">
        <v>164</v>
      </c>
      <c r="D2679" s="2">
        <v>27084</v>
      </c>
      <c r="E2679" s="2" t="s">
        <v>6180</v>
      </c>
      <c r="F2679" s="3">
        <v>29504252103322</v>
      </c>
      <c r="G2679" s="2" t="s">
        <v>34</v>
      </c>
      <c r="H2679" s="2" t="s">
        <v>6181</v>
      </c>
      <c r="I2679" s="2" t="s">
        <v>4315</v>
      </c>
      <c r="J2679" s="4">
        <v>43871</v>
      </c>
      <c r="K2679" s="2" t="s">
        <v>8</v>
      </c>
      <c r="L2679" s="2" t="s">
        <v>12</v>
      </c>
      <c r="M2679" s="2" t="s">
        <v>5730</v>
      </c>
      <c r="R2679" s="77">
        <v>3</v>
      </c>
      <c r="S2679" s="77">
        <v>2.5</v>
      </c>
      <c r="T2679" s="77">
        <v>2.5</v>
      </c>
      <c r="U2679" s="77">
        <v>2</v>
      </c>
      <c r="V2679" s="77">
        <v>3</v>
      </c>
      <c r="W2679" s="103" t="s">
        <v>4212</v>
      </c>
      <c r="X2679" s="2" t="s">
        <v>66</v>
      </c>
      <c r="Y2679" s="27">
        <v>43947</v>
      </c>
    </row>
    <row r="2680" spans="1:28">
      <c r="A2680" s="285"/>
      <c r="C2680" s="25">
        <v>164</v>
      </c>
      <c r="D2680" s="2">
        <v>27085</v>
      </c>
      <c r="E2680" s="2" t="s">
        <v>6182</v>
      </c>
      <c r="F2680" s="3">
        <v>29210240103218</v>
      </c>
      <c r="G2680" s="2" t="s">
        <v>34</v>
      </c>
      <c r="H2680" s="2" t="s">
        <v>6183</v>
      </c>
      <c r="I2680" s="2" t="s">
        <v>4315</v>
      </c>
      <c r="J2680" s="4">
        <v>43871</v>
      </c>
      <c r="K2680" s="2" t="s">
        <v>8</v>
      </c>
      <c r="L2680" s="2" t="s">
        <v>12</v>
      </c>
      <c r="M2680" s="2" t="s">
        <v>53</v>
      </c>
      <c r="R2680" s="77">
        <v>3</v>
      </c>
      <c r="S2680" s="77">
        <v>2.5</v>
      </c>
      <c r="T2680" s="77">
        <v>2.5</v>
      </c>
      <c r="U2680" s="77">
        <v>2</v>
      </c>
      <c r="V2680" s="77">
        <v>3</v>
      </c>
      <c r="W2680" s="103" t="s">
        <v>170</v>
      </c>
      <c r="X2680" s="2" t="s">
        <v>66</v>
      </c>
      <c r="Y2680" s="27">
        <v>43947</v>
      </c>
      <c r="Z2680" s="16" t="s">
        <v>66</v>
      </c>
      <c r="AA2680" s="7">
        <v>43961</v>
      </c>
      <c r="AB2680" s="2" t="s">
        <v>61</v>
      </c>
    </row>
    <row r="2681" spans="1:28" ht="15.75" thickBot="1">
      <c r="A2681" s="286"/>
      <c r="C2681" s="28">
        <v>164</v>
      </c>
      <c r="D2681" s="28">
        <v>27091</v>
      </c>
      <c r="E2681" s="28" t="s">
        <v>6184</v>
      </c>
      <c r="F2681" s="29">
        <v>29511261500489</v>
      </c>
      <c r="G2681" s="28" t="s">
        <v>34</v>
      </c>
      <c r="H2681" s="28" t="s">
        <v>6185</v>
      </c>
      <c r="I2681" s="28" t="s">
        <v>4315</v>
      </c>
      <c r="J2681" s="30">
        <v>43871</v>
      </c>
      <c r="K2681" s="28" t="s">
        <v>8</v>
      </c>
      <c r="L2681" s="28" t="s">
        <v>12</v>
      </c>
      <c r="M2681" s="28" t="s">
        <v>5940</v>
      </c>
      <c r="N2681" s="28"/>
      <c r="O2681" s="226"/>
      <c r="P2681" s="28"/>
      <c r="Q2681" s="226"/>
      <c r="R2681" s="37">
        <v>3</v>
      </c>
      <c r="S2681" s="37">
        <v>2.5</v>
      </c>
      <c r="T2681" s="37">
        <v>2.5</v>
      </c>
      <c r="U2681" s="37">
        <v>2</v>
      </c>
      <c r="V2681" s="37">
        <v>3</v>
      </c>
      <c r="W2681" s="28" t="s">
        <v>59</v>
      </c>
      <c r="X2681" s="28" t="s">
        <v>67</v>
      </c>
      <c r="Y2681" s="30">
        <v>43899</v>
      </c>
      <c r="Z2681" s="28" t="s">
        <v>67</v>
      </c>
      <c r="AA2681" s="30"/>
      <c r="AB2681" s="28"/>
    </row>
    <row r="2682" spans="1:28" ht="15.75" thickTop="1">
      <c r="A2682" s="284" t="s">
        <v>1249</v>
      </c>
      <c r="C2682" s="25">
        <v>165</v>
      </c>
      <c r="D2682" s="25">
        <v>27092</v>
      </c>
      <c r="E2682" s="25" t="s">
        <v>6186</v>
      </c>
      <c r="F2682" s="26">
        <v>29905162100191</v>
      </c>
      <c r="G2682" s="25" t="s">
        <v>5890</v>
      </c>
      <c r="H2682" s="25" t="s">
        <v>6187</v>
      </c>
      <c r="I2682" s="25" t="s">
        <v>4315</v>
      </c>
      <c r="J2682" s="27">
        <v>43878</v>
      </c>
      <c r="K2682" s="25" t="s">
        <v>8</v>
      </c>
      <c r="L2682" s="25" t="s">
        <v>12</v>
      </c>
      <c r="M2682" s="25" t="s">
        <v>5940</v>
      </c>
      <c r="N2682" s="25"/>
      <c r="O2682" s="224"/>
      <c r="P2682" s="25"/>
      <c r="Q2682" s="224"/>
      <c r="R2682" s="77">
        <v>3</v>
      </c>
      <c r="S2682" s="77">
        <v>3</v>
      </c>
      <c r="T2682" s="77">
        <v>2</v>
      </c>
      <c r="U2682" s="77">
        <v>2.5</v>
      </c>
      <c r="V2682" s="77">
        <v>3</v>
      </c>
      <c r="W2682" s="25" t="s">
        <v>61</v>
      </c>
      <c r="X2682" s="25"/>
      <c r="Y2682" s="27">
        <v>43906</v>
      </c>
      <c r="Z2682" s="25" t="s">
        <v>66</v>
      </c>
      <c r="AA2682" s="45">
        <v>43907</v>
      </c>
      <c r="AB2682" s="25"/>
    </row>
    <row r="2683" spans="1:28">
      <c r="A2683" s="285"/>
      <c r="C2683" s="25">
        <v>165</v>
      </c>
      <c r="D2683" s="2">
        <v>27093</v>
      </c>
      <c r="E2683" s="2" t="s">
        <v>6188</v>
      </c>
      <c r="F2683" s="3">
        <v>29409150103996</v>
      </c>
      <c r="G2683" s="2" t="s">
        <v>5856</v>
      </c>
      <c r="H2683" s="2" t="s">
        <v>6189</v>
      </c>
      <c r="I2683" s="2" t="s">
        <v>4315</v>
      </c>
      <c r="J2683" s="4">
        <v>43878</v>
      </c>
      <c r="K2683" s="2" t="s">
        <v>8</v>
      </c>
      <c r="L2683" s="2" t="s">
        <v>12</v>
      </c>
      <c r="M2683" s="2" t="s">
        <v>6190</v>
      </c>
      <c r="W2683" s="16" t="s">
        <v>63</v>
      </c>
      <c r="Z2683" s="16" t="s">
        <v>67</v>
      </c>
    </row>
    <row r="2684" spans="1:28">
      <c r="A2684" s="285"/>
      <c r="C2684" s="25">
        <v>165</v>
      </c>
      <c r="D2684" s="2">
        <v>27094</v>
      </c>
      <c r="E2684" s="2" t="s">
        <v>6191</v>
      </c>
      <c r="F2684" s="3">
        <v>28910181701589</v>
      </c>
      <c r="G2684" s="2" t="s">
        <v>34</v>
      </c>
      <c r="H2684" s="2" t="s">
        <v>6192</v>
      </c>
      <c r="I2684" s="2" t="s">
        <v>4315</v>
      </c>
      <c r="J2684" s="4">
        <v>43878</v>
      </c>
      <c r="K2684" s="2" t="s">
        <v>8</v>
      </c>
      <c r="L2684" s="2" t="s">
        <v>12</v>
      </c>
      <c r="M2684" s="2" t="s">
        <v>5982</v>
      </c>
      <c r="R2684" s="77">
        <v>3</v>
      </c>
      <c r="S2684" s="77">
        <v>3</v>
      </c>
      <c r="T2684" s="77">
        <v>2</v>
      </c>
      <c r="U2684" s="77">
        <v>2.5</v>
      </c>
      <c r="V2684" s="77">
        <v>3</v>
      </c>
      <c r="W2684" s="16" t="s">
        <v>61</v>
      </c>
      <c r="Y2684" s="27">
        <v>43906</v>
      </c>
      <c r="Z2684" s="16" t="s">
        <v>66</v>
      </c>
      <c r="AA2684" s="7">
        <v>43907</v>
      </c>
    </row>
    <row r="2685" spans="1:28">
      <c r="A2685" s="285"/>
      <c r="C2685" s="25">
        <v>165</v>
      </c>
      <c r="D2685" s="2">
        <v>27095</v>
      </c>
      <c r="E2685" s="2" t="s">
        <v>6193</v>
      </c>
      <c r="F2685" s="3">
        <v>29507190100606</v>
      </c>
      <c r="G2685" s="2" t="s">
        <v>34</v>
      </c>
      <c r="H2685" s="2" t="s">
        <v>6194</v>
      </c>
      <c r="I2685" s="2" t="s">
        <v>4315</v>
      </c>
      <c r="J2685" s="4">
        <v>43878</v>
      </c>
      <c r="K2685" s="2" t="s">
        <v>8</v>
      </c>
      <c r="L2685" s="2" t="s">
        <v>12</v>
      </c>
      <c r="M2685" s="2" t="s">
        <v>293</v>
      </c>
      <c r="R2685" s="77">
        <v>3</v>
      </c>
      <c r="S2685" s="77">
        <v>3</v>
      </c>
      <c r="T2685" s="77">
        <v>2.5</v>
      </c>
      <c r="U2685" s="77">
        <v>2</v>
      </c>
      <c r="V2685" s="77">
        <v>3</v>
      </c>
      <c r="W2685" s="16" t="s">
        <v>60</v>
      </c>
      <c r="Y2685" s="27">
        <v>43906</v>
      </c>
      <c r="Z2685" s="16" t="s">
        <v>66</v>
      </c>
      <c r="AA2685" s="7">
        <v>43906</v>
      </c>
      <c r="AB2685" s="2" t="s">
        <v>6406</v>
      </c>
    </row>
    <row r="2686" spans="1:28">
      <c r="A2686" s="285"/>
      <c r="C2686" s="25">
        <v>165</v>
      </c>
      <c r="D2686" s="2">
        <v>27096</v>
      </c>
      <c r="E2686" s="2" t="s">
        <v>6195</v>
      </c>
      <c r="F2686" s="3">
        <v>29901232702393</v>
      </c>
      <c r="G2686" s="2" t="s">
        <v>5890</v>
      </c>
      <c r="H2686" s="2" t="s">
        <v>6196</v>
      </c>
      <c r="I2686" s="2" t="s">
        <v>4315</v>
      </c>
      <c r="J2686" s="4">
        <v>43878</v>
      </c>
      <c r="K2686" s="2" t="s">
        <v>8</v>
      </c>
      <c r="L2686" s="2" t="s">
        <v>12</v>
      </c>
      <c r="M2686" s="2" t="s">
        <v>5982</v>
      </c>
      <c r="R2686" s="77">
        <v>3</v>
      </c>
      <c r="S2686" s="77">
        <v>2.5</v>
      </c>
      <c r="T2686" s="77">
        <v>2</v>
      </c>
      <c r="U2686" s="77">
        <v>2.5</v>
      </c>
      <c r="V2686" s="77">
        <v>3</v>
      </c>
      <c r="W2686" s="16" t="s">
        <v>171</v>
      </c>
      <c r="Y2686" s="27">
        <v>43906</v>
      </c>
      <c r="Z2686" s="16" t="s">
        <v>66</v>
      </c>
      <c r="AA2686" s="45">
        <v>43907</v>
      </c>
    </row>
    <row r="2687" spans="1:28">
      <c r="A2687" s="285"/>
      <c r="C2687" s="25">
        <v>165</v>
      </c>
      <c r="D2687" s="2">
        <v>27097</v>
      </c>
      <c r="E2687" s="2" t="s">
        <v>6197</v>
      </c>
      <c r="F2687" s="3">
        <v>29412110100511</v>
      </c>
      <c r="G2687" s="2" t="s">
        <v>34</v>
      </c>
      <c r="H2687" s="2" t="s">
        <v>6198</v>
      </c>
      <c r="I2687" s="2" t="s">
        <v>4315</v>
      </c>
      <c r="J2687" s="4">
        <v>43878</v>
      </c>
      <c r="K2687" s="2" t="s">
        <v>8</v>
      </c>
      <c r="L2687" s="2" t="s">
        <v>12</v>
      </c>
      <c r="M2687" s="2" t="s">
        <v>5942</v>
      </c>
      <c r="W2687" s="16" t="s">
        <v>63</v>
      </c>
      <c r="Z2687" s="16" t="s">
        <v>67</v>
      </c>
    </row>
    <row r="2688" spans="1:28">
      <c r="A2688" s="285"/>
      <c r="C2688" s="25">
        <v>165</v>
      </c>
      <c r="D2688" s="2">
        <v>26956</v>
      </c>
      <c r="E2688" s="2" t="s">
        <v>5889</v>
      </c>
      <c r="F2688" s="3">
        <v>29612052202692</v>
      </c>
      <c r="G2688" s="2" t="s">
        <v>5890</v>
      </c>
      <c r="H2688" s="2" t="s">
        <v>5891</v>
      </c>
      <c r="R2688" s="77">
        <v>3</v>
      </c>
      <c r="S2688" s="77">
        <v>2.5</v>
      </c>
      <c r="T2688" s="77">
        <v>2.5</v>
      </c>
      <c r="U2688" s="77">
        <v>2.5</v>
      </c>
      <c r="V2688" s="77">
        <v>3</v>
      </c>
      <c r="W2688" s="16" t="s">
        <v>502</v>
      </c>
      <c r="X2688" s="2" t="s">
        <v>66</v>
      </c>
      <c r="Y2688" s="7">
        <v>43928</v>
      </c>
      <c r="Z2688" s="16" t="s">
        <v>66</v>
      </c>
      <c r="AA2688" s="7">
        <v>43933</v>
      </c>
      <c r="AB2688" s="2" t="s">
        <v>6386</v>
      </c>
    </row>
    <row r="2689" spans="1:28">
      <c r="A2689" s="285"/>
      <c r="C2689" s="25">
        <v>165</v>
      </c>
      <c r="D2689" s="2">
        <v>26957</v>
      </c>
      <c r="E2689" s="2" t="s">
        <v>5892</v>
      </c>
      <c r="F2689" s="3">
        <v>29604022103395</v>
      </c>
      <c r="G2689" s="2" t="s">
        <v>34</v>
      </c>
      <c r="H2689" s="2" t="s">
        <v>5893</v>
      </c>
      <c r="R2689" s="77">
        <v>3</v>
      </c>
      <c r="S2689" s="77">
        <v>2.5</v>
      </c>
      <c r="T2689" s="77">
        <v>2</v>
      </c>
      <c r="U2689" s="77">
        <v>2.5</v>
      </c>
      <c r="V2689" s="77">
        <v>3</v>
      </c>
      <c r="W2689" s="16" t="s">
        <v>61</v>
      </c>
      <c r="Y2689" s="7">
        <v>43906</v>
      </c>
      <c r="Z2689" s="16" t="s">
        <v>66</v>
      </c>
      <c r="AA2689" s="45">
        <v>43907</v>
      </c>
    </row>
    <row r="2690" spans="1:28">
      <c r="A2690" s="285"/>
      <c r="C2690" s="25">
        <v>165</v>
      </c>
      <c r="D2690" s="2">
        <v>26960</v>
      </c>
      <c r="E2690" s="2" t="s">
        <v>5898</v>
      </c>
      <c r="F2690" s="3">
        <v>28901158800252</v>
      </c>
      <c r="G2690" s="2" t="s">
        <v>34</v>
      </c>
      <c r="H2690" s="2" t="s">
        <v>5899</v>
      </c>
      <c r="R2690" s="77">
        <v>3</v>
      </c>
      <c r="S2690" s="77">
        <v>2.5</v>
      </c>
      <c r="T2690" s="77">
        <v>2.5</v>
      </c>
      <c r="U2690" s="77">
        <v>2.5</v>
      </c>
      <c r="V2690" s="77">
        <v>3</v>
      </c>
      <c r="W2690" s="103" t="s">
        <v>171</v>
      </c>
      <c r="X2690" s="2" t="s">
        <v>66</v>
      </c>
      <c r="Y2690" s="45">
        <v>43928</v>
      </c>
      <c r="Z2690" s="16" t="s">
        <v>66</v>
      </c>
      <c r="AA2690" s="7">
        <v>43940</v>
      </c>
    </row>
    <row r="2691" spans="1:28">
      <c r="A2691" s="285"/>
      <c r="C2691" s="25">
        <v>165</v>
      </c>
      <c r="D2691" s="2">
        <v>26964</v>
      </c>
      <c r="E2691" s="2" t="s">
        <v>5906</v>
      </c>
      <c r="F2691" s="3">
        <v>29706211400063</v>
      </c>
      <c r="G2691" s="2" t="s">
        <v>34</v>
      </c>
      <c r="H2691" s="2" t="s">
        <v>5907</v>
      </c>
      <c r="R2691" s="77">
        <v>3</v>
      </c>
      <c r="S2691" s="77">
        <v>2.5</v>
      </c>
      <c r="T2691" s="77">
        <v>2</v>
      </c>
      <c r="U2691" s="77">
        <v>2.5</v>
      </c>
      <c r="V2691" s="77">
        <v>3</v>
      </c>
      <c r="W2691" s="16" t="s">
        <v>171</v>
      </c>
      <c r="Y2691" s="7">
        <v>43906</v>
      </c>
      <c r="Z2691" s="16" t="s">
        <v>66</v>
      </c>
      <c r="AA2691" s="45">
        <v>43907</v>
      </c>
    </row>
    <row r="2692" spans="1:28" ht="15.75" thickBot="1">
      <c r="A2692" s="286"/>
      <c r="C2692" s="28">
        <v>165</v>
      </c>
      <c r="D2692" s="28">
        <v>26965</v>
      </c>
      <c r="E2692" s="28" t="s">
        <v>5908</v>
      </c>
      <c r="F2692" s="29">
        <v>29402241700992</v>
      </c>
      <c r="G2692" s="28" t="s">
        <v>34</v>
      </c>
      <c r="H2692" s="28" t="s">
        <v>5909</v>
      </c>
      <c r="I2692" s="28"/>
      <c r="J2692" s="30"/>
      <c r="K2692" s="28"/>
      <c r="L2692" s="28"/>
      <c r="M2692" s="28"/>
      <c r="N2692" s="28"/>
      <c r="O2692" s="226"/>
      <c r="P2692" s="28"/>
      <c r="Q2692" s="226"/>
      <c r="R2692" s="37">
        <v>3</v>
      </c>
      <c r="S2692" s="37">
        <v>2.5</v>
      </c>
      <c r="T2692" s="37">
        <v>2.5</v>
      </c>
      <c r="U2692" s="37">
        <v>2</v>
      </c>
      <c r="V2692" s="37">
        <v>3</v>
      </c>
      <c r="W2692" s="28" t="s">
        <v>4409</v>
      </c>
      <c r="X2692" s="28" t="s">
        <v>66</v>
      </c>
      <c r="Y2692" s="30">
        <v>43928</v>
      </c>
      <c r="Z2692" s="28" t="s">
        <v>66</v>
      </c>
      <c r="AA2692" s="30">
        <v>43961</v>
      </c>
      <c r="AB2692" s="28" t="s">
        <v>6918</v>
      </c>
    </row>
    <row r="2693" spans="1:28" ht="15.75" thickTop="1">
      <c r="A2693" s="284" t="s">
        <v>5262</v>
      </c>
      <c r="C2693" s="25" t="s">
        <v>6129</v>
      </c>
      <c r="D2693" s="25">
        <v>27159</v>
      </c>
      <c r="E2693" s="25" t="s">
        <v>6199</v>
      </c>
      <c r="F2693" s="26">
        <v>29611190102325</v>
      </c>
      <c r="G2693" s="25" t="s">
        <v>34</v>
      </c>
      <c r="H2693" s="25" t="s">
        <v>6200</v>
      </c>
      <c r="I2693" s="25" t="s">
        <v>4315</v>
      </c>
      <c r="J2693" s="27">
        <v>43884</v>
      </c>
      <c r="K2693" s="25" t="s">
        <v>798</v>
      </c>
      <c r="L2693" s="25" t="s">
        <v>12</v>
      </c>
      <c r="M2693" s="25" t="s">
        <v>5847</v>
      </c>
      <c r="N2693" s="25"/>
      <c r="O2693" s="224"/>
      <c r="P2693" s="25"/>
      <c r="Q2693" s="224"/>
      <c r="R2693" s="25"/>
      <c r="S2693" s="25"/>
      <c r="T2693" s="25"/>
      <c r="U2693" s="25"/>
      <c r="V2693" s="25"/>
      <c r="W2693" s="25" t="s">
        <v>64</v>
      </c>
      <c r="X2693" s="25"/>
      <c r="Y2693" s="27"/>
      <c r="Z2693" s="25" t="s">
        <v>67</v>
      </c>
      <c r="AA2693" s="27"/>
      <c r="AB2693" s="25"/>
    </row>
    <row r="2694" spans="1:28">
      <c r="A2694" s="285"/>
      <c r="C2694" s="25" t="s">
        <v>6129</v>
      </c>
      <c r="D2694" s="2">
        <v>27160</v>
      </c>
      <c r="E2694" s="2" t="s">
        <v>6201</v>
      </c>
      <c r="F2694" s="3">
        <v>28607160104772</v>
      </c>
      <c r="G2694" s="2" t="s">
        <v>34</v>
      </c>
      <c r="H2694" s="2" t="s">
        <v>6202</v>
      </c>
      <c r="I2694" s="2" t="s">
        <v>4315</v>
      </c>
      <c r="J2694" s="4">
        <v>43884</v>
      </c>
      <c r="K2694" s="2" t="s">
        <v>798</v>
      </c>
      <c r="L2694" s="2" t="s">
        <v>12</v>
      </c>
      <c r="M2694" s="2" t="s">
        <v>6203</v>
      </c>
      <c r="W2694" s="16" t="s">
        <v>64</v>
      </c>
      <c r="Z2694" s="25" t="s">
        <v>67</v>
      </c>
    </row>
    <row r="2695" spans="1:28">
      <c r="A2695" s="285"/>
      <c r="C2695" s="25" t="s">
        <v>6129</v>
      </c>
      <c r="D2695" s="2">
        <v>27161</v>
      </c>
      <c r="E2695" s="2" t="s">
        <v>6204</v>
      </c>
      <c r="F2695" s="3">
        <v>29510011400075</v>
      </c>
      <c r="G2695" s="2" t="s">
        <v>34</v>
      </c>
      <c r="H2695" s="2" t="s">
        <v>6205</v>
      </c>
      <c r="I2695" s="2" t="s">
        <v>4315</v>
      </c>
      <c r="J2695" s="4">
        <v>43884</v>
      </c>
      <c r="K2695" s="2" t="s">
        <v>798</v>
      </c>
      <c r="L2695" s="2" t="s">
        <v>12</v>
      </c>
      <c r="M2695" s="2" t="s">
        <v>5940</v>
      </c>
      <c r="R2695" s="77">
        <v>3</v>
      </c>
      <c r="S2695" s="77">
        <v>2.5</v>
      </c>
      <c r="T2695" s="77">
        <v>2</v>
      </c>
      <c r="U2695" s="77">
        <v>2</v>
      </c>
      <c r="V2695" s="77">
        <v>3</v>
      </c>
      <c r="W2695" s="16" t="s">
        <v>3244</v>
      </c>
      <c r="Y2695" s="7">
        <v>43909</v>
      </c>
    </row>
    <row r="2696" spans="1:28">
      <c r="A2696" s="285"/>
      <c r="C2696" s="25" t="s">
        <v>6129</v>
      </c>
      <c r="D2696" s="2">
        <v>27162</v>
      </c>
      <c r="E2696" s="2" t="s">
        <v>6206</v>
      </c>
      <c r="F2696" s="3">
        <v>29712030102931</v>
      </c>
      <c r="G2696" s="2" t="s">
        <v>34</v>
      </c>
      <c r="H2696" s="2" t="s">
        <v>6207</v>
      </c>
      <c r="I2696" s="2" t="s">
        <v>4315</v>
      </c>
      <c r="J2696" s="4">
        <v>43884</v>
      </c>
      <c r="K2696" s="2" t="s">
        <v>798</v>
      </c>
      <c r="L2696" s="2" t="s">
        <v>12</v>
      </c>
      <c r="M2696" s="2" t="s">
        <v>5942</v>
      </c>
      <c r="R2696" s="77">
        <v>3</v>
      </c>
      <c r="S2696" s="77">
        <v>2.5</v>
      </c>
      <c r="T2696" s="77">
        <v>1.5</v>
      </c>
      <c r="U2696" s="77">
        <v>2</v>
      </c>
      <c r="V2696" s="77">
        <v>3</v>
      </c>
      <c r="W2696" s="16" t="s">
        <v>3321</v>
      </c>
      <c r="Y2696" s="45">
        <v>43909</v>
      </c>
      <c r="Z2696" s="16" t="s">
        <v>66</v>
      </c>
      <c r="AA2696" s="7">
        <v>43933</v>
      </c>
      <c r="AB2696" s="2" t="s">
        <v>5461</v>
      </c>
    </row>
    <row r="2697" spans="1:28">
      <c r="A2697" s="285"/>
      <c r="C2697" s="25" t="s">
        <v>6129</v>
      </c>
      <c r="D2697" s="2">
        <v>27163</v>
      </c>
      <c r="E2697" s="2" t="s">
        <v>6208</v>
      </c>
      <c r="F2697" s="3">
        <v>29801260100141</v>
      </c>
      <c r="G2697" s="2" t="s">
        <v>34</v>
      </c>
      <c r="H2697" s="2" t="s">
        <v>6209</v>
      </c>
      <c r="I2697" s="2" t="s">
        <v>4315</v>
      </c>
      <c r="J2697" s="4">
        <v>43884</v>
      </c>
      <c r="K2697" s="2" t="s">
        <v>798</v>
      </c>
      <c r="L2697" s="2" t="s">
        <v>12</v>
      </c>
      <c r="M2697" s="2" t="s">
        <v>5982</v>
      </c>
      <c r="R2697" s="77">
        <v>3</v>
      </c>
      <c r="S2697" s="77">
        <v>2.5</v>
      </c>
      <c r="T2697" s="77">
        <v>2</v>
      </c>
      <c r="U2697" s="77">
        <v>2</v>
      </c>
      <c r="V2697" s="77">
        <v>3</v>
      </c>
      <c r="W2697" s="16" t="s">
        <v>3244</v>
      </c>
      <c r="Y2697" s="45">
        <v>43909</v>
      </c>
    </row>
    <row r="2698" spans="1:28">
      <c r="A2698" s="285"/>
      <c r="C2698" s="25" t="s">
        <v>6129</v>
      </c>
      <c r="D2698" s="2">
        <v>27164</v>
      </c>
      <c r="E2698" s="2" t="s">
        <v>6210</v>
      </c>
      <c r="F2698" s="3">
        <v>29603150104781</v>
      </c>
      <c r="G2698" s="2" t="s">
        <v>34</v>
      </c>
      <c r="H2698" s="2" t="s">
        <v>6211</v>
      </c>
      <c r="I2698" s="2" t="s">
        <v>4315</v>
      </c>
      <c r="J2698" s="4">
        <v>43884</v>
      </c>
      <c r="K2698" s="2" t="s">
        <v>798</v>
      </c>
      <c r="L2698" s="2" t="s">
        <v>12</v>
      </c>
      <c r="M2698" s="2" t="s">
        <v>6190</v>
      </c>
      <c r="R2698" s="77">
        <v>3</v>
      </c>
      <c r="S2698" s="77">
        <v>2.5</v>
      </c>
      <c r="T2698" s="77">
        <v>2</v>
      </c>
      <c r="U2698" s="77">
        <v>2</v>
      </c>
      <c r="V2698" s="77">
        <v>3</v>
      </c>
      <c r="W2698" s="16" t="s">
        <v>4970</v>
      </c>
      <c r="Y2698" s="45">
        <v>43909</v>
      </c>
    </row>
    <row r="2699" spans="1:28">
      <c r="A2699" s="285"/>
      <c r="C2699" s="25" t="s">
        <v>6129</v>
      </c>
      <c r="D2699" s="2">
        <v>27165</v>
      </c>
      <c r="E2699" s="2" t="s">
        <v>6212</v>
      </c>
      <c r="F2699" s="3">
        <v>29105128800226</v>
      </c>
      <c r="G2699" s="2" t="s">
        <v>34</v>
      </c>
      <c r="H2699" s="2" t="s">
        <v>6213</v>
      </c>
      <c r="I2699" s="2" t="s">
        <v>4315</v>
      </c>
      <c r="J2699" s="4">
        <v>43884</v>
      </c>
      <c r="K2699" s="2" t="s">
        <v>798</v>
      </c>
      <c r="L2699" s="2" t="s">
        <v>12</v>
      </c>
      <c r="M2699" s="2" t="s">
        <v>5324</v>
      </c>
      <c r="R2699" s="77">
        <v>3</v>
      </c>
      <c r="S2699" s="77">
        <v>2</v>
      </c>
      <c r="T2699" s="77">
        <v>2</v>
      </c>
      <c r="U2699" s="77">
        <v>2</v>
      </c>
      <c r="V2699" s="77">
        <v>3</v>
      </c>
      <c r="W2699" s="16" t="s">
        <v>3321</v>
      </c>
      <c r="Y2699" s="45">
        <v>43909</v>
      </c>
      <c r="Z2699" s="16" t="s">
        <v>66</v>
      </c>
      <c r="AA2699" s="45">
        <v>43956</v>
      </c>
      <c r="AB2699" s="2" t="s">
        <v>6742</v>
      </c>
    </row>
    <row r="2700" spans="1:28">
      <c r="A2700" s="285"/>
      <c r="C2700" s="25" t="s">
        <v>6129</v>
      </c>
      <c r="D2700" s="2">
        <v>27166</v>
      </c>
      <c r="E2700" s="2" t="s">
        <v>6214</v>
      </c>
      <c r="F2700" s="3">
        <v>28710018800651</v>
      </c>
      <c r="G2700" s="2" t="s">
        <v>34</v>
      </c>
      <c r="H2700" s="2" t="s">
        <v>6215</v>
      </c>
      <c r="I2700" s="2" t="s">
        <v>4315</v>
      </c>
      <c r="J2700" s="4">
        <v>43884</v>
      </c>
      <c r="K2700" s="2" t="s">
        <v>798</v>
      </c>
      <c r="L2700" s="2" t="s">
        <v>12</v>
      </c>
      <c r="M2700" s="2" t="s">
        <v>5827</v>
      </c>
      <c r="R2700" s="77">
        <v>3</v>
      </c>
      <c r="S2700" s="77">
        <v>3</v>
      </c>
      <c r="T2700" s="77">
        <v>2</v>
      </c>
      <c r="U2700" s="77">
        <v>2</v>
      </c>
      <c r="V2700" s="77">
        <v>3</v>
      </c>
      <c r="W2700" s="16" t="s">
        <v>3244</v>
      </c>
      <c r="Y2700" s="45">
        <v>43909</v>
      </c>
    </row>
    <row r="2701" spans="1:28">
      <c r="A2701" s="285"/>
      <c r="C2701" s="25" t="s">
        <v>6129</v>
      </c>
      <c r="D2701" s="2">
        <v>27167</v>
      </c>
      <c r="E2701" s="2" t="s">
        <v>6216</v>
      </c>
      <c r="F2701" s="3">
        <v>29801010110876</v>
      </c>
      <c r="G2701" s="2" t="s">
        <v>34</v>
      </c>
      <c r="H2701" s="2" t="s">
        <v>6217</v>
      </c>
      <c r="I2701" s="2" t="s">
        <v>4315</v>
      </c>
      <c r="J2701" s="4">
        <v>43884</v>
      </c>
      <c r="K2701" s="2" t="s">
        <v>798</v>
      </c>
      <c r="L2701" s="2" t="s">
        <v>12</v>
      </c>
      <c r="M2701" s="2" t="s">
        <v>4257</v>
      </c>
      <c r="W2701" s="16" t="s">
        <v>64</v>
      </c>
      <c r="Z2701" s="25" t="s">
        <v>67</v>
      </c>
    </row>
    <row r="2702" spans="1:28">
      <c r="A2702" s="285"/>
      <c r="C2702" s="25" t="s">
        <v>6129</v>
      </c>
      <c r="D2702" s="2">
        <v>27168</v>
      </c>
      <c r="E2702" s="2" t="s">
        <v>6218</v>
      </c>
      <c r="F2702" s="3">
        <v>28908120103382</v>
      </c>
      <c r="G2702" s="2" t="s">
        <v>34</v>
      </c>
      <c r="H2702" s="2" t="s">
        <v>6219</v>
      </c>
      <c r="I2702" s="2" t="s">
        <v>4315</v>
      </c>
      <c r="J2702" s="4">
        <v>43884</v>
      </c>
      <c r="K2702" s="2" t="s">
        <v>798</v>
      </c>
      <c r="L2702" s="2" t="s">
        <v>12</v>
      </c>
      <c r="M2702" s="2" t="s">
        <v>4527</v>
      </c>
      <c r="R2702" s="77">
        <v>3</v>
      </c>
      <c r="S2702" s="77">
        <v>3</v>
      </c>
      <c r="T2702" s="77">
        <v>2</v>
      </c>
      <c r="U2702" s="77">
        <v>1.5</v>
      </c>
      <c r="V2702" s="77">
        <v>3</v>
      </c>
      <c r="W2702" s="16" t="s">
        <v>3321</v>
      </c>
      <c r="Y2702" s="45">
        <v>43909</v>
      </c>
      <c r="Z2702" s="16" t="s">
        <v>66</v>
      </c>
      <c r="AA2702" s="7">
        <v>43956</v>
      </c>
      <c r="AB2702" s="2" t="s">
        <v>6742</v>
      </c>
    </row>
    <row r="2703" spans="1:28">
      <c r="A2703" s="285"/>
      <c r="C2703" s="25" t="s">
        <v>6129</v>
      </c>
      <c r="D2703" s="2">
        <v>27169</v>
      </c>
      <c r="E2703" s="2" t="s">
        <v>6220</v>
      </c>
      <c r="F2703" s="3">
        <v>28808081606741</v>
      </c>
      <c r="G2703" s="2" t="s">
        <v>34</v>
      </c>
      <c r="H2703" s="2" t="s">
        <v>6221</v>
      </c>
      <c r="I2703" s="2" t="s">
        <v>4315</v>
      </c>
      <c r="J2703" s="4">
        <v>43884</v>
      </c>
      <c r="K2703" s="2" t="s">
        <v>798</v>
      </c>
      <c r="L2703" s="2" t="s">
        <v>12</v>
      </c>
      <c r="M2703" s="2" t="s">
        <v>4669</v>
      </c>
      <c r="R2703" s="77">
        <v>3</v>
      </c>
      <c r="S2703" s="77">
        <v>1.5</v>
      </c>
      <c r="T2703" s="77">
        <v>1.5</v>
      </c>
      <c r="U2703" s="77">
        <v>1</v>
      </c>
      <c r="V2703" s="77">
        <v>2</v>
      </c>
      <c r="W2703" s="103" t="s">
        <v>3818</v>
      </c>
      <c r="Y2703" s="45">
        <v>43909</v>
      </c>
    </row>
    <row r="2704" spans="1:28">
      <c r="A2704" s="285"/>
      <c r="C2704" s="25" t="s">
        <v>6129</v>
      </c>
      <c r="D2704" s="2">
        <v>27170</v>
      </c>
      <c r="E2704" s="2" t="s">
        <v>6222</v>
      </c>
      <c r="F2704" s="3">
        <v>29007170100038</v>
      </c>
      <c r="G2704" s="2" t="s">
        <v>34</v>
      </c>
      <c r="H2704" s="2" t="s">
        <v>6223</v>
      </c>
      <c r="I2704" s="2" t="s">
        <v>4315</v>
      </c>
      <c r="J2704" s="4">
        <v>43884</v>
      </c>
      <c r="K2704" s="2" t="s">
        <v>798</v>
      </c>
      <c r="L2704" s="2" t="s">
        <v>12</v>
      </c>
      <c r="M2704" s="2" t="s">
        <v>5847</v>
      </c>
      <c r="W2704" s="16" t="s">
        <v>63</v>
      </c>
      <c r="Z2704" s="25" t="s">
        <v>67</v>
      </c>
    </row>
    <row r="2705" spans="1:28">
      <c r="A2705" s="285"/>
      <c r="C2705" s="25" t="s">
        <v>6129</v>
      </c>
      <c r="D2705" s="2">
        <v>27171</v>
      </c>
      <c r="E2705" s="2" t="s">
        <v>6224</v>
      </c>
      <c r="F2705" s="3">
        <v>29409012700428</v>
      </c>
      <c r="G2705" s="2" t="s">
        <v>34</v>
      </c>
      <c r="H2705" s="2" t="s">
        <v>6225</v>
      </c>
      <c r="I2705" s="2" t="s">
        <v>4315</v>
      </c>
      <c r="J2705" s="4">
        <v>43884</v>
      </c>
      <c r="K2705" s="2" t="s">
        <v>798</v>
      </c>
      <c r="L2705" s="2" t="s">
        <v>12</v>
      </c>
      <c r="M2705" s="2" t="s">
        <v>5152</v>
      </c>
      <c r="R2705" s="77">
        <v>3</v>
      </c>
      <c r="S2705" s="77">
        <v>3</v>
      </c>
      <c r="T2705" s="77">
        <v>2</v>
      </c>
      <c r="U2705" s="77">
        <v>2</v>
      </c>
      <c r="V2705" s="77">
        <v>3</v>
      </c>
      <c r="W2705" s="103" t="s">
        <v>3244</v>
      </c>
      <c r="Y2705" s="45">
        <v>43909</v>
      </c>
    </row>
    <row r="2706" spans="1:28">
      <c r="A2706" s="285"/>
      <c r="C2706" s="25" t="s">
        <v>6129</v>
      </c>
      <c r="D2706" s="2">
        <v>27172</v>
      </c>
      <c r="E2706" s="2" t="s">
        <v>6226</v>
      </c>
      <c r="F2706" s="3">
        <v>30007132103479</v>
      </c>
      <c r="G2706" s="2" t="s">
        <v>5890</v>
      </c>
      <c r="H2706" s="2" t="s">
        <v>6227</v>
      </c>
      <c r="I2706" s="2" t="s">
        <v>4315</v>
      </c>
      <c r="J2706" s="4">
        <v>43884</v>
      </c>
      <c r="K2706" s="2" t="s">
        <v>798</v>
      </c>
      <c r="L2706" s="2" t="s">
        <v>12</v>
      </c>
      <c r="M2706" s="2" t="s">
        <v>293</v>
      </c>
      <c r="W2706" s="16" t="s">
        <v>64</v>
      </c>
      <c r="Z2706" s="25" t="s">
        <v>67</v>
      </c>
    </row>
    <row r="2707" spans="1:28">
      <c r="A2707" s="285"/>
      <c r="C2707" s="25" t="s">
        <v>6129</v>
      </c>
      <c r="D2707" s="2">
        <v>27173</v>
      </c>
      <c r="E2707" s="2" t="s">
        <v>6228</v>
      </c>
      <c r="F2707" s="3">
        <v>28802170104301</v>
      </c>
      <c r="G2707" s="2" t="s">
        <v>34</v>
      </c>
      <c r="H2707" s="2" t="s">
        <v>6229</v>
      </c>
      <c r="I2707" s="2" t="s">
        <v>4315</v>
      </c>
      <c r="J2707" s="4">
        <v>43884</v>
      </c>
      <c r="K2707" s="2" t="s">
        <v>798</v>
      </c>
      <c r="L2707" s="2" t="s">
        <v>12</v>
      </c>
      <c r="M2707" s="2" t="s">
        <v>4706</v>
      </c>
      <c r="R2707" s="77">
        <v>3</v>
      </c>
      <c r="S2707" s="77">
        <v>2.5</v>
      </c>
      <c r="T2707" s="77">
        <v>2</v>
      </c>
      <c r="U2707" s="77">
        <v>2</v>
      </c>
      <c r="V2707" s="77">
        <v>3</v>
      </c>
      <c r="W2707" s="16" t="s">
        <v>4970</v>
      </c>
      <c r="Y2707" s="7">
        <v>43909</v>
      </c>
    </row>
    <row r="2708" spans="1:28" ht="15.75" thickBot="1">
      <c r="A2708" s="286"/>
      <c r="C2708" s="28" t="s">
        <v>6129</v>
      </c>
      <c r="D2708" s="28">
        <v>27174</v>
      </c>
      <c r="E2708" s="28" t="s">
        <v>6230</v>
      </c>
      <c r="F2708" s="29">
        <v>29502012700941</v>
      </c>
      <c r="G2708" s="28" t="s">
        <v>34</v>
      </c>
      <c r="H2708" s="28" t="s">
        <v>6231</v>
      </c>
      <c r="I2708" s="28" t="s">
        <v>4315</v>
      </c>
      <c r="J2708" s="30">
        <v>43884</v>
      </c>
      <c r="K2708" s="28" t="s">
        <v>798</v>
      </c>
      <c r="L2708" s="28" t="s">
        <v>12</v>
      </c>
      <c r="M2708" s="28" t="s">
        <v>53</v>
      </c>
      <c r="N2708" s="28"/>
      <c r="O2708" s="226"/>
      <c r="P2708" s="28"/>
      <c r="Q2708" s="226"/>
      <c r="R2708" s="37">
        <v>3</v>
      </c>
      <c r="S2708" s="37">
        <v>3</v>
      </c>
      <c r="T2708" s="37">
        <v>2</v>
      </c>
      <c r="U2708" s="37">
        <v>2</v>
      </c>
      <c r="V2708" s="37">
        <v>3</v>
      </c>
      <c r="W2708" s="28" t="s">
        <v>3244</v>
      </c>
      <c r="X2708" s="28"/>
      <c r="Y2708" s="30">
        <v>43909</v>
      </c>
      <c r="Z2708" s="28"/>
      <c r="AA2708" s="30"/>
      <c r="AB2708" s="28"/>
    </row>
    <row r="2709" spans="1:28" ht="15.75" thickTop="1">
      <c r="A2709" s="284" t="s">
        <v>5924</v>
      </c>
      <c r="C2709" s="25">
        <v>166</v>
      </c>
      <c r="D2709" s="25">
        <v>27175</v>
      </c>
      <c r="E2709" s="25" t="s">
        <v>6232</v>
      </c>
      <c r="F2709" s="26">
        <v>29401310101251</v>
      </c>
      <c r="G2709" s="25" t="s">
        <v>5890</v>
      </c>
      <c r="H2709" s="25" t="s">
        <v>6245</v>
      </c>
      <c r="I2709" s="25" t="s">
        <v>4315</v>
      </c>
      <c r="J2709" s="27">
        <v>43884</v>
      </c>
      <c r="K2709" s="25" t="s">
        <v>8</v>
      </c>
      <c r="L2709" s="25" t="s">
        <v>12</v>
      </c>
      <c r="M2709" s="25" t="s">
        <v>5982</v>
      </c>
      <c r="N2709" s="25"/>
      <c r="O2709" s="224"/>
      <c r="P2709" s="25"/>
      <c r="Q2709" s="224"/>
      <c r="R2709" s="77">
        <v>3</v>
      </c>
      <c r="S2709" s="77">
        <v>2.5</v>
      </c>
      <c r="T2709" s="77">
        <v>2</v>
      </c>
      <c r="U2709" s="77">
        <v>2.5</v>
      </c>
      <c r="V2709" s="77">
        <v>3</v>
      </c>
      <c r="W2709" s="25" t="s">
        <v>171</v>
      </c>
      <c r="X2709" s="25"/>
      <c r="Y2709" s="27">
        <v>43913</v>
      </c>
      <c r="Z2709" s="25" t="s">
        <v>66</v>
      </c>
      <c r="AA2709" s="27">
        <v>43990</v>
      </c>
      <c r="AB2709" s="25"/>
    </row>
    <row r="2710" spans="1:28">
      <c r="A2710" s="285"/>
      <c r="C2710" s="25">
        <v>166</v>
      </c>
      <c r="D2710" s="2">
        <v>27176</v>
      </c>
      <c r="E2710" s="2" t="s">
        <v>6233</v>
      </c>
      <c r="F2710" s="3">
        <v>29608120103005</v>
      </c>
      <c r="G2710" s="2" t="s">
        <v>34</v>
      </c>
      <c r="H2710" s="2" t="s">
        <v>6246</v>
      </c>
      <c r="I2710" s="2" t="s">
        <v>4315</v>
      </c>
      <c r="J2710" s="4">
        <v>43884</v>
      </c>
      <c r="K2710" s="2" t="s">
        <v>8</v>
      </c>
      <c r="L2710" s="2" t="s">
        <v>12</v>
      </c>
      <c r="M2710" s="2" t="s">
        <v>5478</v>
      </c>
      <c r="R2710" s="77">
        <v>3</v>
      </c>
      <c r="S2710" s="77">
        <v>2.5</v>
      </c>
      <c r="T2710" s="77">
        <v>2</v>
      </c>
      <c r="U2710" s="77">
        <v>2</v>
      </c>
      <c r="V2710" s="77">
        <v>3</v>
      </c>
      <c r="W2710" s="16" t="s">
        <v>62</v>
      </c>
      <c r="Y2710" s="27">
        <v>43913</v>
      </c>
      <c r="Z2710" s="16" t="s">
        <v>66</v>
      </c>
      <c r="AA2710" s="45">
        <v>43956</v>
      </c>
      <c r="AB2710" s="2" t="s">
        <v>6748</v>
      </c>
    </row>
    <row r="2711" spans="1:28">
      <c r="A2711" s="285"/>
      <c r="C2711" s="25">
        <v>166</v>
      </c>
      <c r="D2711" s="2">
        <v>27177</v>
      </c>
      <c r="E2711" s="2" t="s">
        <v>6234</v>
      </c>
      <c r="F2711" s="3">
        <v>29702011401205</v>
      </c>
      <c r="G2711" s="2" t="s">
        <v>5890</v>
      </c>
      <c r="H2711" s="2" t="s">
        <v>6247</v>
      </c>
      <c r="I2711" s="2" t="s">
        <v>4315</v>
      </c>
      <c r="J2711" s="4">
        <v>43884</v>
      </c>
      <c r="K2711" s="2" t="s">
        <v>8</v>
      </c>
      <c r="L2711" s="2" t="s">
        <v>12</v>
      </c>
      <c r="M2711" s="2" t="s">
        <v>5942</v>
      </c>
      <c r="W2711" s="16" t="s">
        <v>64</v>
      </c>
      <c r="Z2711" s="16" t="s">
        <v>67</v>
      </c>
    </row>
    <row r="2712" spans="1:28">
      <c r="A2712" s="285"/>
      <c r="C2712" s="25">
        <v>166</v>
      </c>
      <c r="D2712" s="2">
        <v>27178</v>
      </c>
      <c r="E2712" s="2" t="s">
        <v>6235</v>
      </c>
      <c r="F2712" s="3">
        <v>29605020104285</v>
      </c>
      <c r="G2712" s="2" t="s">
        <v>34</v>
      </c>
      <c r="H2712" s="2" t="s">
        <v>6248</v>
      </c>
      <c r="I2712" s="2" t="s">
        <v>4315</v>
      </c>
      <c r="J2712" s="4">
        <v>43884</v>
      </c>
      <c r="K2712" s="2" t="s">
        <v>8</v>
      </c>
      <c r="L2712" s="2" t="s">
        <v>12</v>
      </c>
      <c r="M2712" s="2" t="s">
        <v>5123</v>
      </c>
      <c r="R2712" s="77">
        <v>3</v>
      </c>
      <c r="S2712" s="77">
        <v>2.5</v>
      </c>
      <c r="T2712" s="77">
        <v>2</v>
      </c>
      <c r="U2712" s="77">
        <v>1.5</v>
      </c>
      <c r="V2712" s="77">
        <v>3</v>
      </c>
      <c r="W2712" s="16" t="s">
        <v>62</v>
      </c>
      <c r="Y2712" s="27">
        <v>43913</v>
      </c>
      <c r="Z2712" s="16" t="s">
        <v>66</v>
      </c>
      <c r="AA2712" s="45">
        <v>43956</v>
      </c>
      <c r="AB2712" s="103" t="s">
        <v>6742</v>
      </c>
    </row>
    <row r="2713" spans="1:28">
      <c r="A2713" s="285"/>
      <c r="C2713" s="25">
        <v>166</v>
      </c>
      <c r="D2713" s="2">
        <v>27179</v>
      </c>
      <c r="E2713" s="2" t="s">
        <v>6236</v>
      </c>
      <c r="F2713" s="3">
        <v>29309150106991</v>
      </c>
      <c r="G2713" s="2" t="s">
        <v>1152</v>
      </c>
      <c r="H2713" s="2" t="s">
        <v>6249</v>
      </c>
      <c r="I2713" s="2" t="s">
        <v>4315</v>
      </c>
      <c r="J2713" s="4">
        <v>43884</v>
      </c>
      <c r="K2713" s="2" t="s">
        <v>8</v>
      </c>
      <c r="L2713" s="2" t="s">
        <v>12</v>
      </c>
      <c r="M2713" s="2" t="s">
        <v>6237</v>
      </c>
      <c r="W2713" s="16" t="s">
        <v>63</v>
      </c>
      <c r="Z2713" s="16" t="s">
        <v>67</v>
      </c>
    </row>
    <row r="2714" spans="1:28">
      <c r="A2714" s="285"/>
      <c r="C2714" s="25">
        <v>166</v>
      </c>
      <c r="D2714" s="2">
        <v>27180</v>
      </c>
      <c r="E2714" s="2" t="s">
        <v>6238</v>
      </c>
      <c r="F2714" s="3">
        <v>29809291200381</v>
      </c>
      <c r="G2714" s="2" t="s">
        <v>184</v>
      </c>
      <c r="H2714" s="2" t="s">
        <v>6250</v>
      </c>
      <c r="I2714" s="2" t="s">
        <v>4315</v>
      </c>
      <c r="J2714" s="4">
        <v>43884</v>
      </c>
      <c r="K2714" s="2" t="s">
        <v>8</v>
      </c>
      <c r="L2714" s="2" t="s">
        <v>12</v>
      </c>
      <c r="M2714" s="2" t="s">
        <v>5152</v>
      </c>
      <c r="R2714" s="77">
        <v>3</v>
      </c>
      <c r="S2714" s="77">
        <v>2.5</v>
      </c>
      <c r="T2714" s="77">
        <v>2</v>
      </c>
      <c r="U2714" s="77">
        <v>1.5</v>
      </c>
      <c r="V2714" s="77">
        <v>3</v>
      </c>
      <c r="W2714" s="16" t="s">
        <v>62</v>
      </c>
      <c r="Y2714" s="7">
        <v>43913</v>
      </c>
    </row>
    <row r="2715" spans="1:28">
      <c r="A2715" s="285"/>
      <c r="C2715" s="25">
        <v>166</v>
      </c>
      <c r="D2715" s="2">
        <v>27181</v>
      </c>
      <c r="E2715" s="2" t="s">
        <v>6239</v>
      </c>
      <c r="F2715" s="3">
        <v>29912100102534</v>
      </c>
      <c r="G2715" s="2" t="s">
        <v>4131</v>
      </c>
      <c r="H2715" s="2" t="s">
        <v>6251</v>
      </c>
      <c r="I2715" s="2" t="s">
        <v>4315</v>
      </c>
      <c r="J2715" s="4">
        <v>43884</v>
      </c>
      <c r="K2715" s="2" t="s">
        <v>8</v>
      </c>
      <c r="L2715" s="2" t="s">
        <v>12</v>
      </c>
      <c r="M2715" s="2" t="s">
        <v>6240</v>
      </c>
      <c r="R2715" s="77">
        <v>3</v>
      </c>
      <c r="S2715" s="77">
        <v>2.5</v>
      </c>
      <c r="T2715" s="77">
        <v>2</v>
      </c>
      <c r="U2715" s="77">
        <v>2</v>
      </c>
      <c r="V2715" s="77">
        <v>3</v>
      </c>
      <c r="W2715" s="103" t="s">
        <v>62</v>
      </c>
      <c r="X2715" s="2" t="s">
        <v>66</v>
      </c>
      <c r="Y2715" s="7">
        <v>43928</v>
      </c>
      <c r="Z2715" s="16" t="s">
        <v>66</v>
      </c>
      <c r="AA2715" s="7">
        <v>44017</v>
      </c>
      <c r="AB2715" s="2" t="s">
        <v>4411</v>
      </c>
    </row>
    <row r="2716" spans="1:28">
      <c r="A2716" s="285"/>
      <c r="C2716" s="25">
        <v>166</v>
      </c>
      <c r="D2716" s="2">
        <v>27182</v>
      </c>
      <c r="E2716" s="2" t="s">
        <v>6241</v>
      </c>
      <c r="F2716" s="3">
        <v>30106040106992</v>
      </c>
      <c r="G2716" s="2" t="s">
        <v>5890</v>
      </c>
      <c r="H2716" s="2" t="s">
        <v>6252</v>
      </c>
      <c r="I2716" s="2" t="s">
        <v>4315</v>
      </c>
      <c r="J2716" s="4">
        <v>43884</v>
      </c>
      <c r="K2716" s="2" t="s">
        <v>8</v>
      </c>
      <c r="L2716" s="2" t="s">
        <v>12</v>
      </c>
      <c r="M2716" s="2" t="s">
        <v>6242</v>
      </c>
      <c r="R2716" s="77">
        <v>3</v>
      </c>
      <c r="S2716" s="77">
        <v>2.5</v>
      </c>
      <c r="T2716" s="77">
        <v>2</v>
      </c>
      <c r="U2716" s="77">
        <v>2.5</v>
      </c>
      <c r="V2716" s="77">
        <v>3</v>
      </c>
      <c r="W2716" s="16" t="s">
        <v>171</v>
      </c>
      <c r="Y2716" s="7">
        <v>43913</v>
      </c>
    </row>
    <row r="2717" spans="1:28">
      <c r="A2717" s="285"/>
      <c r="C2717" s="25">
        <v>166</v>
      </c>
      <c r="D2717" s="2">
        <v>27183</v>
      </c>
      <c r="E2717" s="2" t="s">
        <v>6243</v>
      </c>
      <c r="F2717" s="3">
        <v>29411282300302</v>
      </c>
      <c r="G2717" s="2" t="s">
        <v>34</v>
      </c>
      <c r="H2717" s="2" t="s">
        <v>6253</v>
      </c>
      <c r="I2717" s="2" t="s">
        <v>4315</v>
      </c>
      <c r="J2717" s="4">
        <v>43884</v>
      </c>
      <c r="K2717" s="2" t="s">
        <v>8</v>
      </c>
      <c r="L2717" s="2" t="s">
        <v>12</v>
      </c>
      <c r="M2717" s="2" t="s">
        <v>5123</v>
      </c>
      <c r="R2717" s="77">
        <v>3</v>
      </c>
      <c r="S2717" s="77">
        <v>2.5</v>
      </c>
      <c r="T2717" s="77">
        <v>2</v>
      </c>
      <c r="U2717" s="77">
        <v>2.5</v>
      </c>
      <c r="V2717" s="77">
        <v>3</v>
      </c>
      <c r="W2717" s="16" t="s">
        <v>171</v>
      </c>
      <c r="Y2717" s="7">
        <v>43913</v>
      </c>
      <c r="Z2717" s="16" t="s">
        <v>66</v>
      </c>
      <c r="AA2717" s="7">
        <v>43990</v>
      </c>
    </row>
    <row r="2718" spans="1:28">
      <c r="A2718" s="285"/>
      <c r="C2718" s="25">
        <v>166</v>
      </c>
      <c r="D2718" s="2">
        <v>27184</v>
      </c>
      <c r="E2718" s="2" t="s">
        <v>6244</v>
      </c>
      <c r="F2718" s="3">
        <v>29305051803366</v>
      </c>
      <c r="G2718" s="2" t="s">
        <v>34</v>
      </c>
      <c r="H2718" s="2" t="s">
        <v>6254</v>
      </c>
      <c r="I2718" s="2" t="s">
        <v>4315</v>
      </c>
      <c r="J2718" s="4">
        <v>43884</v>
      </c>
      <c r="K2718" s="2" t="s">
        <v>8</v>
      </c>
      <c r="L2718" s="2" t="s">
        <v>12</v>
      </c>
      <c r="M2718" s="2" t="s">
        <v>109</v>
      </c>
      <c r="R2718" s="77">
        <v>3</v>
      </c>
      <c r="S2718" s="77">
        <v>2.5</v>
      </c>
      <c r="T2718" s="77">
        <v>2</v>
      </c>
      <c r="U2718" s="77">
        <v>2</v>
      </c>
      <c r="V2718" s="77">
        <v>3</v>
      </c>
      <c r="W2718" s="103" t="s">
        <v>62</v>
      </c>
      <c r="X2718" s="2" t="s">
        <v>66</v>
      </c>
      <c r="Y2718" s="7">
        <v>43930</v>
      </c>
    </row>
    <row r="2719" spans="1:28" ht="15.75" thickBot="1">
      <c r="A2719" s="286"/>
      <c r="C2719" s="28">
        <v>166</v>
      </c>
      <c r="D2719" s="28">
        <v>27205</v>
      </c>
      <c r="E2719" s="28" t="s">
        <v>6265</v>
      </c>
      <c r="F2719" s="29" t="s">
        <v>6266</v>
      </c>
      <c r="G2719" s="28" t="s">
        <v>34</v>
      </c>
      <c r="H2719" s="78" t="s">
        <v>6267</v>
      </c>
      <c r="I2719" s="28" t="s">
        <v>4315</v>
      </c>
      <c r="J2719" s="30">
        <v>43884</v>
      </c>
      <c r="K2719" s="28" t="s">
        <v>8</v>
      </c>
      <c r="L2719" s="28" t="s">
        <v>12</v>
      </c>
      <c r="M2719" s="28" t="s">
        <v>4706</v>
      </c>
      <c r="N2719" s="28"/>
      <c r="O2719" s="226"/>
      <c r="P2719" s="28"/>
      <c r="Q2719" s="226"/>
      <c r="R2719" s="77">
        <v>3</v>
      </c>
      <c r="S2719" s="77">
        <v>2.5</v>
      </c>
      <c r="T2719" s="77">
        <v>2.5</v>
      </c>
      <c r="U2719" s="77">
        <v>2.5</v>
      </c>
      <c r="V2719" s="77">
        <v>3</v>
      </c>
      <c r="W2719" s="28" t="s">
        <v>4212</v>
      </c>
      <c r="X2719" s="28"/>
      <c r="Y2719" s="30">
        <v>43913</v>
      </c>
      <c r="Z2719" s="28" t="s">
        <v>66</v>
      </c>
      <c r="AA2719" s="30"/>
      <c r="AB2719" s="28" t="s">
        <v>6386</v>
      </c>
    </row>
    <row r="2720" spans="1:28" ht="15.75" thickTop="1">
      <c r="A2720" s="292" t="s">
        <v>3120</v>
      </c>
      <c r="C2720" s="25" t="s">
        <v>6288</v>
      </c>
      <c r="D2720" s="25">
        <v>27203</v>
      </c>
      <c r="E2720" s="25" t="s">
        <v>6284</v>
      </c>
      <c r="F2720" s="26">
        <v>29508270104463</v>
      </c>
      <c r="G2720" s="25" t="s">
        <v>184</v>
      </c>
      <c r="H2720" s="34" t="s">
        <v>6275</v>
      </c>
      <c r="I2720" s="25" t="s">
        <v>4315</v>
      </c>
      <c r="J2720" s="27">
        <v>43891</v>
      </c>
      <c r="K2720" s="25" t="s">
        <v>8</v>
      </c>
      <c r="L2720" s="25" t="s">
        <v>12</v>
      </c>
      <c r="M2720" s="25" t="s">
        <v>6071</v>
      </c>
      <c r="N2720" s="25"/>
      <c r="O2720" s="224"/>
      <c r="P2720" s="25"/>
      <c r="Q2720" s="224"/>
      <c r="R2720" s="92">
        <v>3</v>
      </c>
      <c r="S2720" s="92">
        <v>2.5</v>
      </c>
      <c r="T2720" s="92">
        <v>2.5</v>
      </c>
      <c r="U2720" s="92">
        <v>2.5</v>
      </c>
      <c r="V2720" s="92">
        <v>3</v>
      </c>
      <c r="W2720" s="25" t="s">
        <v>60</v>
      </c>
      <c r="X2720" s="25"/>
      <c r="Y2720" s="27">
        <v>43908</v>
      </c>
      <c r="Z2720" s="25" t="s">
        <v>66</v>
      </c>
      <c r="AA2720" s="27">
        <v>44047</v>
      </c>
      <c r="AB2720" s="25" t="s">
        <v>6786</v>
      </c>
    </row>
    <row r="2721" spans="1:28">
      <c r="A2721" s="294"/>
      <c r="C2721" s="2" t="s">
        <v>6288</v>
      </c>
      <c r="D2721" s="2">
        <v>27214</v>
      </c>
      <c r="E2721" s="2" t="s">
        <v>6285</v>
      </c>
      <c r="F2721" s="3" t="s">
        <v>6286</v>
      </c>
      <c r="G2721" s="2" t="s">
        <v>184</v>
      </c>
      <c r="H2721" s="8" t="s">
        <v>6276</v>
      </c>
      <c r="I2721" s="2" t="s">
        <v>4315</v>
      </c>
      <c r="J2721" s="4">
        <v>43891</v>
      </c>
      <c r="K2721" s="2" t="s">
        <v>8</v>
      </c>
      <c r="L2721" s="2" t="s">
        <v>12</v>
      </c>
      <c r="M2721" s="2" t="s">
        <v>53</v>
      </c>
      <c r="R2721" s="77">
        <v>3</v>
      </c>
      <c r="S2721" s="77">
        <v>2.5</v>
      </c>
      <c r="T2721" s="77">
        <v>2.5</v>
      </c>
      <c r="U2721" s="77">
        <v>2</v>
      </c>
      <c r="V2721" s="77">
        <v>2.5</v>
      </c>
      <c r="W2721" s="16" t="s">
        <v>4212</v>
      </c>
      <c r="Y2721" s="7">
        <v>43908</v>
      </c>
      <c r="Z2721" s="16" t="s">
        <v>66</v>
      </c>
      <c r="AB2721" s="2" t="s">
        <v>6353</v>
      </c>
    </row>
    <row r="2722" spans="1:28" ht="15.75" thickBot="1">
      <c r="A2722" s="293"/>
      <c r="C2722" s="28" t="s">
        <v>6288</v>
      </c>
      <c r="D2722" s="28">
        <v>27204</v>
      </c>
      <c r="E2722" s="28" t="s">
        <v>6287</v>
      </c>
      <c r="F2722" s="29">
        <v>29404100103071</v>
      </c>
      <c r="G2722" s="28" t="s">
        <v>34</v>
      </c>
      <c r="H2722" s="78" t="s">
        <v>6277</v>
      </c>
      <c r="I2722" s="28" t="s">
        <v>4315</v>
      </c>
      <c r="J2722" s="30">
        <v>43891</v>
      </c>
      <c r="K2722" s="28" t="s">
        <v>8</v>
      </c>
      <c r="L2722" s="28" t="s">
        <v>12</v>
      </c>
      <c r="M2722" s="28" t="s">
        <v>5942</v>
      </c>
      <c r="N2722" s="28"/>
      <c r="O2722" s="226"/>
      <c r="P2722" s="28"/>
      <c r="Q2722" s="226"/>
      <c r="R2722" s="37">
        <v>3</v>
      </c>
      <c r="S2722" s="37">
        <v>2.5</v>
      </c>
      <c r="T2722" s="37">
        <v>2.5</v>
      </c>
      <c r="U2722" s="37">
        <v>2</v>
      </c>
      <c r="V2722" s="37">
        <v>3</v>
      </c>
      <c r="W2722" s="28" t="s">
        <v>170</v>
      </c>
      <c r="X2722" s="28"/>
      <c r="Y2722" s="30">
        <v>43908</v>
      </c>
      <c r="Z2722" s="28" t="s">
        <v>66</v>
      </c>
      <c r="AA2722" s="30">
        <v>43920</v>
      </c>
      <c r="AB2722" s="28" t="s">
        <v>6517</v>
      </c>
    </row>
    <row r="2723" spans="1:28" ht="15.75" thickTop="1">
      <c r="A2723" s="284" t="s">
        <v>4517</v>
      </c>
      <c r="C2723" s="25">
        <v>167</v>
      </c>
      <c r="D2723" s="25">
        <v>27197</v>
      </c>
      <c r="E2723" s="25" t="s">
        <v>6293</v>
      </c>
      <c r="F2723" s="26">
        <v>29401231200774</v>
      </c>
      <c r="G2723" s="25" t="s">
        <v>5890</v>
      </c>
      <c r="H2723" s="25" t="s">
        <v>6294</v>
      </c>
      <c r="I2723" s="25" t="s">
        <v>4315</v>
      </c>
      <c r="J2723" s="27">
        <v>43891</v>
      </c>
      <c r="K2723" s="25" t="s">
        <v>8</v>
      </c>
      <c r="L2723" s="25" t="s">
        <v>12</v>
      </c>
      <c r="M2723" s="25" t="s">
        <v>6237</v>
      </c>
      <c r="N2723" s="25"/>
      <c r="O2723" s="224"/>
      <c r="P2723" s="25"/>
      <c r="Q2723" s="224"/>
      <c r="R2723" s="92">
        <v>3</v>
      </c>
      <c r="S2723" s="92">
        <v>2.5</v>
      </c>
      <c r="T2723" s="92">
        <v>2</v>
      </c>
      <c r="U2723" s="92">
        <v>2</v>
      </c>
      <c r="V2723" s="92">
        <v>3</v>
      </c>
      <c r="W2723" s="25" t="s">
        <v>62</v>
      </c>
      <c r="X2723" s="25" t="s">
        <v>66</v>
      </c>
      <c r="Y2723" s="27">
        <v>43947</v>
      </c>
      <c r="Z2723" s="25" t="s">
        <v>66</v>
      </c>
      <c r="AA2723" s="45">
        <v>43949</v>
      </c>
      <c r="AB2723" s="103" t="s">
        <v>6002</v>
      </c>
    </row>
    <row r="2724" spans="1:28">
      <c r="A2724" s="285"/>
      <c r="C2724" s="2">
        <v>167</v>
      </c>
      <c r="D2724" s="2">
        <v>27198</v>
      </c>
      <c r="E2724" s="2" t="s">
        <v>6295</v>
      </c>
      <c r="F2724" s="3">
        <v>29609140100521</v>
      </c>
      <c r="G2724" s="2" t="s">
        <v>34</v>
      </c>
      <c r="H2724" s="2" t="s">
        <v>6296</v>
      </c>
      <c r="I2724" s="2" t="s">
        <v>4315</v>
      </c>
      <c r="J2724" s="4">
        <v>43891</v>
      </c>
      <c r="K2724" s="2" t="s">
        <v>8</v>
      </c>
      <c r="L2724" s="2" t="s">
        <v>12</v>
      </c>
      <c r="M2724" s="2" t="s">
        <v>5123</v>
      </c>
      <c r="R2724" s="77">
        <v>3</v>
      </c>
      <c r="S2724" s="77">
        <v>2</v>
      </c>
      <c r="T2724" s="77">
        <v>2.5</v>
      </c>
      <c r="U2724" s="77">
        <v>2</v>
      </c>
      <c r="V2724" s="77">
        <v>3</v>
      </c>
      <c r="W2724" s="25" t="s">
        <v>62</v>
      </c>
      <c r="X2724" s="2" t="s">
        <v>66</v>
      </c>
      <c r="Y2724" s="27">
        <v>43947</v>
      </c>
      <c r="Z2724" s="16" t="s">
        <v>66</v>
      </c>
      <c r="AA2724" s="7">
        <v>43949</v>
      </c>
      <c r="AB2724" s="2" t="s">
        <v>6002</v>
      </c>
    </row>
    <row r="2725" spans="1:28">
      <c r="A2725" s="285"/>
      <c r="C2725" s="103">
        <v>167</v>
      </c>
      <c r="D2725" s="2">
        <v>27199</v>
      </c>
      <c r="E2725" s="2" t="s">
        <v>6297</v>
      </c>
      <c r="F2725" s="3">
        <v>29605022101526</v>
      </c>
      <c r="G2725" s="103" t="s">
        <v>34</v>
      </c>
      <c r="H2725" s="2" t="s">
        <v>6298</v>
      </c>
      <c r="I2725" s="2" t="s">
        <v>4315</v>
      </c>
      <c r="J2725" s="4">
        <v>43891</v>
      </c>
      <c r="K2725" s="2" t="s">
        <v>8</v>
      </c>
      <c r="L2725" s="2" t="s">
        <v>12</v>
      </c>
      <c r="M2725" s="2" t="s">
        <v>4493</v>
      </c>
      <c r="R2725" s="77">
        <v>3</v>
      </c>
      <c r="S2725" s="77">
        <v>2.5</v>
      </c>
      <c r="T2725" s="77">
        <v>2</v>
      </c>
      <c r="U2725" s="77">
        <v>2</v>
      </c>
      <c r="V2725" s="77">
        <v>3</v>
      </c>
      <c r="W2725" s="16" t="s">
        <v>5714</v>
      </c>
      <c r="X2725" s="2" t="s">
        <v>67</v>
      </c>
      <c r="Y2725" s="27">
        <v>43947</v>
      </c>
      <c r="Z2725" s="16" t="s">
        <v>67</v>
      </c>
    </row>
    <row r="2726" spans="1:28">
      <c r="A2726" s="285"/>
      <c r="C2726" s="103">
        <v>167</v>
      </c>
      <c r="D2726" s="2">
        <v>27200</v>
      </c>
      <c r="E2726" s="2" t="s">
        <v>6299</v>
      </c>
      <c r="F2726" s="3">
        <v>29610108800552</v>
      </c>
      <c r="G2726" s="2" t="s">
        <v>5890</v>
      </c>
      <c r="H2726" s="2" t="s">
        <v>6300</v>
      </c>
      <c r="I2726" s="2" t="s">
        <v>4315</v>
      </c>
      <c r="J2726" s="4">
        <v>43891</v>
      </c>
      <c r="K2726" s="2" t="s">
        <v>8</v>
      </c>
      <c r="L2726" s="2" t="s">
        <v>12</v>
      </c>
      <c r="M2726" s="2" t="s">
        <v>5123</v>
      </c>
      <c r="R2726" s="77">
        <v>3</v>
      </c>
      <c r="S2726" s="77">
        <v>3</v>
      </c>
      <c r="T2726" s="77">
        <v>2</v>
      </c>
      <c r="U2726" s="77">
        <v>2.5</v>
      </c>
      <c r="V2726" s="77">
        <v>3</v>
      </c>
      <c r="W2726" s="16" t="s">
        <v>61</v>
      </c>
      <c r="Y2726" s="7">
        <v>43916</v>
      </c>
      <c r="Z2726" s="16" t="s">
        <v>66</v>
      </c>
      <c r="AA2726" s="7">
        <v>43940</v>
      </c>
    </row>
    <row r="2727" spans="1:28">
      <c r="A2727" s="285"/>
      <c r="C2727" s="103">
        <v>167</v>
      </c>
      <c r="D2727" s="2">
        <v>27201</v>
      </c>
      <c r="E2727" s="2" t="s">
        <v>6301</v>
      </c>
      <c r="F2727" s="3">
        <v>29903011703622</v>
      </c>
      <c r="G2727" s="2" t="s">
        <v>5890</v>
      </c>
      <c r="H2727" s="2" t="s">
        <v>6302</v>
      </c>
      <c r="I2727" s="2" t="s">
        <v>4315</v>
      </c>
      <c r="J2727" s="4">
        <v>43891</v>
      </c>
      <c r="K2727" s="2" t="s">
        <v>8</v>
      </c>
      <c r="L2727" s="2" t="s">
        <v>12</v>
      </c>
      <c r="M2727" s="2" t="s">
        <v>5126</v>
      </c>
      <c r="R2727" s="77">
        <v>3</v>
      </c>
      <c r="S2727" s="77">
        <v>2.5</v>
      </c>
      <c r="T2727" s="77">
        <v>2.5</v>
      </c>
      <c r="U2727" s="77">
        <v>2</v>
      </c>
      <c r="V2727" s="77">
        <v>3</v>
      </c>
      <c r="W2727" s="16" t="s">
        <v>502</v>
      </c>
      <c r="X2727" s="2" t="s">
        <v>66</v>
      </c>
      <c r="Y2727" s="27">
        <v>43947</v>
      </c>
      <c r="Z2727" s="16" t="s">
        <v>66</v>
      </c>
      <c r="AA2727" s="7">
        <v>43961</v>
      </c>
      <c r="AB2727" s="2" t="s">
        <v>61</v>
      </c>
    </row>
    <row r="2728" spans="1:28">
      <c r="A2728" s="285"/>
      <c r="C2728" s="103">
        <v>167</v>
      </c>
      <c r="D2728" s="2">
        <v>27202</v>
      </c>
      <c r="E2728" s="2" t="s">
        <v>6303</v>
      </c>
      <c r="F2728" s="3">
        <v>28702052103878</v>
      </c>
      <c r="G2728" s="2" t="s">
        <v>34</v>
      </c>
      <c r="H2728" s="2" t="s">
        <v>6304</v>
      </c>
      <c r="I2728" s="2" t="s">
        <v>4315</v>
      </c>
      <c r="J2728" s="4">
        <v>43891</v>
      </c>
      <c r="K2728" s="2" t="s">
        <v>8</v>
      </c>
      <c r="L2728" s="2" t="s">
        <v>12</v>
      </c>
      <c r="M2728" s="2" t="s">
        <v>6305</v>
      </c>
      <c r="R2728" s="77">
        <v>3</v>
      </c>
      <c r="S2728" s="77">
        <v>2.5</v>
      </c>
      <c r="T2728" s="77">
        <v>2</v>
      </c>
      <c r="U2728" s="77">
        <v>2</v>
      </c>
      <c r="V2728" s="77">
        <v>3</v>
      </c>
      <c r="W2728" s="16" t="s">
        <v>171</v>
      </c>
      <c r="Y2728" s="7">
        <v>43916</v>
      </c>
    </row>
    <row r="2729" spans="1:28">
      <c r="A2729" s="285"/>
      <c r="C2729" s="103">
        <v>167</v>
      </c>
      <c r="D2729" s="2">
        <v>27057</v>
      </c>
      <c r="E2729" s="2" t="s">
        <v>6078</v>
      </c>
      <c r="F2729" s="3">
        <v>29104240100494</v>
      </c>
      <c r="G2729" s="2" t="s">
        <v>34</v>
      </c>
      <c r="H2729" s="2" t="s">
        <v>6090</v>
      </c>
      <c r="R2729" s="77">
        <v>3</v>
      </c>
      <c r="S2729" s="77">
        <v>2.5</v>
      </c>
      <c r="T2729" s="77">
        <v>2.5</v>
      </c>
      <c r="U2729" s="77">
        <v>2.5</v>
      </c>
      <c r="V2729" s="77">
        <v>3</v>
      </c>
      <c r="W2729" s="16" t="s">
        <v>4212</v>
      </c>
      <c r="Y2729" s="7">
        <v>43916</v>
      </c>
      <c r="Z2729" s="16" t="s">
        <v>66</v>
      </c>
      <c r="AA2729" s="7">
        <v>43920</v>
      </c>
    </row>
    <row r="2730" spans="1:28">
      <c r="A2730" s="285"/>
      <c r="C2730" s="103">
        <v>167</v>
      </c>
      <c r="D2730" s="2">
        <v>27058</v>
      </c>
      <c r="E2730" s="2" t="s">
        <v>6079</v>
      </c>
      <c r="F2730" s="3">
        <v>29009160103457</v>
      </c>
      <c r="G2730" s="2" t="s">
        <v>34</v>
      </c>
      <c r="H2730" s="2" t="s">
        <v>6091</v>
      </c>
      <c r="R2730" s="77">
        <v>3</v>
      </c>
      <c r="S2730" s="77">
        <v>2.5</v>
      </c>
      <c r="T2730" s="77">
        <v>2</v>
      </c>
      <c r="U2730" s="77">
        <v>2.5</v>
      </c>
      <c r="V2730" s="77">
        <v>3</v>
      </c>
      <c r="W2730" s="103" t="s">
        <v>171</v>
      </c>
      <c r="X2730" s="2" t="s">
        <v>66</v>
      </c>
      <c r="Y2730" s="7">
        <v>43947</v>
      </c>
      <c r="Z2730" s="16" t="s">
        <v>66</v>
      </c>
      <c r="AA2730" s="45">
        <v>43961</v>
      </c>
    </row>
    <row r="2731" spans="1:28">
      <c r="A2731" s="285"/>
      <c r="C2731" s="103">
        <v>167</v>
      </c>
      <c r="D2731" s="2">
        <v>27062</v>
      </c>
      <c r="E2731" s="2" t="s">
        <v>6083</v>
      </c>
      <c r="F2731" s="3">
        <v>29803062101444</v>
      </c>
      <c r="G2731" s="2" t="s">
        <v>34</v>
      </c>
      <c r="H2731" s="2" t="s">
        <v>6095</v>
      </c>
      <c r="R2731" s="77">
        <v>3</v>
      </c>
      <c r="S2731" s="77">
        <v>2.5</v>
      </c>
      <c r="T2731" s="77">
        <v>2.5</v>
      </c>
      <c r="U2731" s="77">
        <v>2.5</v>
      </c>
      <c r="V2731" s="77">
        <v>3</v>
      </c>
      <c r="W2731" s="16" t="s">
        <v>60</v>
      </c>
      <c r="Y2731" s="7">
        <v>43916</v>
      </c>
      <c r="Z2731" s="16" t="s">
        <v>66</v>
      </c>
      <c r="AA2731" s="45">
        <v>43920</v>
      </c>
      <c r="AB2731" s="2" t="s">
        <v>6351</v>
      </c>
    </row>
    <row r="2732" spans="1:28">
      <c r="A2732" s="285"/>
      <c r="C2732" s="103">
        <v>167</v>
      </c>
      <c r="D2732" s="2">
        <v>27064</v>
      </c>
      <c r="E2732" s="2" t="s">
        <v>6085</v>
      </c>
      <c r="F2732" s="3">
        <v>29803010106979</v>
      </c>
      <c r="G2732" s="103" t="s">
        <v>5890</v>
      </c>
      <c r="H2732" s="2" t="s">
        <v>6097</v>
      </c>
      <c r="R2732" s="77">
        <v>3</v>
      </c>
      <c r="S2732" s="77">
        <v>2.5</v>
      </c>
      <c r="T2732" s="77">
        <v>2.5</v>
      </c>
      <c r="U2732" s="77">
        <v>2</v>
      </c>
      <c r="V2732" s="77">
        <v>3</v>
      </c>
      <c r="W2732" s="16" t="s">
        <v>4212</v>
      </c>
      <c r="Y2732" s="7">
        <v>43916</v>
      </c>
      <c r="Z2732" s="16" t="s">
        <v>66</v>
      </c>
      <c r="AA2732" s="7">
        <v>43933</v>
      </c>
      <c r="AB2732" s="2" t="s">
        <v>6386</v>
      </c>
    </row>
    <row r="2733" spans="1:28" ht="15.75" thickBot="1">
      <c r="A2733" s="286"/>
      <c r="C2733" s="28">
        <v>167</v>
      </c>
      <c r="D2733" s="28">
        <v>27066</v>
      </c>
      <c r="E2733" s="28" t="s">
        <v>6087</v>
      </c>
      <c r="F2733" s="29">
        <v>29707262702231</v>
      </c>
      <c r="G2733" s="28" t="s">
        <v>3892</v>
      </c>
      <c r="H2733" s="28" t="s">
        <v>6099</v>
      </c>
      <c r="I2733" s="28"/>
      <c r="J2733" s="30"/>
      <c r="K2733" s="28"/>
      <c r="L2733" s="28"/>
      <c r="M2733" s="28"/>
      <c r="N2733" s="28"/>
      <c r="O2733" s="226"/>
      <c r="P2733" s="28"/>
      <c r="Q2733" s="226"/>
      <c r="R2733" s="37">
        <v>3</v>
      </c>
      <c r="S2733" s="37">
        <v>2.5</v>
      </c>
      <c r="T2733" s="37">
        <v>2.5</v>
      </c>
      <c r="U2733" s="37">
        <v>2.5</v>
      </c>
      <c r="V2733" s="37">
        <v>3</v>
      </c>
      <c r="W2733" s="28" t="s">
        <v>502</v>
      </c>
      <c r="X2733" s="28"/>
      <c r="Y2733" s="30">
        <v>43916</v>
      </c>
      <c r="Z2733" s="28" t="s">
        <v>66</v>
      </c>
      <c r="AA2733" s="30">
        <v>43920</v>
      </c>
      <c r="AB2733" s="28"/>
    </row>
    <row r="2734" spans="1:28" ht="15.75" thickTop="1">
      <c r="A2734" s="284" t="s">
        <v>3129</v>
      </c>
      <c r="C2734" s="25">
        <v>168</v>
      </c>
      <c r="D2734" s="25">
        <v>27206</v>
      </c>
      <c r="E2734" s="25" t="s">
        <v>6309</v>
      </c>
      <c r="F2734" s="26">
        <v>29702120102803</v>
      </c>
      <c r="G2734" s="25" t="s">
        <v>34</v>
      </c>
      <c r="H2734" s="34" t="s">
        <v>6319</v>
      </c>
      <c r="I2734" s="25" t="s">
        <v>4315</v>
      </c>
      <c r="J2734" s="27">
        <v>43894</v>
      </c>
      <c r="K2734" s="25" t="s">
        <v>8</v>
      </c>
      <c r="L2734" s="25" t="s">
        <v>12</v>
      </c>
      <c r="M2734" s="25" t="s">
        <v>5152</v>
      </c>
      <c r="N2734" s="25"/>
      <c r="O2734" s="224"/>
      <c r="P2734" s="25"/>
      <c r="Q2734" s="224"/>
      <c r="R2734" s="92">
        <v>3</v>
      </c>
      <c r="S2734" s="92">
        <v>3</v>
      </c>
      <c r="T2734" s="92">
        <v>2</v>
      </c>
      <c r="U2734" s="92">
        <v>2.5</v>
      </c>
      <c r="V2734" s="92">
        <v>3</v>
      </c>
      <c r="W2734" s="25" t="s">
        <v>61</v>
      </c>
      <c r="X2734" s="25"/>
      <c r="Y2734" s="27">
        <v>43921</v>
      </c>
      <c r="Z2734" s="25"/>
      <c r="AA2734" s="27"/>
      <c r="AB2734" s="25"/>
    </row>
    <row r="2735" spans="1:28">
      <c r="A2735" s="285"/>
      <c r="C2735" s="25">
        <v>168</v>
      </c>
      <c r="D2735" s="2">
        <v>27207</v>
      </c>
      <c r="E2735" s="2" t="s">
        <v>6310</v>
      </c>
      <c r="F2735" s="3">
        <v>29701172102767</v>
      </c>
      <c r="G2735" s="2" t="s">
        <v>34</v>
      </c>
      <c r="H2735" s="8" t="s">
        <v>6320</v>
      </c>
      <c r="I2735" s="2" t="s">
        <v>4315</v>
      </c>
      <c r="J2735" s="4">
        <v>43894</v>
      </c>
      <c r="K2735" s="2" t="s">
        <v>8</v>
      </c>
      <c r="L2735" s="2" t="s">
        <v>12</v>
      </c>
      <c r="M2735" s="2" t="s">
        <v>6240</v>
      </c>
      <c r="R2735" s="77">
        <v>3</v>
      </c>
      <c r="S2735" s="77">
        <v>2.5</v>
      </c>
      <c r="T2735" s="77">
        <v>2</v>
      </c>
      <c r="U2735" s="77">
        <v>2</v>
      </c>
      <c r="V2735" s="77">
        <v>3</v>
      </c>
      <c r="W2735" s="16" t="s">
        <v>62</v>
      </c>
      <c r="Y2735" s="7">
        <v>43921</v>
      </c>
      <c r="Z2735" s="16" t="s">
        <v>66</v>
      </c>
      <c r="AA2735" s="7">
        <v>44013</v>
      </c>
      <c r="AB2735" s="2" t="s">
        <v>6625</v>
      </c>
    </row>
    <row r="2736" spans="1:28">
      <c r="A2736" s="285"/>
      <c r="C2736" s="25">
        <v>168</v>
      </c>
      <c r="D2736" s="2">
        <v>27208</v>
      </c>
      <c r="E2736" s="2" t="s">
        <v>6311</v>
      </c>
      <c r="F2736" s="3">
        <v>28907150105316</v>
      </c>
      <c r="G2736" s="2" t="s">
        <v>6312</v>
      </c>
      <c r="H2736" s="8" t="s">
        <v>6321</v>
      </c>
      <c r="I2736" s="2" t="s">
        <v>4315</v>
      </c>
      <c r="J2736" s="4">
        <v>43894</v>
      </c>
      <c r="K2736" s="2" t="s">
        <v>8</v>
      </c>
      <c r="L2736" s="2" t="s">
        <v>12</v>
      </c>
      <c r="M2736" s="2" t="s">
        <v>4968</v>
      </c>
      <c r="R2736" s="77">
        <v>3</v>
      </c>
      <c r="S2736" s="77">
        <v>3</v>
      </c>
      <c r="T2736" s="77">
        <v>2.5</v>
      </c>
      <c r="U2736" s="77">
        <v>2.5</v>
      </c>
      <c r="V2736" s="77">
        <v>3</v>
      </c>
      <c r="W2736" s="16" t="s">
        <v>61</v>
      </c>
      <c r="Y2736" s="7">
        <v>43921</v>
      </c>
      <c r="Z2736" s="16" t="s">
        <v>66</v>
      </c>
      <c r="AA2736" s="7">
        <v>43940</v>
      </c>
      <c r="AB2736" s="2" t="s">
        <v>6329</v>
      </c>
    </row>
    <row r="2737" spans="1:28">
      <c r="A2737" s="285"/>
      <c r="C2737" s="25">
        <v>168</v>
      </c>
      <c r="D2737" s="2">
        <v>27209</v>
      </c>
      <c r="E2737" s="2" t="s">
        <v>6313</v>
      </c>
      <c r="F2737" s="3">
        <v>28703168800793</v>
      </c>
      <c r="G2737" s="2" t="s">
        <v>34</v>
      </c>
      <c r="H2737" s="8" t="s">
        <v>6322</v>
      </c>
      <c r="I2737" s="2" t="s">
        <v>4315</v>
      </c>
      <c r="J2737" s="4">
        <v>43894</v>
      </c>
      <c r="K2737" s="2" t="s">
        <v>8</v>
      </c>
      <c r="L2737" s="2" t="s">
        <v>12</v>
      </c>
      <c r="M2737" s="2" t="s">
        <v>6314</v>
      </c>
      <c r="R2737" s="77">
        <v>3</v>
      </c>
      <c r="S2737" s="77">
        <v>2.5</v>
      </c>
      <c r="T2737" s="77">
        <v>2.5</v>
      </c>
      <c r="U2737" s="77">
        <v>2</v>
      </c>
      <c r="V2737" s="77">
        <v>3</v>
      </c>
      <c r="W2737" s="16" t="s">
        <v>502</v>
      </c>
      <c r="Y2737" s="7">
        <v>43921</v>
      </c>
      <c r="Z2737" s="16" t="s">
        <v>66</v>
      </c>
      <c r="AA2737" s="45">
        <v>43933</v>
      </c>
      <c r="AB2737" s="2" t="s">
        <v>6386</v>
      </c>
    </row>
    <row r="2738" spans="1:28">
      <c r="A2738" s="285"/>
      <c r="C2738" s="25">
        <v>168</v>
      </c>
      <c r="D2738" s="2">
        <v>27210</v>
      </c>
      <c r="E2738" s="2" t="s">
        <v>6315</v>
      </c>
      <c r="F2738" s="3">
        <v>29108200101001</v>
      </c>
      <c r="G2738" s="2" t="s">
        <v>34</v>
      </c>
      <c r="H2738" s="8" t="s">
        <v>6387</v>
      </c>
      <c r="I2738" s="2" t="s">
        <v>4315</v>
      </c>
      <c r="J2738" s="4">
        <v>43894</v>
      </c>
      <c r="K2738" s="2" t="s">
        <v>8</v>
      </c>
      <c r="L2738" s="2" t="s">
        <v>12</v>
      </c>
      <c r="M2738" s="2" t="s">
        <v>5205</v>
      </c>
      <c r="R2738" s="77">
        <v>3</v>
      </c>
      <c r="S2738" s="77">
        <v>2.5</v>
      </c>
      <c r="T2738" s="77">
        <v>2</v>
      </c>
      <c r="U2738" s="77">
        <v>1.5</v>
      </c>
      <c r="V2738" s="77">
        <v>3</v>
      </c>
      <c r="W2738" s="16" t="s">
        <v>3321</v>
      </c>
      <c r="X2738" s="2" t="s">
        <v>67</v>
      </c>
      <c r="Y2738" s="7">
        <v>43921</v>
      </c>
      <c r="Z2738" s="16" t="s">
        <v>66</v>
      </c>
      <c r="AA2738" s="7">
        <v>43962</v>
      </c>
      <c r="AB2738" s="2" t="s">
        <v>6491</v>
      </c>
    </row>
    <row r="2739" spans="1:28">
      <c r="A2739" s="285"/>
      <c r="C2739" s="25">
        <v>168</v>
      </c>
      <c r="D2739" s="2">
        <v>27211</v>
      </c>
      <c r="E2739" s="2" t="s">
        <v>6316</v>
      </c>
      <c r="F2739" s="3">
        <v>29611062101383</v>
      </c>
      <c r="G2739" s="2" t="s">
        <v>34</v>
      </c>
      <c r="H2739" s="8" t="s">
        <v>6323</v>
      </c>
      <c r="I2739" s="2" t="s">
        <v>4315</v>
      </c>
      <c r="J2739" s="4">
        <v>43894</v>
      </c>
      <c r="K2739" s="2" t="s">
        <v>8</v>
      </c>
      <c r="L2739" s="2" t="s">
        <v>12</v>
      </c>
      <c r="M2739" s="2" t="s">
        <v>1515</v>
      </c>
      <c r="R2739" s="77">
        <v>3</v>
      </c>
      <c r="S2739" s="77">
        <v>3</v>
      </c>
      <c r="T2739" s="77">
        <v>2.5</v>
      </c>
      <c r="U2739" s="77">
        <v>1.5</v>
      </c>
      <c r="V2739" s="77">
        <v>3</v>
      </c>
      <c r="W2739" s="103" t="s">
        <v>62</v>
      </c>
      <c r="X2739" s="2" t="s">
        <v>66</v>
      </c>
      <c r="Y2739" s="7">
        <v>43947</v>
      </c>
      <c r="Z2739" s="16" t="s">
        <v>66</v>
      </c>
      <c r="AA2739" s="7">
        <v>43949</v>
      </c>
      <c r="AB2739" s="2" t="s">
        <v>6587</v>
      </c>
    </row>
    <row r="2740" spans="1:28">
      <c r="A2740" s="285"/>
      <c r="C2740" s="25">
        <v>168</v>
      </c>
      <c r="D2740" s="2">
        <v>27212</v>
      </c>
      <c r="E2740" s="2" t="s">
        <v>6317</v>
      </c>
      <c r="F2740" s="3">
        <v>28007042102458</v>
      </c>
      <c r="G2740" s="2" t="s">
        <v>34</v>
      </c>
      <c r="H2740" s="8" t="s">
        <v>6324</v>
      </c>
      <c r="I2740" s="2" t="s">
        <v>4315</v>
      </c>
      <c r="J2740" s="4">
        <v>43894</v>
      </c>
      <c r="K2740" s="2" t="s">
        <v>8</v>
      </c>
      <c r="L2740" s="2" t="s">
        <v>12</v>
      </c>
      <c r="M2740" s="2" t="s">
        <v>4493</v>
      </c>
      <c r="R2740" s="77">
        <v>3</v>
      </c>
      <c r="S2740" s="77">
        <v>2.5</v>
      </c>
      <c r="T2740" s="77">
        <v>2.5</v>
      </c>
      <c r="U2740" s="77">
        <v>2</v>
      </c>
      <c r="V2740" s="77">
        <v>3</v>
      </c>
      <c r="W2740" s="16" t="s">
        <v>4212</v>
      </c>
      <c r="Y2740" s="7">
        <v>43921</v>
      </c>
      <c r="Z2740" s="16" t="s">
        <v>66</v>
      </c>
      <c r="AA2740" s="7">
        <v>43933</v>
      </c>
      <c r="AB2740" s="2" t="s">
        <v>6386</v>
      </c>
    </row>
    <row r="2741" spans="1:28">
      <c r="A2741" s="285"/>
      <c r="C2741" s="25">
        <v>168</v>
      </c>
      <c r="D2741" s="2">
        <v>27213</v>
      </c>
      <c r="E2741" s="2" t="s">
        <v>6318</v>
      </c>
      <c r="F2741" s="3">
        <v>29312202102035</v>
      </c>
      <c r="G2741" s="2" t="s">
        <v>34</v>
      </c>
      <c r="H2741" s="8" t="s">
        <v>6325</v>
      </c>
      <c r="I2741" s="2" t="s">
        <v>4315</v>
      </c>
      <c r="J2741" s="4">
        <v>43894</v>
      </c>
      <c r="K2741" s="2" t="s">
        <v>8</v>
      </c>
      <c r="L2741" s="2" t="s">
        <v>12</v>
      </c>
      <c r="M2741" s="2" t="s">
        <v>4940</v>
      </c>
      <c r="R2741" s="77">
        <v>3</v>
      </c>
      <c r="S2741" s="77">
        <v>2.5</v>
      </c>
      <c r="T2741" s="77">
        <v>2</v>
      </c>
      <c r="U2741" s="77">
        <v>2.5</v>
      </c>
      <c r="V2741" s="77">
        <v>3</v>
      </c>
      <c r="W2741" s="16" t="s">
        <v>61</v>
      </c>
      <c r="Y2741" s="7">
        <v>43921</v>
      </c>
      <c r="Z2741" s="16" t="s">
        <v>66</v>
      </c>
      <c r="AA2741" s="7">
        <v>43940</v>
      </c>
    </row>
    <row r="2742" spans="1:28" ht="15.75" thickBot="1">
      <c r="A2742" s="286"/>
      <c r="C2742" s="28">
        <v>168</v>
      </c>
      <c r="D2742" s="28">
        <v>27215</v>
      </c>
      <c r="E2742" s="28" t="s">
        <v>6326</v>
      </c>
      <c r="F2742" s="29" t="s">
        <v>6327</v>
      </c>
      <c r="G2742" s="28" t="s">
        <v>5856</v>
      </c>
      <c r="H2742" s="28" t="s">
        <v>6328</v>
      </c>
      <c r="I2742" s="28" t="s">
        <v>4315</v>
      </c>
      <c r="J2742" s="30">
        <v>43894</v>
      </c>
      <c r="K2742" s="28" t="s">
        <v>8</v>
      </c>
      <c r="L2742" s="28" t="s">
        <v>12</v>
      </c>
      <c r="M2742" s="28" t="s">
        <v>5982</v>
      </c>
      <c r="N2742" s="28"/>
      <c r="O2742" s="226"/>
      <c r="P2742" s="28"/>
      <c r="Q2742" s="226"/>
      <c r="R2742" s="37">
        <v>3</v>
      </c>
      <c r="S2742" s="37">
        <v>2.5</v>
      </c>
      <c r="T2742" s="37">
        <v>2.5</v>
      </c>
      <c r="U2742" s="37">
        <v>2</v>
      </c>
      <c r="V2742" s="37">
        <v>3</v>
      </c>
      <c r="W2742" s="28" t="s">
        <v>502</v>
      </c>
      <c r="X2742" s="28"/>
      <c r="Y2742" s="30">
        <v>43921</v>
      </c>
      <c r="Z2742" s="28" t="s">
        <v>66</v>
      </c>
      <c r="AA2742" s="30">
        <v>43933</v>
      </c>
      <c r="AB2742" s="28" t="s">
        <v>6386</v>
      </c>
    </row>
    <row r="2743" spans="1:28" ht="15.75" thickTop="1">
      <c r="A2743" s="284" t="s">
        <v>4077</v>
      </c>
      <c r="C2743" s="25" t="s">
        <v>6349</v>
      </c>
      <c r="D2743" s="25">
        <v>27488</v>
      </c>
      <c r="E2743" s="25" t="s">
        <v>6332</v>
      </c>
      <c r="F2743" s="26">
        <v>29509290104962</v>
      </c>
      <c r="G2743" s="25" t="s">
        <v>34</v>
      </c>
      <c r="H2743" s="34" t="s">
        <v>6341</v>
      </c>
      <c r="I2743" s="25" t="s">
        <v>4315</v>
      </c>
      <c r="J2743" s="27">
        <v>43899</v>
      </c>
      <c r="K2743" s="25" t="s">
        <v>798</v>
      </c>
      <c r="L2743" s="25" t="s">
        <v>12</v>
      </c>
      <c r="M2743" s="25" t="s">
        <v>109</v>
      </c>
      <c r="N2743" s="25"/>
      <c r="O2743" s="224"/>
      <c r="P2743" s="25"/>
      <c r="Q2743" s="224"/>
      <c r="R2743" s="77">
        <v>3</v>
      </c>
      <c r="S2743" s="77">
        <v>2.5</v>
      </c>
      <c r="T2743" s="77">
        <v>2</v>
      </c>
      <c r="U2743" s="77">
        <v>1.5</v>
      </c>
      <c r="V2743" s="77">
        <v>3</v>
      </c>
      <c r="W2743" s="25" t="s">
        <v>3321</v>
      </c>
      <c r="X2743" s="25"/>
      <c r="Y2743" s="27">
        <v>43927</v>
      </c>
      <c r="Z2743" s="25" t="s">
        <v>66</v>
      </c>
      <c r="AA2743" s="27">
        <v>43956</v>
      </c>
      <c r="AB2743" s="25" t="s">
        <v>6002</v>
      </c>
    </row>
    <row r="2744" spans="1:28">
      <c r="A2744" s="285"/>
      <c r="C2744" s="25" t="s">
        <v>6349</v>
      </c>
      <c r="D2744" s="2">
        <v>27489</v>
      </c>
      <c r="E2744" s="2" t="s">
        <v>6333</v>
      </c>
      <c r="F2744" s="3">
        <v>29503100102413</v>
      </c>
      <c r="G2744" s="2" t="s">
        <v>34</v>
      </c>
      <c r="H2744" s="8" t="s">
        <v>6342</v>
      </c>
      <c r="I2744" s="2" t="s">
        <v>4315</v>
      </c>
      <c r="J2744" s="4">
        <v>43899</v>
      </c>
      <c r="K2744" s="2" t="s">
        <v>798</v>
      </c>
      <c r="L2744" s="2" t="s">
        <v>12</v>
      </c>
      <c r="M2744" s="2" t="s">
        <v>6242</v>
      </c>
      <c r="R2744" s="77">
        <v>3</v>
      </c>
      <c r="S2744" s="77">
        <v>2.5</v>
      </c>
      <c r="T2744" s="77">
        <v>2</v>
      </c>
      <c r="U2744" s="77">
        <v>2.5</v>
      </c>
      <c r="V2744" s="77">
        <v>3</v>
      </c>
      <c r="W2744" s="16" t="s">
        <v>3244</v>
      </c>
      <c r="Y2744" s="27">
        <v>43927</v>
      </c>
    </row>
    <row r="2745" spans="1:28">
      <c r="A2745" s="285"/>
      <c r="C2745" s="25" t="s">
        <v>6349</v>
      </c>
      <c r="D2745" s="2">
        <v>27490</v>
      </c>
      <c r="E2745" s="2" t="s">
        <v>6334</v>
      </c>
      <c r="F2745" s="3">
        <v>29605220101019</v>
      </c>
      <c r="G2745" s="2" t="s">
        <v>34</v>
      </c>
      <c r="H2745" s="8" t="s">
        <v>6343</v>
      </c>
      <c r="I2745" s="2" t="s">
        <v>4315</v>
      </c>
      <c r="J2745" s="4">
        <v>43899</v>
      </c>
      <c r="K2745" s="2" t="s">
        <v>798</v>
      </c>
      <c r="L2745" s="2" t="s">
        <v>12</v>
      </c>
      <c r="M2745" s="2" t="s">
        <v>551</v>
      </c>
      <c r="R2745" s="77">
        <v>3</v>
      </c>
      <c r="S2745" s="77">
        <v>2.5</v>
      </c>
      <c r="T2745" s="77">
        <v>2</v>
      </c>
      <c r="U2745" s="77">
        <v>1.5</v>
      </c>
      <c r="V2745" s="77">
        <v>3</v>
      </c>
      <c r="W2745" s="16" t="s">
        <v>3321</v>
      </c>
      <c r="Y2745" s="27">
        <v>43927</v>
      </c>
      <c r="Z2745" s="16" t="s">
        <v>66</v>
      </c>
      <c r="AA2745" s="27">
        <v>43956</v>
      </c>
      <c r="AB2745" s="25" t="s">
        <v>6002</v>
      </c>
    </row>
    <row r="2746" spans="1:28">
      <c r="A2746" s="285"/>
      <c r="C2746" s="25" t="s">
        <v>6349</v>
      </c>
      <c r="D2746" s="2">
        <v>27491</v>
      </c>
      <c r="E2746" s="2" t="s">
        <v>6335</v>
      </c>
      <c r="F2746" s="3">
        <v>29612292100099</v>
      </c>
      <c r="G2746" s="2" t="s">
        <v>34</v>
      </c>
      <c r="H2746" s="8" t="s">
        <v>6344</v>
      </c>
      <c r="I2746" s="2" t="s">
        <v>4315</v>
      </c>
      <c r="J2746" s="4">
        <v>43899</v>
      </c>
      <c r="K2746" s="2" t="s">
        <v>798</v>
      </c>
      <c r="L2746" s="2" t="s">
        <v>12</v>
      </c>
      <c r="M2746" s="2" t="s">
        <v>5940</v>
      </c>
      <c r="R2746" s="77">
        <v>3</v>
      </c>
      <c r="S2746" s="77">
        <v>2.5</v>
      </c>
      <c r="T2746" s="77">
        <v>2</v>
      </c>
      <c r="U2746" s="77">
        <v>2</v>
      </c>
      <c r="V2746" s="77">
        <v>3</v>
      </c>
      <c r="W2746" s="16" t="s">
        <v>4970</v>
      </c>
      <c r="Y2746" s="27">
        <v>43927</v>
      </c>
    </row>
    <row r="2747" spans="1:28">
      <c r="A2747" s="285"/>
      <c r="C2747" s="25" t="s">
        <v>6349</v>
      </c>
      <c r="D2747" s="2">
        <v>27492</v>
      </c>
      <c r="E2747" s="2" t="s">
        <v>6336</v>
      </c>
      <c r="F2747" s="3">
        <v>29704071300567</v>
      </c>
      <c r="G2747" s="2" t="s">
        <v>34</v>
      </c>
      <c r="H2747" s="8" t="s">
        <v>6345</v>
      </c>
      <c r="I2747" s="2" t="s">
        <v>4315</v>
      </c>
      <c r="J2747" s="4">
        <v>43899</v>
      </c>
      <c r="K2747" s="2" t="s">
        <v>798</v>
      </c>
      <c r="L2747" s="2" t="s">
        <v>12</v>
      </c>
      <c r="M2747" s="2" t="s">
        <v>5940</v>
      </c>
      <c r="W2747" s="16" t="s">
        <v>63</v>
      </c>
      <c r="Z2747" s="16" t="s">
        <v>67</v>
      </c>
    </row>
    <row r="2748" spans="1:28">
      <c r="A2748" s="285"/>
      <c r="C2748" s="25" t="s">
        <v>6349</v>
      </c>
      <c r="D2748" s="2">
        <v>27493</v>
      </c>
      <c r="E2748" s="2" t="s">
        <v>6337</v>
      </c>
      <c r="F2748" s="3">
        <v>29706080103564</v>
      </c>
      <c r="G2748" s="2" t="s">
        <v>34</v>
      </c>
      <c r="H2748" s="8" t="s">
        <v>6346</v>
      </c>
      <c r="I2748" s="2" t="s">
        <v>4315</v>
      </c>
      <c r="J2748" s="4">
        <v>43899</v>
      </c>
      <c r="K2748" s="2" t="s">
        <v>798</v>
      </c>
      <c r="L2748" s="2" t="s">
        <v>12</v>
      </c>
      <c r="M2748" s="2" t="s">
        <v>551</v>
      </c>
      <c r="R2748" s="77">
        <v>3</v>
      </c>
      <c r="S2748" s="77">
        <v>2.5</v>
      </c>
      <c r="T2748" s="77">
        <v>2</v>
      </c>
      <c r="U2748" s="77">
        <v>2.5</v>
      </c>
      <c r="V2748" s="77">
        <v>3</v>
      </c>
      <c r="W2748" s="16" t="s">
        <v>3244</v>
      </c>
      <c r="Y2748" s="27">
        <v>43927</v>
      </c>
    </row>
    <row r="2749" spans="1:28">
      <c r="A2749" s="285"/>
      <c r="C2749" s="25" t="s">
        <v>6349</v>
      </c>
      <c r="D2749" s="2">
        <v>27494</v>
      </c>
      <c r="E2749" s="2" t="s">
        <v>6338</v>
      </c>
      <c r="F2749" s="3">
        <v>29603290102184</v>
      </c>
      <c r="G2749" s="2" t="s">
        <v>34</v>
      </c>
      <c r="H2749" s="8" t="s">
        <v>6347</v>
      </c>
      <c r="I2749" s="2" t="s">
        <v>4315</v>
      </c>
      <c r="J2749" s="4">
        <v>43899</v>
      </c>
      <c r="K2749" s="2" t="s">
        <v>798</v>
      </c>
      <c r="L2749" s="2" t="s">
        <v>12</v>
      </c>
      <c r="M2749" s="2" t="s">
        <v>6339</v>
      </c>
      <c r="R2749" s="77">
        <v>3</v>
      </c>
      <c r="S2749" s="77">
        <v>2.5</v>
      </c>
      <c r="T2749" s="77">
        <v>2</v>
      </c>
      <c r="U2749" s="77">
        <v>1.5</v>
      </c>
      <c r="V2749" s="77">
        <v>3</v>
      </c>
      <c r="W2749" s="16" t="s">
        <v>3818</v>
      </c>
      <c r="Y2749" s="27">
        <v>43927</v>
      </c>
    </row>
    <row r="2750" spans="1:28" ht="15.75" thickBot="1">
      <c r="A2750" s="286"/>
      <c r="C2750" s="28" t="s">
        <v>6349</v>
      </c>
      <c r="D2750" s="28">
        <v>27495</v>
      </c>
      <c r="E2750" s="28" t="s">
        <v>6340</v>
      </c>
      <c r="F2750" s="29">
        <v>29602298800364</v>
      </c>
      <c r="G2750" s="28" t="s">
        <v>34</v>
      </c>
      <c r="H2750" s="78" t="s">
        <v>6348</v>
      </c>
      <c r="I2750" s="28" t="s">
        <v>4315</v>
      </c>
      <c r="J2750" s="30">
        <v>43899</v>
      </c>
      <c r="K2750" s="28" t="s">
        <v>798</v>
      </c>
      <c r="L2750" s="28" t="s">
        <v>12</v>
      </c>
      <c r="M2750" s="28" t="s">
        <v>6071</v>
      </c>
      <c r="N2750" s="28"/>
      <c r="O2750" s="226"/>
      <c r="P2750" s="28"/>
      <c r="Q2750" s="226"/>
      <c r="R2750" s="37">
        <v>3</v>
      </c>
      <c r="S2750" s="37">
        <v>2.5</v>
      </c>
      <c r="T2750" s="37">
        <v>2</v>
      </c>
      <c r="U2750" s="37">
        <v>1.5</v>
      </c>
      <c r="V2750" s="37">
        <v>3</v>
      </c>
      <c r="W2750" s="28" t="s">
        <v>3321</v>
      </c>
      <c r="X2750" s="28"/>
      <c r="Y2750" s="30">
        <v>43927</v>
      </c>
      <c r="Z2750" s="28" t="s">
        <v>66</v>
      </c>
      <c r="AA2750" s="30">
        <v>43956</v>
      </c>
      <c r="AB2750" s="28" t="s">
        <v>6002</v>
      </c>
    </row>
    <row r="2751" spans="1:28" ht="15.75" thickTop="1">
      <c r="A2751" s="284" t="s">
        <v>4519</v>
      </c>
      <c r="C2751" s="25">
        <v>169</v>
      </c>
      <c r="D2751" s="25">
        <v>27636</v>
      </c>
      <c r="E2751" s="25" t="s">
        <v>6357</v>
      </c>
      <c r="F2751" s="26">
        <v>29509200102052</v>
      </c>
      <c r="G2751" s="25" t="s">
        <v>34</v>
      </c>
      <c r="H2751" s="25" t="s">
        <v>6358</v>
      </c>
      <c r="I2751" s="25" t="s">
        <v>4315</v>
      </c>
      <c r="J2751" s="27">
        <v>43905</v>
      </c>
      <c r="K2751" s="25" t="s">
        <v>8</v>
      </c>
      <c r="L2751" s="25" t="s">
        <v>12</v>
      </c>
      <c r="M2751" s="25" t="s">
        <v>6359</v>
      </c>
      <c r="N2751" s="25"/>
      <c r="O2751" s="224"/>
      <c r="P2751" s="25"/>
      <c r="Q2751" s="224"/>
      <c r="R2751" s="77">
        <v>3</v>
      </c>
      <c r="S2751" s="77">
        <v>2</v>
      </c>
      <c r="T2751" s="77">
        <v>2.5</v>
      </c>
      <c r="U2751" s="77">
        <v>2</v>
      </c>
      <c r="V2751" s="77">
        <v>3</v>
      </c>
      <c r="W2751" s="25" t="s">
        <v>62</v>
      </c>
      <c r="X2751" s="25" t="s">
        <v>66</v>
      </c>
      <c r="Y2751" s="27">
        <v>43965</v>
      </c>
      <c r="Z2751" s="25"/>
      <c r="AA2751" s="27"/>
      <c r="AB2751" s="25"/>
    </row>
    <row r="2752" spans="1:28">
      <c r="A2752" s="285"/>
      <c r="C2752" s="25">
        <v>169</v>
      </c>
      <c r="D2752" s="2">
        <v>27637</v>
      </c>
      <c r="E2752" s="2" t="s">
        <v>6360</v>
      </c>
      <c r="F2752" s="3">
        <v>28504250400164</v>
      </c>
      <c r="G2752" s="2" t="s">
        <v>34</v>
      </c>
      <c r="H2752" s="2" t="s">
        <v>6361</v>
      </c>
      <c r="I2752" s="2" t="s">
        <v>4315</v>
      </c>
      <c r="J2752" s="4">
        <v>43905</v>
      </c>
      <c r="K2752" s="2" t="s">
        <v>8</v>
      </c>
      <c r="L2752" s="2" t="s">
        <v>12</v>
      </c>
      <c r="M2752" s="2" t="s">
        <v>4968</v>
      </c>
      <c r="R2752" s="77">
        <v>3</v>
      </c>
      <c r="S2752" s="77">
        <v>2.5</v>
      </c>
      <c r="T2752" s="77">
        <v>2</v>
      </c>
      <c r="U2752" s="77">
        <v>2.5</v>
      </c>
      <c r="V2752" s="77">
        <v>3</v>
      </c>
      <c r="W2752" s="16" t="s">
        <v>171</v>
      </c>
      <c r="Y2752" s="27">
        <v>43934</v>
      </c>
      <c r="Z2752" s="16" t="s">
        <v>66</v>
      </c>
      <c r="AA2752" s="7">
        <v>43940</v>
      </c>
    </row>
    <row r="2753" spans="1:28">
      <c r="A2753" s="285"/>
      <c r="C2753" s="25">
        <v>169</v>
      </c>
      <c r="D2753" s="2">
        <v>27638</v>
      </c>
      <c r="E2753" s="2" t="s">
        <v>6362</v>
      </c>
      <c r="F2753" s="3">
        <v>29501041302095</v>
      </c>
      <c r="G2753" s="2" t="s">
        <v>34</v>
      </c>
      <c r="H2753" s="2" t="s">
        <v>6363</v>
      </c>
      <c r="I2753" s="2" t="s">
        <v>4315</v>
      </c>
      <c r="J2753" s="4">
        <v>43905</v>
      </c>
      <c r="K2753" s="2" t="s">
        <v>8</v>
      </c>
      <c r="L2753" s="2" t="s">
        <v>12</v>
      </c>
      <c r="M2753" s="2" t="s">
        <v>109</v>
      </c>
      <c r="R2753" s="77">
        <v>3</v>
      </c>
      <c r="S2753" s="77">
        <v>2.5</v>
      </c>
      <c r="T2753" s="77">
        <v>2</v>
      </c>
      <c r="U2753" s="77">
        <v>2</v>
      </c>
      <c r="V2753" s="77">
        <v>3</v>
      </c>
      <c r="W2753" s="16" t="s">
        <v>62</v>
      </c>
      <c r="Y2753" s="27">
        <v>43934</v>
      </c>
      <c r="Z2753" s="16" t="s">
        <v>66</v>
      </c>
      <c r="AA2753" s="7">
        <v>43956</v>
      </c>
      <c r="AB2753" s="2" t="s">
        <v>6002</v>
      </c>
    </row>
    <row r="2754" spans="1:28">
      <c r="A2754" s="285"/>
      <c r="C2754" s="25">
        <v>169</v>
      </c>
      <c r="D2754" s="2">
        <v>27639</v>
      </c>
      <c r="E2754" s="2" t="s">
        <v>6364</v>
      </c>
      <c r="F2754" s="3">
        <v>29907070102476</v>
      </c>
      <c r="G2754" s="2" t="s">
        <v>34</v>
      </c>
      <c r="H2754" s="2" t="s">
        <v>6365</v>
      </c>
      <c r="I2754" s="2" t="s">
        <v>4315</v>
      </c>
      <c r="J2754" s="4">
        <v>43905</v>
      </c>
      <c r="K2754" s="2" t="s">
        <v>8</v>
      </c>
      <c r="L2754" s="2" t="s">
        <v>12</v>
      </c>
      <c r="M2754" s="2" t="s">
        <v>109</v>
      </c>
      <c r="R2754" s="77">
        <v>3</v>
      </c>
      <c r="S2754" s="77">
        <v>2.5</v>
      </c>
      <c r="T2754" s="77">
        <v>2</v>
      </c>
      <c r="U2754" s="77">
        <v>2.5</v>
      </c>
      <c r="V2754" s="77">
        <v>3</v>
      </c>
      <c r="W2754" s="16" t="s">
        <v>171</v>
      </c>
      <c r="Y2754" s="27">
        <v>43934</v>
      </c>
      <c r="Z2754" s="16" t="s">
        <v>66</v>
      </c>
      <c r="AA2754" s="7">
        <v>43940</v>
      </c>
    </row>
    <row r="2755" spans="1:28">
      <c r="A2755" s="285"/>
      <c r="C2755" s="25">
        <v>169</v>
      </c>
      <c r="D2755" s="2">
        <v>27640</v>
      </c>
      <c r="E2755" s="2" t="s">
        <v>6366</v>
      </c>
      <c r="F2755" s="3">
        <v>29505170103487</v>
      </c>
      <c r="G2755" s="2" t="s">
        <v>34</v>
      </c>
      <c r="H2755" s="2" t="s">
        <v>6367</v>
      </c>
      <c r="I2755" s="2" t="s">
        <v>4315</v>
      </c>
      <c r="J2755" s="4">
        <v>43905</v>
      </c>
      <c r="K2755" s="2" t="s">
        <v>8</v>
      </c>
      <c r="L2755" s="2" t="s">
        <v>12</v>
      </c>
      <c r="M2755" s="2" t="s">
        <v>5982</v>
      </c>
      <c r="R2755" s="77">
        <v>3</v>
      </c>
      <c r="S2755" s="77">
        <v>2.5</v>
      </c>
      <c r="T2755" s="77">
        <v>2</v>
      </c>
      <c r="U2755" s="77">
        <v>2</v>
      </c>
      <c r="V2755" s="77">
        <v>3</v>
      </c>
      <c r="W2755" s="16" t="s">
        <v>62</v>
      </c>
      <c r="Y2755" s="27">
        <v>43934</v>
      </c>
      <c r="Z2755" s="16" t="s">
        <v>66</v>
      </c>
      <c r="AA2755" s="45">
        <v>43956</v>
      </c>
      <c r="AB2755" s="2" t="s">
        <v>6742</v>
      </c>
    </row>
    <row r="2756" spans="1:28">
      <c r="A2756" s="285"/>
      <c r="C2756" s="25">
        <v>169</v>
      </c>
      <c r="D2756" s="2">
        <v>27641</v>
      </c>
      <c r="E2756" s="2" t="s">
        <v>6368</v>
      </c>
      <c r="F2756" s="3">
        <v>30101100100776</v>
      </c>
      <c r="G2756" s="2" t="s">
        <v>5890</v>
      </c>
      <c r="H2756" s="2" t="s">
        <v>6369</v>
      </c>
      <c r="I2756" s="2" t="s">
        <v>4315</v>
      </c>
      <c r="J2756" s="4">
        <v>43905</v>
      </c>
      <c r="K2756" s="2" t="s">
        <v>8</v>
      </c>
      <c r="L2756" s="2" t="s">
        <v>12</v>
      </c>
      <c r="M2756" s="2" t="s">
        <v>5152</v>
      </c>
      <c r="R2756" s="77">
        <v>3</v>
      </c>
      <c r="S2756" s="77">
        <v>2.5</v>
      </c>
      <c r="T2756" s="77">
        <v>2</v>
      </c>
      <c r="U2756" s="77">
        <v>2</v>
      </c>
      <c r="V2756" s="77">
        <v>3</v>
      </c>
      <c r="W2756" s="16" t="s">
        <v>59</v>
      </c>
      <c r="X2756" s="2" t="s">
        <v>67</v>
      </c>
      <c r="Y2756" s="27">
        <v>43934</v>
      </c>
      <c r="Z2756" s="16" t="s">
        <v>67</v>
      </c>
      <c r="AB2756" s="2" t="s">
        <v>6493</v>
      </c>
    </row>
    <row r="2757" spans="1:28">
      <c r="A2757" s="285"/>
      <c r="C2757" s="25">
        <v>169</v>
      </c>
      <c r="D2757" s="2">
        <v>27642</v>
      </c>
      <c r="E2757" s="2" t="s">
        <v>6370</v>
      </c>
      <c r="F2757" s="3">
        <v>30012302102255</v>
      </c>
      <c r="G2757" s="2" t="s">
        <v>5383</v>
      </c>
      <c r="H2757" s="2" t="s">
        <v>6371</v>
      </c>
      <c r="I2757" s="2" t="s">
        <v>4315</v>
      </c>
      <c r="J2757" s="4">
        <v>43899</v>
      </c>
      <c r="K2757" s="2" t="s">
        <v>8</v>
      </c>
      <c r="L2757" s="2" t="s">
        <v>12</v>
      </c>
      <c r="M2757" s="2" t="s">
        <v>5205</v>
      </c>
      <c r="R2757" s="77">
        <v>3</v>
      </c>
      <c r="S2757" s="77">
        <v>2.5</v>
      </c>
      <c r="T2757" s="77">
        <v>2.5</v>
      </c>
      <c r="U2757" s="77">
        <v>2.5</v>
      </c>
      <c r="V2757" s="77">
        <v>3</v>
      </c>
      <c r="W2757" s="16" t="s">
        <v>61</v>
      </c>
      <c r="Y2757" s="27">
        <v>43934</v>
      </c>
      <c r="Z2757" s="16" t="s">
        <v>66</v>
      </c>
      <c r="AA2757" s="7">
        <v>43961</v>
      </c>
    </row>
    <row r="2758" spans="1:28">
      <c r="A2758" s="285"/>
      <c r="C2758" s="25">
        <v>169</v>
      </c>
      <c r="D2758" s="2">
        <v>27643</v>
      </c>
      <c r="E2758" s="2" t="s">
        <v>6372</v>
      </c>
      <c r="F2758" s="3">
        <v>29603262300493</v>
      </c>
      <c r="G2758" s="2" t="s">
        <v>34</v>
      </c>
      <c r="H2758" s="2" t="s">
        <v>6373</v>
      </c>
      <c r="I2758" s="2" t="s">
        <v>4315</v>
      </c>
      <c r="J2758" s="4">
        <v>43905</v>
      </c>
      <c r="K2758" s="2" t="s">
        <v>8</v>
      </c>
      <c r="L2758" s="2" t="s">
        <v>12</v>
      </c>
      <c r="M2758" s="2" t="s">
        <v>6242</v>
      </c>
      <c r="R2758" s="77">
        <v>3</v>
      </c>
      <c r="S2758" s="77">
        <v>2.5</v>
      </c>
      <c r="T2758" s="77">
        <v>2</v>
      </c>
      <c r="U2758" s="77">
        <v>2.5</v>
      </c>
      <c r="V2758" s="77">
        <v>3</v>
      </c>
      <c r="W2758" s="103" t="s">
        <v>171</v>
      </c>
      <c r="X2758" s="2" t="s">
        <v>66</v>
      </c>
      <c r="Y2758" s="27">
        <v>43965</v>
      </c>
      <c r="Z2758" s="16" t="s">
        <v>66</v>
      </c>
      <c r="AA2758" s="7">
        <v>43968</v>
      </c>
    </row>
    <row r="2759" spans="1:28">
      <c r="A2759" s="285"/>
      <c r="C2759" s="25">
        <v>169</v>
      </c>
      <c r="D2759" s="2">
        <v>27644</v>
      </c>
      <c r="E2759" s="2" t="s">
        <v>6374</v>
      </c>
      <c r="F2759" s="3">
        <v>28709102106134</v>
      </c>
      <c r="G2759" s="2" t="s">
        <v>34</v>
      </c>
      <c r="H2759" s="2" t="s">
        <v>6375</v>
      </c>
      <c r="I2759" s="2" t="s">
        <v>4315</v>
      </c>
      <c r="J2759" s="4">
        <v>43905</v>
      </c>
      <c r="K2759" s="2" t="s">
        <v>8</v>
      </c>
      <c r="L2759" s="2" t="s">
        <v>12</v>
      </c>
      <c r="M2759" s="2" t="s">
        <v>109</v>
      </c>
      <c r="R2759" s="77">
        <v>3</v>
      </c>
      <c r="S2759" s="77">
        <v>2</v>
      </c>
      <c r="T2759" s="77">
        <v>2.5</v>
      </c>
      <c r="U2759" s="77">
        <v>1.5</v>
      </c>
      <c r="V2759" s="77">
        <v>3</v>
      </c>
      <c r="W2759" s="16" t="s">
        <v>3321</v>
      </c>
      <c r="Y2759" s="27">
        <v>43935</v>
      </c>
      <c r="Z2759" s="16" t="s">
        <v>66</v>
      </c>
      <c r="AA2759" s="45">
        <v>43956</v>
      </c>
      <c r="AB2759" s="2" t="s">
        <v>6580</v>
      </c>
    </row>
    <row r="2760" spans="1:28">
      <c r="A2760" s="285"/>
      <c r="C2760" s="25">
        <v>169</v>
      </c>
      <c r="D2760" s="2">
        <v>27645</v>
      </c>
      <c r="E2760" s="2" t="s">
        <v>6376</v>
      </c>
      <c r="F2760" s="3">
        <v>28505202402054</v>
      </c>
      <c r="G2760" s="2" t="s">
        <v>34</v>
      </c>
      <c r="H2760" s="2" t="s">
        <v>6377</v>
      </c>
      <c r="I2760" s="2" t="s">
        <v>4315</v>
      </c>
      <c r="J2760" s="4">
        <v>43905</v>
      </c>
      <c r="K2760" s="2" t="s">
        <v>8</v>
      </c>
      <c r="L2760" s="2" t="s">
        <v>12</v>
      </c>
      <c r="M2760" s="2" t="s">
        <v>4706</v>
      </c>
      <c r="R2760" s="77">
        <v>3</v>
      </c>
      <c r="S2760" s="77">
        <v>2.5</v>
      </c>
      <c r="T2760" s="77">
        <v>2</v>
      </c>
      <c r="U2760" s="77">
        <v>1.5</v>
      </c>
      <c r="V2760" s="77">
        <v>2.5</v>
      </c>
      <c r="W2760" s="16" t="s">
        <v>3818</v>
      </c>
      <c r="Y2760" s="27">
        <v>43935</v>
      </c>
    </row>
    <row r="2761" spans="1:28">
      <c r="A2761" s="285"/>
      <c r="C2761" s="25">
        <v>169</v>
      </c>
      <c r="D2761" s="2">
        <v>27646</v>
      </c>
      <c r="E2761" s="2" t="s">
        <v>6378</v>
      </c>
      <c r="F2761" s="3">
        <v>29706011213668</v>
      </c>
      <c r="G2761" s="2" t="s">
        <v>34</v>
      </c>
      <c r="H2761" s="2" t="s">
        <v>6379</v>
      </c>
      <c r="I2761" s="2" t="s">
        <v>4315</v>
      </c>
      <c r="J2761" s="4">
        <v>43905</v>
      </c>
      <c r="K2761" s="2" t="s">
        <v>8</v>
      </c>
      <c r="L2761" s="2" t="s">
        <v>12</v>
      </c>
      <c r="M2761" s="2" t="s">
        <v>6071</v>
      </c>
      <c r="R2761" s="77">
        <v>3</v>
      </c>
      <c r="S2761" s="77">
        <v>3</v>
      </c>
      <c r="T2761" s="77">
        <v>2</v>
      </c>
      <c r="U2761" s="77">
        <v>2</v>
      </c>
      <c r="V2761" s="77">
        <v>3</v>
      </c>
      <c r="W2761" s="16" t="s">
        <v>62</v>
      </c>
      <c r="X2761" s="2" t="s">
        <v>66</v>
      </c>
      <c r="Y2761" s="27">
        <v>43965</v>
      </c>
    </row>
    <row r="2762" spans="1:28">
      <c r="A2762" s="285"/>
      <c r="C2762" s="25">
        <v>169</v>
      </c>
      <c r="D2762" s="2">
        <v>27647</v>
      </c>
      <c r="E2762" s="2" t="s">
        <v>6380</v>
      </c>
      <c r="F2762" s="3" t="s">
        <v>6381</v>
      </c>
      <c r="G2762" s="2" t="s">
        <v>5890</v>
      </c>
      <c r="H2762" s="2" t="s">
        <v>6382</v>
      </c>
      <c r="I2762" s="2" t="s">
        <v>4315</v>
      </c>
      <c r="J2762" s="4">
        <v>43905</v>
      </c>
      <c r="K2762" s="2" t="s">
        <v>8</v>
      </c>
      <c r="L2762" s="2" t="s">
        <v>12</v>
      </c>
      <c r="M2762" s="2" t="s">
        <v>4257</v>
      </c>
      <c r="R2762" s="77">
        <v>3</v>
      </c>
      <c r="S2762" s="77">
        <v>3</v>
      </c>
      <c r="T2762" s="77">
        <v>2</v>
      </c>
      <c r="U2762" s="77">
        <v>1.5</v>
      </c>
      <c r="V2762" s="77">
        <v>3</v>
      </c>
      <c r="W2762" s="16" t="s">
        <v>3321</v>
      </c>
      <c r="Y2762" s="27">
        <v>43935</v>
      </c>
      <c r="Z2762" s="16" t="s">
        <v>66</v>
      </c>
      <c r="AA2762" s="7">
        <v>43956</v>
      </c>
      <c r="AB2762" s="2" t="s">
        <v>6002</v>
      </c>
    </row>
    <row r="2763" spans="1:28">
      <c r="A2763" s="285"/>
      <c r="C2763" s="25">
        <v>169</v>
      </c>
      <c r="D2763" s="2">
        <v>27100</v>
      </c>
      <c r="E2763" s="2" t="s">
        <v>6111</v>
      </c>
      <c r="F2763" s="3">
        <v>29910202701545</v>
      </c>
      <c r="G2763" s="2" t="s">
        <v>5890</v>
      </c>
      <c r="H2763" s="2" t="s">
        <v>6119</v>
      </c>
      <c r="R2763" s="77">
        <v>3</v>
      </c>
      <c r="S2763" s="77">
        <v>2.5</v>
      </c>
      <c r="T2763" s="77">
        <v>2</v>
      </c>
      <c r="U2763" s="77">
        <v>2.5</v>
      </c>
      <c r="V2763" s="77">
        <v>3</v>
      </c>
      <c r="W2763" s="16" t="s">
        <v>61</v>
      </c>
      <c r="Y2763" s="27">
        <v>43935</v>
      </c>
      <c r="Z2763" s="16" t="s">
        <v>66</v>
      </c>
      <c r="AA2763" s="7">
        <v>43968</v>
      </c>
    </row>
    <row r="2764" spans="1:28">
      <c r="A2764" s="285"/>
      <c r="C2764" s="25">
        <v>169</v>
      </c>
      <c r="D2764" s="2">
        <v>27102</v>
      </c>
      <c r="E2764" s="2" t="s">
        <v>6113</v>
      </c>
      <c r="F2764" s="3">
        <v>29309301407297</v>
      </c>
      <c r="G2764" s="2" t="s">
        <v>34</v>
      </c>
      <c r="H2764" s="2" t="s">
        <v>6121</v>
      </c>
      <c r="R2764" s="77">
        <v>3</v>
      </c>
      <c r="S2764" s="77">
        <v>2.5</v>
      </c>
      <c r="T2764" s="77">
        <v>2</v>
      </c>
      <c r="U2764" s="77">
        <v>2.5</v>
      </c>
      <c r="V2764" s="77">
        <v>3</v>
      </c>
      <c r="W2764" s="16" t="s">
        <v>61</v>
      </c>
      <c r="Y2764" s="27">
        <v>43935</v>
      </c>
      <c r="AB2764" s="2" t="s">
        <v>6982</v>
      </c>
    </row>
    <row r="2765" spans="1:28">
      <c r="A2765" s="285"/>
      <c r="C2765" s="25">
        <v>169</v>
      </c>
      <c r="D2765" s="2">
        <v>27106</v>
      </c>
      <c r="E2765" s="2" t="s">
        <v>6117</v>
      </c>
      <c r="F2765" s="3">
        <v>29603301601111</v>
      </c>
      <c r="G2765" s="2" t="s">
        <v>34</v>
      </c>
      <c r="H2765" s="2" t="s">
        <v>6125</v>
      </c>
      <c r="R2765" s="77">
        <v>3</v>
      </c>
      <c r="S2765" s="77">
        <v>3</v>
      </c>
      <c r="T2765" s="77">
        <v>2</v>
      </c>
      <c r="U2765" s="77">
        <v>2.5</v>
      </c>
      <c r="V2765" s="77">
        <v>3</v>
      </c>
      <c r="W2765" s="16" t="s">
        <v>61</v>
      </c>
      <c r="Y2765" s="27">
        <v>43935</v>
      </c>
      <c r="Z2765" s="16" t="s">
        <v>66</v>
      </c>
      <c r="AA2765" s="7">
        <v>43940</v>
      </c>
    </row>
    <row r="2766" spans="1:28" ht="15.75" thickBot="1">
      <c r="A2766" s="286"/>
      <c r="C2766" s="28">
        <v>169</v>
      </c>
      <c r="D2766" s="28">
        <v>19488</v>
      </c>
      <c r="E2766" s="28" t="s">
        <v>6127</v>
      </c>
      <c r="F2766" s="29">
        <v>29411051402579</v>
      </c>
      <c r="G2766" s="28" t="s">
        <v>34</v>
      </c>
      <c r="H2766" s="28" t="s">
        <v>6131</v>
      </c>
      <c r="I2766" s="28"/>
      <c r="J2766" s="30"/>
      <c r="K2766" s="28"/>
      <c r="L2766" s="28"/>
      <c r="M2766" s="28"/>
      <c r="N2766" s="28"/>
      <c r="O2766" s="226"/>
      <c r="P2766" s="28"/>
      <c r="Q2766" s="226"/>
      <c r="R2766" s="37">
        <v>3</v>
      </c>
      <c r="S2766" s="37">
        <v>2.5</v>
      </c>
      <c r="T2766" s="37">
        <v>2</v>
      </c>
      <c r="U2766" s="37">
        <v>2.5</v>
      </c>
      <c r="V2766" s="37">
        <v>3</v>
      </c>
      <c r="W2766" s="28" t="s">
        <v>171</v>
      </c>
      <c r="X2766" s="28"/>
      <c r="Y2766" s="30">
        <v>43935</v>
      </c>
      <c r="Z2766" s="28" t="s">
        <v>66</v>
      </c>
      <c r="AA2766" s="30">
        <v>43968</v>
      </c>
      <c r="AB2766" s="28"/>
    </row>
    <row r="2767" spans="1:28" ht="15.75" thickTop="1">
      <c r="A2767" s="284" t="s">
        <v>4517</v>
      </c>
      <c r="C2767" s="25">
        <v>170</v>
      </c>
      <c r="D2767" s="25">
        <v>27648</v>
      </c>
      <c r="E2767" s="25" t="s">
        <v>6388</v>
      </c>
      <c r="F2767" s="26">
        <v>29601012100259</v>
      </c>
      <c r="G2767" s="25" t="s">
        <v>34</v>
      </c>
      <c r="H2767" s="25" t="s">
        <v>6389</v>
      </c>
      <c r="I2767" s="25" t="s">
        <v>4315</v>
      </c>
      <c r="J2767" s="27">
        <v>43921</v>
      </c>
      <c r="K2767" s="25" t="s">
        <v>8</v>
      </c>
      <c r="L2767" s="25" t="s">
        <v>12</v>
      </c>
      <c r="M2767" s="25" t="s">
        <v>4706</v>
      </c>
      <c r="N2767" s="25"/>
      <c r="O2767" s="224"/>
      <c r="P2767" s="25"/>
      <c r="Q2767" s="224"/>
      <c r="R2767" s="77">
        <v>3</v>
      </c>
      <c r="S2767" s="77">
        <v>2</v>
      </c>
      <c r="T2767" s="77">
        <v>2</v>
      </c>
      <c r="U2767" s="77">
        <v>2</v>
      </c>
      <c r="V2767" s="77">
        <v>3</v>
      </c>
      <c r="W2767" s="25" t="s">
        <v>3321</v>
      </c>
      <c r="X2767" s="25"/>
      <c r="Y2767" s="27">
        <v>43948</v>
      </c>
      <c r="Z2767" s="25"/>
      <c r="AA2767" s="27"/>
      <c r="AB2767" s="25"/>
    </row>
    <row r="2768" spans="1:28">
      <c r="A2768" s="285"/>
      <c r="C2768" s="25">
        <v>170</v>
      </c>
      <c r="D2768" s="2">
        <v>27649</v>
      </c>
      <c r="E2768" s="2" t="s">
        <v>6390</v>
      </c>
      <c r="F2768" s="3">
        <v>29411020100213</v>
      </c>
      <c r="G2768" s="2" t="s">
        <v>34</v>
      </c>
      <c r="H2768" s="2" t="s">
        <v>6391</v>
      </c>
      <c r="I2768" s="2" t="s">
        <v>4315</v>
      </c>
      <c r="J2768" s="4">
        <v>43921</v>
      </c>
      <c r="K2768" s="2" t="s">
        <v>8</v>
      </c>
      <c r="L2768" s="2" t="s">
        <v>12</v>
      </c>
      <c r="M2768" s="2" t="s">
        <v>4706</v>
      </c>
      <c r="R2768" s="77">
        <v>3</v>
      </c>
      <c r="S2768" s="77">
        <v>2.5</v>
      </c>
      <c r="T2768" s="77">
        <v>2</v>
      </c>
      <c r="U2768" s="77">
        <v>1.5</v>
      </c>
      <c r="V2768" s="77">
        <v>3</v>
      </c>
      <c r="W2768" s="16" t="s">
        <v>3321</v>
      </c>
      <c r="Y2768" s="7">
        <v>43948</v>
      </c>
      <c r="Z2768" s="16" t="s">
        <v>66</v>
      </c>
      <c r="AA2768" s="7">
        <v>43962</v>
      </c>
      <c r="AB2768" s="2" t="s">
        <v>6002</v>
      </c>
    </row>
    <row r="2769" spans="1:28">
      <c r="A2769" s="285"/>
      <c r="C2769" s="25">
        <v>170</v>
      </c>
      <c r="D2769" s="2">
        <v>27650</v>
      </c>
      <c r="E2769" s="2" t="s">
        <v>6392</v>
      </c>
      <c r="F2769" s="3">
        <v>29104102104039</v>
      </c>
      <c r="G2769" s="2" t="s">
        <v>34</v>
      </c>
      <c r="H2769" s="2" t="s">
        <v>6393</v>
      </c>
      <c r="I2769" s="2" t="s">
        <v>4315</v>
      </c>
      <c r="J2769" s="4">
        <v>43921</v>
      </c>
      <c r="K2769" s="2" t="s">
        <v>8</v>
      </c>
      <c r="L2769" s="2" t="s">
        <v>12</v>
      </c>
      <c r="M2769" s="2" t="s">
        <v>4493</v>
      </c>
      <c r="R2769" s="77">
        <v>3</v>
      </c>
      <c r="S2769" s="77">
        <v>2.5</v>
      </c>
      <c r="T2769" s="77">
        <v>2</v>
      </c>
      <c r="U2769" s="77">
        <v>2.5</v>
      </c>
      <c r="V2769" s="77">
        <v>3</v>
      </c>
      <c r="W2769" s="16" t="s">
        <v>171</v>
      </c>
      <c r="Y2769" s="7">
        <v>43948</v>
      </c>
      <c r="Z2769" s="16" t="s">
        <v>66</v>
      </c>
      <c r="AA2769" s="7">
        <v>43961</v>
      </c>
    </row>
    <row r="2770" spans="1:28">
      <c r="A2770" s="285"/>
      <c r="C2770" s="25">
        <v>170</v>
      </c>
      <c r="D2770" s="2">
        <v>27651</v>
      </c>
      <c r="E2770" s="2" t="s">
        <v>6394</v>
      </c>
      <c r="F2770" s="3">
        <v>29509150101378</v>
      </c>
      <c r="G2770" s="2" t="s">
        <v>34</v>
      </c>
      <c r="H2770" s="2" t="s">
        <v>6395</v>
      </c>
      <c r="I2770" s="2" t="s">
        <v>4315</v>
      </c>
      <c r="J2770" s="4">
        <v>43921</v>
      </c>
      <c r="K2770" s="2" t="s">
        <v>8</v>
      </c>
      <c r="L2770" s="2" t="s">
        <v>12</v>
      </c>
      <c r="M2770" s="2" t="s">
        <v>6242</v>
      </c>
      <c r="R2770" s="77">
        <v>3</v>
      </c>
      <c r="S2770" s="77">
        <v>2.5</v>
      </c>
      <c r="T2770" s="77">
        <v>2</v>
      </c>
      <c r="U2770" s="77">
        <v>1.5</v>
      </c>
      <c r="V2770" s="77">
        <v>3</v>
      </c>
      <c r="W2770" s="16" t="s">
        <v>3321</v>
      </c>
      <c r="Y2770" s="7">
        <v>43948</v>
      </c>
      <c r="Z2770" s="16" t="s">
        <v>66</v>
      </c>
      <c r="AA2770" s="7">
        <v>43962</v>
      </c>
      <c r="AB2770" s="2" t="s">
        <v>6002</v>
      </c>
    </row>
    <row r="2771" spans="1:28">
      <c r="A2771" s="285"/>
      <c r="C2771" s="25">
        <v>170</v>
      </c>
      <c r="D2771" s="2">
        <v>27652</v>
      </c>
      <c r="E2771" s="2" t="s">
        <v>6396</v>
      </c>
      <c r="F2771" s="3">
        <v>29410318800459</v>
      </c>
      <c r="G2771" s="2" t="s">
        <v>34</v>
      </c>
      <c r="H2771" s="2" t="s">
        <v>6397</v>
      </c>
      <c r="I2771" s="2" t="s">
        <v>4315</v>
      </c>
      <c r="J2771" s="4">
        <v>43921</v>
      </c>
      <c r="K2771" s="2" t="s">
        <v>8</v>
      </c>
      <c r="L2771" s="2" t="s">
        <v>12</v>
      </c>
      <c r="M2771" s="2" t="s">
        <v>6058</v>
      </c>
      <c r="R2771" s="77">
        <v>3</v>
      </c>
      <c r="S2771" s="77">
        <v>2</v>
      </c>
      <c r="T2771" s="77">
        <v>2.5</v>
      </c>
      <c r="U2771" s="77">
        <v>2</v>
      </c>
      <c r="V2771" s="77">
        <v>3</v>
      </c>
      <c r="W2771" s="16" t="s">
        <v>5714</v>
      </c>
      <c r="X2771" s="2" t="s">
        <v>67</v>
      </c>
      <c r="Y2771" s="7">
        <v>43948</v>
      </c>
      <c r="Z2771" s="16" t="s">
        <v>67</v>
      </c>
      <c r="AB2771" s="2" t="s">
        <v>6493</v>
      </c>
    </row>
    <row r="2772" spans="1:28">
      <c r="A2772" s="285"/>
      <c r="C2772" s="25">
        <v>170</v>
      </c>
      <c r="D2772" s="2">
        <v>27653</v>
      </c>
      <c r="E2772" s="2" t="s">
        <v>6398</v>
      </c>
      <c r="F2772" s="3">
        <v>29501012101137</v>
      </c>
      <c r="G2772" s="2" t="s">
        <v>34</v>
      </c>
      <c r="H2772" s="2" t="s">
        <v>6399</v>
      </c>
      <c r="I2772" s="2" t="s">
        <v>4315</v>
      </c>
      <c r="J2772" s="4">
        <v>43921</v>
      </c>
      <c r="K2772" s="2" t="s">
        <v>8</v>
      </c>
      <c r="L2772" s="2" t="s">
        <v>12</v>
      </c>
      <c r="M2772" s="2" t="s">
        <v>5940</v>
      </c>
      <c r="R2772" s="77">
        <v>3</v>
      </c>
      <c r="S2772" s="77">
        <v>2.5</v>
      </c>
      <c r="T2772" s="77">
        <v>2</v>
      </c>
      <c r="U2772" s="77">
        <v>2.5</v>
      </c>
      <c r="V2772" s="77">
        <v>3</v>
      </c>
      <c r="W2772" s="16" t="s">
        <v>171</v>
      </c>
      <c r="Y2772" s="7">
        <v>43948</v>
      </c>
      <c r="Z2772" s="16" t="s">
        <v>66</v>
      </c>
      <c r="AA2772" s="45">
        <v>43961</v>
      </c>
    </row>
    <row r="2773" spans="1:28">
      <c r="A2773" s="285"/>
      <c r="C2773" s="25">
        <v>170</v>
      </c>
      <c r="D2773" s="2">
        <v>27654</v>
      </c>
      <c r="E2773" s="2" t="s">
        <v>6400</v>
      </c>
      <c r="F2773" s="3">
        <v>29704262102358</v>
      </c>
      <c r="G2773" s="2" t="s">
        <v>34</v>
      </c>
      <c r="H2773" s="2" t="s">
        <v>6401</v>
      </c>
      <c r="I2773" s="2" t="s">
        <v>4315</v>
      </c>
      <c r="J2773" s="4">
        <v>43921</v>
      </c>
      <c r="K2773" s="2" t="s">
        <v>8</v>
      </c>
      <c r="L2773" s="2" t="s">
        <v>12</v>
      </c>
      <c r="M2773" s="2" t="s">
        <v>4257</v>
      </c>
      <c r="W2773" s="16" t="s">
        <v>64</v>
      </c>
      <c r="Z2773" s="16" t="s">
        <v>67</v>
      </c>
      <c r="AB2773" s="2" t="s">
        <v>6739</v>
      </c>
    </row>
    <row r="2774" spans="1:28">
      <c r="A2774" s="285"/>
      <c r="C2774" s="25">
        <v>170</v>
      </c>
      <c r="D2774" s="2">
        <v>27161</v>
      </c>
      <c r="E2774" s="2" t="s">
        <v>6204</v>
      </c>
      <c r="F2774" s="3">
        <v>29510011400075</v>
      </c>
      <c r="G2774" s="2" t="s">
        <v>34</v>
      </c>
      <c r="H2774" s="2" t="s">
        <v>6205</v>
      </c>
      <c r="R2774" s="77">
        <v>3</v>
      </c>
      <c r="S2774" s="77">
        <v>2.5</v>
      </c>
      <c r="T2774" s="77">
        <v>2</v>
      </c>
      <c r="U2774" s="77">
        <v>2.5</v>
      </c>
      <c r="V2774" s="77">
        <v>3</v>
      </c>
      <c r="W2774" s="16" t="s">
        <v>61</v>
      </c>
      <c r="X2774" s="2" t="s">
        <v>66</v>
      </c>
      <c r="Y2774" s="7">
        <v>43986</v>
      </c>
      <c r="Z2774" s="16" t="s">
        <v>66</v>
      </c>
      <c r="AA2774" s="7">
        <v>43990</v>
      </c>
      <c r="AB2774" s="2" t="s">
        <v>6749</v>
      </c>
    </row>
    <row r="2775" spans="1:28">
      <c r="A2775" s="285"/>
      <c r="C2775" s="25">
        <v>170</v>
      </c>
      <c r="D2775" s="2">
        <v>27164</v>
      </c>
      <c r="E2775" s="2" t="s">
        <v>6210</v>
      </c>
      <c r="F2775" s="3">
        <v>29603150104781</v>
      </c>
      <c r="G2775" s="2" t="s">
        <v>34</v>
      </c>
      <c r="H2775" s="2" t="s">
        <v>6211</v>
      </c>
      <c r="R2775" s="77">
        <v>3</v>
      </c>
      <c r="S2775" s="77">
        <v>2.5</v>
      </c>
      <c r="T2775" s="77">
        <v>2</v>
      </c>
      <c r="U2775" s="77">
        <v>2.5</v>
      </c>
      <c r="V2775" s="77">
        <v>3</v>
      </c>
      <c r="W2775" s="16" t="s">
        <v>171</v>
      </c>
      <c r="Y2775" s="7">
        <v>43948</v>
      </c>
      <c r="Z2775" s="16" t="s">
        <v>66</v>
      </c>
      <c r="AA2775" s="45">
        <v>43961</v>
      </c>
    </row>
    <row r="2776" spans="1:28">
      <c r="A2776" s="285"/>
      <c r="C2776" s="25">
        <v>170</v>
      </c>
      <c r="D2776" s="2">
        <v>27166</v>
      </c>
      <c r="E2776" s="2" t="s">
        <v>6214</v>
      </c>
      <c r="F2776" s="3">
        <v>28710018800651</v>
      </c>
      <c r="G2776" s="2" t="s">
        <v>34</v>
      </c>
      <c r="H2776" s="2" t="s">
        <v>6215</v>
      </c>
      <c r="R2776" s="77">
        <v>3</v>
      </c>
      <c r="S2776" s="77">
        <v>3</v>
      </c>
      <c r="T2776" s="77">
        <v>2.5</v>
      </c>
      <c r="U2776" s="77">
        <v>2</v>
      </c>
      <c r="V2776" s="77">
        <v>3</v>
      </c>
      <c r="W2776" s="16" t="s">
        <v>170</v>
      </c>
      <c r="Y2776" s="7">
        <v>43948</v>
      </c>
      <c r="Z2776" s="16" t="s">
        <v>66</v>
      </c>
      <c r="AA2776" s="7">
        <v>43961</v>
      </c>
      <c r="AB2776" s="2" t="s">
        <v>61</v>
      </c>
    </row>
    <row r="2777" spans="1:28" ht="15.75" thickBot="1">
      <c r="A2777" s="286"/>
      <c r="C2777" s="28">
        <v>170</v>
      </c>
      <c r="D2777" s="28">
        <v>27173</v>
      </c>
      <c r="E2777" s="28" t="s">
        <v>6228</v>
      </c>
      <c r="F2777" s="29">
        <v>28802170104301</v>
      </c>
      <c r="G2777" s="28" t="s">
        <v>34</v>
      </c>
      <c r="H2777" s="28" t="s">
        <v>6229</v>
      </c>
      <c r="I2777" s="28"/>
      <c r="J2777" s="30"/>
      <c r="K2777" s="28"/>
      <c r="L2777" s="28"/>
      <c r="M2777" s="28"/>
      <c r="N2777" s="28"/>
      <c r="O2777" s="226"/>
      <c r="P2777" s="28"/>
      <c r="Q2777" s="226"/>
      <c r="R2777" s="37">
        <v>3</v>
      </c>
      <c r="S2777" s="37">
        <v>2.5</v>
      </c>
      <c r="T2777" s="37">
        <v>2.5</v>
      </c>
      <c r="U2777" s="37">
        <v>2</v>
      </c>
      <c r="V2777" s="37">
        <v>3</v>
      </c>
      <c r="W2777" s="28" t="s">
        <v>171</v>
      </c>
      <c r="X2777" s="28" t="s">
        <v>66</v>
      </c>
      <c r="Y2777" s="30">
        <v>43965</v>
      </c>
      <c r="Z2777" s="28" t="s">
        <v>66</v>
      </c>
      <c r="AA2777" s="30">
        <v>43968</v>
      </c>
      <c r="AB2777" s="28"/>
    </row>
    <row r="2778" spans="1:28" ht="15.75" thickTop="1">
      <c r="A2778" s="284" t="s">
        <v>5262</v>
      </c>
      <c r="C2778" s="25">
        <v>171</v>
      </c>
      <c r="D2778" s="25">
        <v>27655</v>
      </c>
      <c r="E2778" s="25" t="s">
        <v>6407</v>
      </c>
      <c r="F2778" s="26">
        <v>28905010103159</v>
      </c>
      <c r="G2778" s="25" t="s">
        <v>5856</v>
      </c>
      <c r="H2778" s="34" t="s">
        <v>6414</v>
      </c>
      <c r="I2778" s="25" t="s">
        <v>4315</v>
      </c>
      <c r="J2778" s="27">
        <v>43921</v>
      </c>
      <c r="K2778" s="25" t="s">
        <v>8</v>
      </c>
      <c r="L2778" s="25" t="s">
        <v>12</v>
      </c>
      <c r="M2778" s="25" t="s">
        <v>53</v>
      </c>
      <c r="N2778" s="25"/>
      <c r="O2778" s="224"/>
      <c r="P2778" s="25"/>
      <c r="Q2778" s="224"/>
      <c r="R2778" s="25"/>
      <c r="S2778" s="25"/>
      <c r="T2778" s="25"/>
      <c r="U2778" s="25"/>
      <c r="V2778" s="25"/>
      <c r="W2778" s="25" t="s">
        <v>64</v>
      </c>
      <c r="X2778" s="25"/>
      <c r="Y2778" s="27"/>
      <c r="Z2778" s="25" t="s">
        <v>66</v>
      </c>
      <c r="AA2778" s="27">
        <v>43949</v>
      </c>
      <c r="AB2778" s="25" t="s">
        <v>6002</v>
      </c>
    </row>
    <row r="2779" spans="1:28">
      <c r="A2779" s="285"/>
      <c r="C2779" s="25">
        <v>171</v>
      </c>
      <c r="D2779" s="2">
        <v>27656</v>
      </c>
      <c r="E2779" s="2" t="s">
        <v>6408</v>
      </c>
      <c r="F2779" s="3">
        <v>29007280104454</v>
      </c>
      <c r="G2779" s="2" t="s">
        <v>34</v>
      </c>
      <c r="H2779" s="8" t="s">
        <v>6415</v>
      </c>
      <c r="I2779" s="2" t="s">
        <v>4315</v>
      </c>
      <c r="J2779" s="4">
        <v>43921</v>
      </c>
      <c r="K2779" s="2" t="s">
        <v>8</v>
      </c>
      <c r="L2779" s="2" t="s">
        <v>12</v>
      </c>
      <c r="M2779" s="2" t="s">
        <v>5152</v>
      </c>
      <c r="R2779" s="77">
        <v>3</v>
      </c>
      <c r="S2779" s="77">
        <v>2.5</v>
      </c>
      <c r="T2779" s="77">
        <v>2</v>
      </c>
      <c r="U2779" s="77">
        <v>2.5</v>
      </c>
      <c r="V2779" s="77">
        <v>3</v>
      </c>
      <c r="W2779" s="16" t="s">
        <v>171</v>
      </c>
      <c r="X2779" s="2" t="s">
        <v>66</v>
      </c>
      <c r="Y2779" s="27">
        <v>43965</v>
      </c>
      <c r="Z2779" s="16" t="s">
        <v>66</v>
      </c>
      <c r="AA2779" s="7">
        <v>43968</v>
      </c>
    </row>
    <row r="2780" spans="1:28">
      <c r="A2780" s="285"/>
      <c r="C2780" s="25">
        <v>171</v>
      </c>
      <c r="D2780" s="2">
        <v>27657</v>
      </c>
      <c r="E2780" s="2" t="s">
        <v>6409</v>
      </c>
      <c r="F2780" s="3">
        <v>29608212100312</v>
      </c>
      <c r="G2780" s="2" t="s">
        <v>34</v>
      </c>
      <c r="H2780" s="8" t="s">
        <v>6416</v>
      </c>
      <c r="I2780" s="2" t="s">
        <v>4315</v>
      </c>
      <c r="J2780" s="4">
        <v>43921</v>
      </c>
      <c r="K2780" s="2" t="s">
        <v>8</v>
      </c>
      <c r="L2780" s="2" t="s">
        <v>12</v>
      </c>
      <c r="M2780" s="2" t="s">
        <v>6305</v>
      </c>
      <c r="R2780" s="77">
        <v>3</v>
      </c>
      <c r="S2780" s="77">
        <v>2.5</v>
      </c>
      <c r="T2780" s="77">
        <v>2</v>
      </c>
      <c r="U2780" s="77">
        <v>2</v>
      </c>
      <c r="V2780" s="77">
        <v>3</v>
      </c>
      <c r="W2780" s="16" t="s">
        <v>62</v>
      </c>
      <c r="Y2780" s="27">
        <v>43949</v>
      </c>
      <c r="Z2780" s="16" t="s">
        <v>66</v>
      </c>
      <c r="AA2780" s="7">
        <v>43962</v>
      </c>
      <c r="AB2780" s="2" t="s">
        <v>6002</v>
      </c>
    </row>
    <row r="2781" spans="1:28">
      <c r="A2781" s="285"/>
      <c r="C2781" s="25">
        <v>171</v>
      </c>
      <c r="D2781" s="2">
        <v>27658</v>
      </c>
      <c r="E2781" s="2" t="s">
        <v>6410</v>
      </c>
      <c r="F2781" s="3">
        <v>29408192101865</v>
      </c>
      <c r="G2781" s="2" t="s">
        <v>34</v>
      </c>
      <c r="H2781" s="8" t="s">
        <v>6417</v>
      </c>
      <c r="I2781" s="2" t="s">
        <v>4315</v>
      </c>
      <c r="J2781" s="4">
        <v>43921</v>
      </c>
      <c r="K2781" s="2" t="s">
        <v>8</v>
      </c>
      <c r="L2781" s="2" t="s">
        <v>12</v>
      </c>
      <c r="M2781" s="2" t="s">
        <v>4257</v>
      </c>
      <c r="R2781" s="77">
        <v>3</v>
      </c>
      <c r="S2781" s="77">
        <v>2.5</v>
      </c>
      <c r="T2781" s="77">
        <v>2</v>
      </c>
      <c r="U2781" s="77">
        <v>2</v>
      </c>
      <c r="V2781" s="77">
        <v>3</v>
      </c>
      <c r="W2781" s="16" t="s">
        <v>62</v>
      </c>
      <c r="Y2781" s="27">
        <v>43949</v>
      </c>
      <c r="Z2781" s="16" t="s">
        <v>66</v>
      </c>
      <c r="AA2781" s="45">
        <v>43962</v>
      </c>
      <c r="AB2781" s="2" t="s">
        <v>6002</v>
      </c>
    </row>
    <row r="2782" spans="1:28">
      <c r="A2782" s="285"/>
      <c r="C2782" s="25">
        <v>171</v>
      </c>
      <c r="D2782" s="2">
        <v>27659</v>
      </c>
      <c r="E2782" s="2" t="s">
        <v>6411</v>
      </c>
      <c r="F2782" s="3">
        <v>29104040201954</v>
      </c>
      <c r="G2782" s="2" t="s">
        <v>34</v>
      </c>
      <c r="H2782" s="8" t="s">
        <v>6418</v>
      </c>
      <c r="I2782" s="2" t="s">
        <v>4315</v>
      </c>
      <c r="J2782" s="4">
        <v>43921</v>
      </c>
      <c r="K2782" s="2" t="s">
        <v>8</v>
      </c>
      <c r="L2782" s="2" t="s">
        <v>12</v>
      </c>
      <c r="M2782" s="2" t="s">
        <v>6412</v>
      </c>
      <c r="W2782" s="16" t="s">
        <v>64</v>
      </c>
      <c r="Z2782" s="16" t="s">
        <v>67</v>
      </c>
    </row>
    <row r="2783" spans="1:28">
      <c r="A2783" s="285"/>
      <c r="C2783" s="25">
        <v>171</v>
      </c>
      <c r="D2783" s="2">
        <v>27660</v>
      </c>
      <c r="E2783" s="2" t="s">
        <v>6413</v>
      </c>
      <c r="F2783" s="3">
        <v>29704211703098</v>
      </c>
      <c r="G2783" s="2" t="s">
        <v>4131</v>
      </c>
      <c r="H2783" s="8" t="s">
        <v>6419</v>
      </c>
      <c r="I2783" s="2" t="s">
        <v>4315</v>
      </c>
      <c r="J2783" s="4">
        <v>43921</v>
      </c>
      <c r="K2783" s="2" t="s">
        <v>8</v>
      </c>
      <c r="L2783" s="2" t="s">
        <v>12</v>
      </c>
      <c r="M2783" s="2" t="s">
        <v>4706</v>
      </c>
      <c r="R2783" s="77">
        <v>3</v>
      </c>
      <c r="S2783" s="77">
        <v>2.5</v>
      </c>
      <c r="T2783" s="77">
        <v>2</v>
      </c>
      <c r="U2783" s="77">
        <v>2.5</v>
      </c>
      <c r="V2783" s="77">
        <v>3</v>
      </c>
      <c r="W2783" s="16" t="s">
        <v>171</v>
      </c>
      <c r="X2783" s="2" t="s">
        <v>66</v>
      </c>
      <c r="Y2783" s="7">
        <v>43965</v>
      </c>
      <c r="Z2783" s="16" t="s">
        <v>66</v>
      </c>
      <c r="AA2783" s="7">
        <v>43968</v>
      </c>
    </row>
    <row r="2784" spans="1:28">
      <c r="A2784" s="285"/>
      <c r="C2784" s="25">
        <v>171</v>
      </c>
      <c r="D2784" s="2">
        <v>27163</v>
      </c>
      <c r="E2784" s="2" t="s">
        <v>6208</v>
      </c>
      <c r="F2784" s="3">
        <v>29801260100141</v>
      </c>
      <c r="G2784" s="2" t="s">
        <v>34</v>
      </c>
      <c r="H2784" s="2" t="s">
        <v>6209</v>
      </c>
      <c r="R2784" s="77">
        <v>3</v>
      </c>
      <c r="S2784" s="77">
        <v>2.5</v>
      </c>
      <c r="T2784" s="77">
        <v>2.5</v>
      </c>
      <c r="U2784" s="77">
        <v>2</v>
      </c>
      <c r="V2784" s="77">
        <v>3</v>
      </c>
      <c r="W2784" s="103" t="s">
        <v>171</v>
      </c>
      <c r="X2784" s="2" t="s">
        <v>66</v>
      </c>
      <c r="Y2784" s="45">
        <v>43965</v>
      </c>
      <c r="Z2784" s="16" t="s">
        <v>66</v>
      </c>
      <c r="AA2784" s="7">
        <v>43968</v>
      </c>
      <c r="AB2784" s="103"/>
    </row>
    <row r="2785" spans="1:28">
      <c r="A2785" s="285"/>
      <c r="C2785" s="25">
        <v>171</v>
      </c>
      <c r="D2785" s="2">
        <v>27171</v>
      </c>
      <c r="E2785" s="2" t="s">
        <v>6224</v>
      </c>
      <c r="F2785" s="3">
        <v>29409012700428</v>
      </c>
      <c r="G2785" s="2" t="s">
        <v>34</v>
      </c>
      <c r="H2785" s="2" t="s">
        <v>6225</v>
      </c>
      <c r="R2785" s="77">
        <v>3</v>
      </c>
      <c r="S2785" s="77">
        <v>2</v>
      </c>
      <c r="T2785" s="77">
        <v>2</v>
      </c>
      <c r="U2785" s="77">
        <v>2</v>
      </c>
      <c r="V2785" s="77">
        <v>3</v>
      </c>
      <c r="W2785" s="16" t="s">
        <v>62</v>
      </c>
      <c r="X2785" s="2" t="s">
        <v>66</v>
      </c>
      <c r="Y2785" s="45">
        <v>43965</v>
      </c>
    </row>
    <row r="2786" spans="1:28" ht="15.75" thickBot="1">
      <c r="A2786" s="286"/>
      <c r="C2786" s="28">
        <v>171</v>
      </c>
      <c r="D2786" s="28">
        <v>27174</v>
      </c>
      <c r="E2786" s="28" t="s">
        <v>6230</v>
      </c>
      <c r="F2786" s="29">
        <v>29502012700941</v>
      </c>
      <c r="G2786" s="28" t="s">
        <v>34</v>
      </c>
      <c r="H2786" s="28" t="s">
        <v>6231</v>
      </c>
      <c r="I2786" s="28"/>
      <c r="J2786" s="30"/>
      <c r="K2786" s="28"/>
      <c r="L2786" s="28"/>
      <c r="M2786" s="28"/>
      <c r="N2786" s="28"/>
      <c r="O2786" s="226"/>
      <c r="P2786" s="28"/>
      <c r="Q2786" s="226"/>
      <c r="R2786" s="37">
        <v>3</v>
      </c>
      <c r="S2786" s="37">
        <v>2.5</v>
      </c>
      <c r="T2786" s="37">
        <v>2</v>
      </c>
      <c r="U2786" s="37">
        <v>2.5</v>
      </c>
      <c r="V2786" s="37">
        <v>3</v>
      </c>
      <c r="W2786" s="28" t="s">
        <v>171</v>
      </c>
      <c r="X2786" s="28"/>
      <c r="Y2786" s="30">
        <v>43949</v>
      </c>
      <c r="Z2786" s="28" t="s">
        <v>66</v>
      </c>
      <c r="AA2786" s="30">
        <v>43961</v>
      </c>
      <c r="AB2786" s="28"/>
    </row>
    <row r="2787" spans="1:28" ht="15.75" thickTop="1">
      <c r="A2787" s="284" t="s">
        <v>3129</v>
      </c>
      <c r="C2787" s="25" t="s">
        <v>6438</v>
      </c>
      <c r="D2787" s="25">
        <v>27760</v>
      </c>
      <c r="E2787" s="25" t="s">
        <v>6420</v>
      </c>
      <c r="F2787" s="26">
        <v>28409050102433</v>
      </c>
      <c r="G2787" s="25" t="s">
        <v>5890</v>
      </c>
      <c r="H2787" s="34" t="s">
        <v>6429</v>
      </c>
      <c r="I2787" s="25" t="s">
        <v>4315</v>
      </c>
      <c r="J2787" s="27">
        <v>43934</v>
      </c>
      <c r="K2787" s="25" t="s">
        <v>798</v>
      </c>
      <c r="L2787" s="25" t="s">
        <v>12</v>
      </c>
      <c r="M2787" s="25" t="s">
        <v>6359</v>
      </c>
      <c r="N2787" s="25"/>
      <c r="O2787" s="224"/>
      <c r="P2787" s="25"/>
      <c r="Q2787" s="224"/>
      <c r="R2787" s="77">
        <v>3</v>
      </c>
      <c r="S2787" s="77">
        <v>2.5</v>
      </c>
      <c r="T2787" s="77">
        <v>2</v>
      </c>
      <c r="U2787" s="77">
        <v>1.5</v>
      </c>
      <c r="V2787" s="77">
        <v>3</v>
      </c>
      <c r="W2787" s="25" t="s">
        <v>3321</v>
      </c>
      <c r="X2787" s="25"/>
      <c r="Y2787" s="27">
        <v>43957</v>
      </c>
      <c r="Z2787" s="25" t="s">
        <v>66</v>
      </c>
      <c r="AA2787" s="27">
        <v>43962</v>
      </c>
      <c r="AB2787" s="25" t="s">
        <v>6002</v>
      </c>
    </row>
    <row r="2788" spans="1:28">
      <c r="A2788" s="285"/>
      <c r="C2788" s="25" t="s">
        <v>6438</v>
      </c>
      <c r="D2788" s="2">
        <v>27761</v>
      </c>
      <c r="E2788" s="2" t="s">
        <v>6421</v>
      </c>
      <c r="F2788" s="3">
        <v>29602130103935</v>
      </c>
      <c r="G2788" s="2" t="s">
        <v>34</v>
      </c>
      <c r="H2788" s="8" t="s">
        <v>6430</v>
      </c>
      <c r="I2788" s="2" t="s">
        <v>4315</v>
      </c>
      <c r="J2788" s="4">
        <v>43934</v>
      </c>
      <c r="K2788" s="2" t="s">
        <v>798</v>
      </c>
      <c r="L2788" s="2" t="s">
        <v>12</v>
      </c>
      <c r="M2788" s="2" t="s">
        <v>4257</v>
      </c>
      <c r="R2788" s="77">
        <v>3</v>
      </c>
      <c r="S2788" s="77">
        <v>2.5</v>
      </c>
      <c r="T2788" s="77">
        <v>1.5</v>
      </c>
      <c r="U2788" s="77">
        <v>1.5</v>
      </c>
      <c r="V2788" s="77">
        <v>3</v>
      </c>
      <c r="W2788" s="16" t="s">
        <v>3818</v>
      </c>
      <c r="Y2788" s="27">
        <v>43957</v>
      </c>
    </row>
    <row r="2789" spans="1:28">
      <c r="A2789" s="285"/>
      <c r="C2789" s="25" t="s">
        <v>6438</v>
      </c>
      <c r="D2789" s="2">
        <v>27762</v>
      </c>
      <c r="E2789" s="2" t="s">
        <v>6422</v>
      </c>
      <c r="F2789" s="3">
        <v>29607270101578</v>
      </c>
      <c r="G2789" s="2" t="s">
        <v>34</v>
      </c>
      <c r="H2789" s="8" t="s">
        <v>6431</v>
      </c>
      <c r="I2789" s="2" t="s">
        <v>4315</v>
      </c>
      <c r="J2789" s="4">
        <v>43934</v>
      </c>
      <c r="K2789" s="2" t="s">
        <v>798</v>
      </c>
      <c r="L2789" s="2" t="s">
        <v>12</v>
      </c>
      <c r="M2789" s="2" t="s">
        <v>6412</v>
      </c>
      <c r="R2789" s="77">
        <v>3</v>
      </c>
      <c r="S2789" s="77">
        <v>2.5</v>
      </c>
      <c r="T2789" s="77">
        <v>2</v>
      </c>
      <c r="U2789" s="77">
        <v>2</v>
      </c>
      <c r="V2789" s="77">
        <v>3</v>
      </c>
      <c r="W2789" s="16" t="s">
        <v>3244</v>
      </c>
      <c r="Y2789" s="27">
        <v>43957</v>
      </c>
    </row>
    <row r="2790" spans="1:28">
      <c r="A2790" s="285"/>
      <c r="C2790" s="25" t="s">
        <v>6438</v>
      </c>
      <c r="D2790" s="2">
        <v>27763</v>
      </c>
      <c r="E2790" s="2" t="s">
        <v>6423</v>
      </c>
      <c r="F2790" s="3">
        <v>29512100103559</v>
      </c>
      <c r="G2790" s="2" t="s">
        <v>34</v>
      </c>
      <c r="H2790" s="8" t="s">
        <v>6432</v>
      </c>
      <c r="I2790" s="2" t="s">
        <v>4315</v>
      </c>
      <c r="J2790" s="4">
        <v>43934</v>
      </c>
      <c r="K2790" s="2" t="s">
        <v>798</v>
      </c>
      <c r="L2790" s="2" t="s">
        <v>12</v>
      </c>
      <c r="M2790" s="2" t="s">
        <v>4257</v>
      </c>
      <c r="W2790" s="103" t="s">
        <v>64</v>
      </c>
      <c r="X2790" s="103"/>
      <c r="Y2790" s="45"/>
      <c r="Z2790" s="103" t="s">
        <v>67</v>
      </c>
    </row>
    <row r="2791" spans="1:28">
      <c r="A2791" s="285"/>
      <c r="C2791" s="25" t="s">
        <v>6438</v>
      </c>
      <c r="D2791" s="2">
        <v>27764</v>
      </c>
      <c r="E2791" s="2" t="s">
        <v>6424</v>
      </c>
      <c r="F2791" s="3">
        <v>28906250102431</v>
      </c>
      <c r="G2791" s="2" t="s">
        <v>34</v>
      </c>
      <c r="H2791" s="8" t="s">
        <v>6433</v>
      </c>
      <c r="I2791" s="2" t="s">
        <v>4315</v>
      </c>
      <c r="J2791" s="4">
        <v>43934</v>
      </c>
      <c r="K2791" s="2" t="s">
        <v>798</v>
      </c>
      <c r="L2791" s="2" t="s">
        <v>12</v>
      </c>
      <c r="M2791" s="2" t="s">
        <v>6071</v>
      </c>
      <c r="W2791" s="103" t="s">
        <v>64</v>
      </c>
      <c r="X2791" s="103"/>
      <c r="Y2791" s="45"/>
      <c r="Z2791" s="103" t="s">
        <v>67</v>
      </c>
    </row>
    <row r="2792" spans="1:28">
      <c r="A2792" s="285"/>
      <c r="C2792" s="25" t="s">
        <v>6438</v>
      </c>
      <c r="D2792" s="2">
        <v>27765</v>
      </c>
      <c r="E2792" s="2" t="s">
        <v>6425</v>
      </c>
      <c r="F2792" s="3">
        <v>29607012801379</v>
      </c>
      <c r="G2792" s="2" t="s">
        <v>34</v>
      </c>
      <c r="H2792" s="8" t="s">
        <v>6434</v>
      </c>
      <c r="I2792" s="2" t="s">
        <v>4315</v>
      </c>
      <c r="J2792" s="4">
        <v>43934</v>
      </c>
      <c r="K2792" s="2" t="s">
        <v>798</v>
      </c>
      <c r="L2792" s="2" t="s">
        <v>12</v>
      </c>
      <c r="M2792" s="2" t="s">
        <v>5940</v>
      </c>
      <c r="R2792" s="77">
        <v>3</v>
      </c>
      <c r="S2792" s="77">
        <v>2.5</v>
      </c>
      <c r="T2792" s="77">
        <v>2</v>
      </c>
      <c r="U2792" s="77">
        <v>1.5</v>
      </c>
      <c r="V2792" s="77">
        <v>3</v>
      </c>
      <c r="W2792" s="16" t="s">
        <v>3321</v>
      </c>
      <c r="Y2792" s="27">
        <v>43957</v>
      </c>
      <c r="Z2792" s="16" t="s">
        <v>66</v>
      </c>
      <c r="AA2792" s="7">
        <v>43962</v>
      </c>
      <c r="AB2792" s="2" t="s">
        <v>6747</v>
      </c>
    </row>
    <row r="2793" spans="1:28">
      <c r="A2793" s="285"/>
      <c r="C2793" s="25" t="s">
        <v>6438</v>
      </c>
      <c r="D2793" s="2">
        <v>27766</v>
      </c>
      <c r="E2793" s="2" t="s">
        <v>6426</v>
      </c>
      <c r="F2793" s="3">
        <v>29505162400031</v>
      </c>
      <c r="G2793" s="2" t="s">
        <v>34</v>
      </c>
      <c r="H2793" s="8" t="s">
        <v>6435</v>
      </c>
      <c r="I2793" s="2" t="s">
        <v>4315</v>
      </c>
      <c r="J2793" s="4">
        <v>43934</v>
      </c>
      <c r="K2793" s="2" t="s">
        <v>798</v>
      </c>
      <c r="L2793" s="2" t="s">
        <v>12</v>
      </c>
      <c r="M2793" s="2" t="s">
        <v>53</v>
      </c>
      <c r="R2793" s="77">
        <v>3</v>
      </c>
      <c r="S2793" s="77">
        <v>2.5</v>
      </c>
      <c r="T2793" s="77">
        <v>1.5</v>
      </c>
      <c r="U2793" s="77">
        <v>2</v>
      </c>
      <c r="V2793" s="77">
        <v>3</v>
      </c>
      <c r="W2793" s="16" t="s">
        <v>4970</v>
      </c>
      <c r="Y2793" s="27">
        <v>43957</v>
      </c>
    </row>
    <row r="2794" spans="1:28">
      <c r="A2794" s="285"/>
      <c r="C2794" s="25" t="s">
        <v>6438</v>
      </c>
      <c r="D2794" s="2">
        <v>27767</v>
      </c>
      <c r="E2794" s="2" t="s">
        <v>6427</v>
      </c>
      <c r="F2794" s="3">
        <v>29201011600675</v>
      </c>
      <c r="G2794" s="2" t="s">
        <v>34</v>
      </c>
      <c r="H2794" s="8" t="s">
        <v>6436</v>
      </c>
      <c r="I2794" s="2" t="s">
        <v>4315</v>
      </c>
      <c r="J2794" s="4">
        <v>43934</v>
      </c>
      <c r="K2794" s="2" t="s">
        <v>798</v>
      </c>
      <c r="L2794" s="2" t="s">
        <v>12</v>
      </c>
      <c r="M2794" s="2" t="s">
        <v>6412</v>
      </c>
      <c r="W2794" s="16" t="s">
        <v>63</v>
      </c>
      <c r="Z2794" s="16" t="s">
        <v>67</v>
      </c>
    </row>
    <row r="2795" spans="1:28" ht="15.75" thickBot="1">
      <c r="A2795" s="286"/>
      <c r="C2795" s="28" t="s">
        <v>6438</v>
      </c>
      <c r="D2795" s="28">
        <v>27768</v>
      </c>
      <c r="E2795" s="28" t="s">
        <v>6428</v>
      </c>
      <c r="F2795" s="29">
        <v>28810202300178</v>
      </c>
      <c r="G2795" s="28" t="s">
        <v>34</v>
      </c>
      <c r="H2795" s="78" t="s">
        <v>6437</v>
      </c>
      <c r="I2795" s="28" t="s">
        <v>4315</v>
      </c>
      <c r="J2795" s="30">
        <v>43934</v>
      </c>
      <c r="K2795" s="28" t="s">
        <v>798</v>
      </c>
      <c r="L2795" s="28" t="s">
        <v>12</v>
      </c>
      <c r="M2795" s="28" t="s">
        <v>5982</v>
      </c>
      <c r="N2795" s="28"/>
      <c r="O2795" s="226"/>
      <c r="P2795" s="28"/>
      <c r="Q2795" s="226"/>
      <c r="R2795" s="37">
        <v>3</v>
      </c>
      <c r="S2795" s="37">
        <v>2</v>
      </c>
      <c r="T2795" s="37">
        <v>2</v>
      </c>
      <c r="U2795" s="37">
        <v>1.5</v>
      </c>
      <c r="V2795" s="37">
        <v>2.5</v>
      </c>
      <c r="W2795" s="28" t="s">
        <v>3818</v>
      </c>
      <c r="X2795" s="28"/>
      <c r="Y2795" s="30">
        <v>43957</v>
      </c>
      <c r="Z2795" s="28"/>
      <c r="AA2795" s="30"/>
      <c r="AB2795" s="28"/>
    </row>
    <row r="2796" spans="1:28" ht="15.75" thickTop="1">
      <c r="A2796" s="284" t="s">
        <v>4077</v>
      </c>
      <c r="C2796" s="25" t="s">
        <v>6439</v>
      </c>
      <c r="D2796" s="25">
        <v>27769</v>
      </c>
      <c r="E2796" s="25" t="s">
        <v>6440</v>
      </c>
      <c r="F2796" s="26">
        <v>29704150103947</v>
      </c>
      <c r="G2796" s="25" t="s">
        <v>34</v>
      </c>
      <c r="H2796" s="25" t="s">
        <v>6441</v>
      </c>
      <c r="I2796" s="25" t="s">
        <v>4315</v>
      </c>
      <c r="J2796" s="27">
        <v>43934</v>
      </c>
      <c r="K2796" s="25" t="s">
        <v>798</v>
      </c>
      <c r="L2796" s="25" t="s">
        <v>12</v>
      </c>
      <c r="M2796" s="25" t="s">
        <v>6242</v>
      </c>
      <c r="N2796" s="25"/>
      <c r="O2796" s="224"/>
      <c r="P2796" s="25"/>
      <c r="Q2796" s="224"/>
      <c r="R2796" s="77">
        <v>3</v>
      </c>
      <c r="S2796" s="77">
        <v>2.5</v>
      </c>
      <c r="T2796" s="77">
        <v>2</v>
      </c>
      <c r="U2796" s="77">
        <v>1.5</v>
      </c>
      <c r="V2796" s="77">
        <v>3</v>
      </c>
      <c r="W2796" s="25" t="s">
        <v>3321</v>
      </c>
      <c r="X2796" s="25"/>
      <c r="Y2796" s="27">
        <v>43956</v>
      </c>
      <c r="Z2796" s="25" t="s">
        <v>66</v>
      </c>
      <c r="AA2796" s="27">
        <v>43962</v>
      </c>
      <c r="AB2796" s="25" t="s">
        <v>6002</v>
      </c>
    </row>
    <row r="2797" spans="1:28">
      <c r="A2797" s="285"/>
      <c r="C2797" s="25" t="s">
        <v>6439</v>
      </c>
      <c r="D2797" s="2">
        <v>27770</v>
      </c>
      <c r="E2797" s="2" t="s">
        <v>6442</v>
      </c>
      <c r="F2797" s="3">
        <v>30001071701515</v>
      </c>
      <c r="G2797" s="2" t="s">
        <v>5890</v>
      </c>
      <c r="H2797" s="2" t="s">
        <v>6443</v>
      </c>
      <c r="I2797" s="2" t="s">
        <v>4315</v>
      </c>
      <c r="J2797" s="4">
        <v>43934</v>
      </c>
      <c r="K2797" s="2" t="s">
        <v>798</v>
      </c>
      <c r="L2797" s="2" t="s">
        <v>12</v>
      </c>
      <c r="M2797" s="2" t="s">
        <v>4706</v>
      </c>
      <c r="R2797" s="77">
        <v>3</v>
      </c>
      <c r="S2797" s="77">
        <v>2.5</v>
      </c>
      <c r="T2797" s="77">
        <v>1.5</v>
      </c>
      <c r="U2797" s="77">
        <v>1.5</v>
      </c>
      <c r="V2797" s="77">
        <v>2.5</v>
      </c>
      <c r="W2797" s="16" t="s">
        <v>3818</v>
      </c>
      <c r="Y2797" s="27">
        <v>43956</v>
      </c>
      <c r="Z2797" s="16" t="s">
        <v>66</v>
      </c>
      <c r="AA2797" s="7">
        <v>44017</v>
      </c>
      <c r="AB2797" s="2" t="s">
        <v>4411</v>
      </c>
    </row>
    <row r="2798" spans="1:28">
      <c r="A2798" s="285"/>
      <c r="C2798" s="25" t="s">
        <v>6439</v>
      </c>
      <c r="D2798" s="2">
        <v>27771</v>
      </c>
      <c r="E2798" s="2" t="s">
        <v>6444</v>
      </c>
      <c r="F2798" s="3">
        <v>29409043400066</v>
      </c>
      <c r="G2798" s="2" t="s">
        <v>5890</v>
      </c>
      <c r="H2798" s="2" t="s">
        <v>6445</v>
      </c>
      <c r="I2798" s="2" t="s">
        <v>4315</v>
      </c>
      <c r="J2798" s="4">
        <v>43934</v>
      </c>
      <c r="K2798" s="2" t="s">
        <v>798</v>
      </c>
      <c r="L2798" s="2" t="s">
        <v>12</v>
      </c>
      <c r="M2798" s="2" t="s">
        <v>109</v>
      </c>
      <c r="R2798" s="77">
        <v>3</v>
      </c>
      <c r="S2798" s="77">
        <v>2.5</v>
      </c>
      <c r="T2798" s="77">
        <v>2</v>
      </c>
      <c r="U2798" s="77">
        <v>2</v>
      </c>
      <c r="V2798" s="77">
        <v>3</v>
      </c>
      <c r="W2798" s="16" t="s">
        <v>3244</v>
      </c>
      <c r="Y2798" s="27">
        <v>43956</v>
      </c>
    </row>
    <row r="2799" spans="1:28">
      <c r="A2799" s="285"/>
      <c r="C2799" s="25" t="s">
        <v>6439</v>
      </c>
      <c r="D2799" s="2">
        <v>27772</v>
      </c>
      <c r="E2799" s="2" t="s">
        <v>6446</v>
      </c>
      <c r="F2799" s="3">
        <v>29907120202132</v>
      </c>
      <c r="G2799" s="2" t="s">
        <v>5890</v>
      </c>
      <c r="H2799" s="2" t="s">
        <v>6447</v>
      </c>
      <c r="I2799" s="2" t="s">
        <v>4315</v>
      </c>
      <c r="J2799" s="4">
        <v>43934</v>
      </c>
      <c r="K2799" s="2" t="s">
        <v>798</v>
      </c>
      <c r="L2799" s="2" t="s">
        <v>12</v>
      </c>
      <c r="M2799" s="2" t="s">
        <v>6071</v>
      </c>
      <c r="R2799" s="77">
        <v>3</v>
      </c>
      <c r="S2799" s="77">
        <v>2</v>
      </c>
      <c r="T2799" s="77">
        <v>2</v>
      </c>
      <c r="U2799" s="77">
        <v>2</v>
      </c>
      <c r="V2799" s="77">
        <v>3</v>
      </c>
      <c r="W2799" s="16" t="s">
        <v>3321</v>
      </c>
      <c r="Y2799" s="27">
        <v>43956</v>
      </c>
      <c r="Z2799" s="16" t="s">
        <v>66</v>
      </c>
      <c r="AA2799" s="7">
        <v>43962</v>
      </c>
      <c r="AB2799" s="2" t="s">
        <v>6782</v>
      </c>
    </row>
    <row r="2800" spans="1:28">
      <c r="A2800" s="285"/>
      <c r="C2800" s="25" t="s">
        <v>6439</v>
      </c>
      <c r="D2800" s="2">
        <v>27773</v>
      </c>
      <c r="E2800" s="2" t="s">
        <v>6448</v>
      </c>
      <c r="F2800" s="3">
        <v>29707021600291</v>
      </c>
      <c r="G2800" s="2" t="s">
        <v>34</v>
      </c>
      <c r="H2800" s="2" t="s">
        <v>6449</v>
      </c>
      <c r="I2800" s="2" t="s">
        <v>4315</v>
      </c>
      <c r="J2800" s="4">
        <v>43934</v>
      </c>
      <c r="K2800" s="2" t="s">
        <v>798</v>
      </c>
      <c r="L2800" s="2" t="s">
        <v>12</v>
      </c>
      <c r="M2800" s="2" t="s">
        <v>4257</v>
      </c>
      <c r="R2800" s="77">
        <v>3</v>
      </c>
      <c r="S2800" s="77">
        <v>2.5</v>
      </c>
      <c r="T2800" s="77">
        <v>2</v>
      </c>
      <c r="U2800" s="77">
        <v>1.5</v>
      </c>
      <c r="V2800" s="77">
        <v>3</v>
      </c>
      <c r="W2800" s="16" t="s">
        <v>3321</v>
      </c>
      <c r="Y2800" s="27">
        <v>43956</v>
      </c>
    </row>
    <row r="2801" spans="1:28">
      <c r="A2801" s="285"/>
      <c r="C2801" s="25" t="s">
        <v>6439</v>
      </c>
      <c r="D2801" s="2">
        <v>27774</v>
      </c>
      <c r="E2801" s="2" t="s">
        <v>6450</v>
      </c>
      <c r="F2801" s="3">
        <v>29503261400627</v>
      </c>
      <c r="G2801" s="2" t="s">
        <v>34</v>
      </c>
      <c r="H2801" s="2" t="s">
        <v>6451</v>
      </c>
      <c r="I2801" s="2" t="s">
        <v>4315</v>
      </c>
      <c r="J2801" s="4">
        <v>43934</v>
      </c>
      <c r="K2801" s="2" t="s">
        <v>798</v>
      </c>
      <c r="L2801" s="2" t="s">
        <v>12</v>
      </c>
      <c r="M2801" s="2" t="s">
        <v>6452</v>
      </c>
      <c r="R2801" s="77">
        <v>3</v>
      </c>
      <c r="S2801" s="77">
        <v>2</v>
      </c>
      <c r="T2801" s="77">
        <v>1</v>
      </c>
      <c r="U2801" s="77">
        <v>1</v>
      </c>
      <c r="V2801" s="77">
        <v>2.5</v>
      </c>
      <c r="W2801" s="16" t="s">
        <v>3818</v>
      </c>
      <c r="Y2801" s="27">
        <v>43956</v>
      </c>
      <c r="AB2801" s="2" t="s">
        <v>6584</v>
      </c>
    </row>
    <row r="2802" spans="1:28">
      <c r="A2802" s="285"/>
      <c r="C2802" s="25" t="s">
        <v>6439</v>
      </c>
      <c r="D2802" s="2">
        <v>27775</v>
      </c>
      <c r="E2802" s="2" t="s">
        <v>6453</v>
      </c>
      <c r="F2802" s="3">
        <v>29312012609001</v>
      </c>
      <c r="G2802" s="2" t="s">
        <v>34</v>
      </c>
      <c r="H2802" s="2" t="s">
        <v>6454</v>
      </c>
      <c r="I2802" s="2" t="s">
        <v>4315</v>
      </c>
      <c r="J2802" s="4">
        <v>43934</v>
      </c>
      <c r="K2802" s="2" t="s">
        <v>798</v>
      </c>
      <c r="L2802" s="2" t="s">
        <v>12</v>
      </c>
      <c r="M2802" s="2" t="s">
        <v>5942</v>
      </c>
      <c r="R2802" s="77">
        <v>3</v>
      </c>
      <c r="S2802" s="77">
        <v>2</v>
      </c>
      <c r="T2802" s="77">
        <v>2</v>
      </c>
      <c r="U2802" s="77">
        <v>2</v>
      </c>
      <c r="V2802" s="77">
        <v>3</v>
      </c>
      <c r="W2802" s="16" t="s">
        <v>4970</v>
      </c>
      <c r="Y2802" s="27">
        <v>43956</v>
      </c>
      <c r="Z2802" s="16" t="s">
        <v>67</v>
      </c>
    </row>
    <row r="2803" spans="1:28" ht="15.75" thickBot="1">
      <c r="A2803" s="286"/>
      <c r="C2803" s="28" t="s">
        <v>6439</v>
      </c>
      <c r="D2803" s="28">
        <v>27776</v>
      </c>
      <c r="E2803" s="28" t="s">
        <v>6455</v>
      </c>
      <c r="F2803" s="29">
        <v>28810050100895</v>
      </c>
      <c r="G2803" s="28" t="s">
        <v>34</v>
      </c>
      <c r="H2803" s="28" t="s">
        <v>6456</v>
      </c>
      <c r="I2803" s="28" t="s">
        <v>4315</v>
      </c>
      <c r="J2803" s="30">
        <v>43934</v>
      </c>
      <c r="K2803" s="28" t="s">
        <v>798</v>
      </c>
      <c r="L2803" s="28" t="s">
        <v>12</v>
      </c>
      <c r="M2803" s="28" t="s">
        <v>6242</v>
      </c>
      <c r="N2803" s="28"/>
      <c r="O2803" s="226"/>
      <c r="P2803" s="28"/>
      <c r="Q2803" s="226"/>
      <c r="R2803" s="37">
        <v>3</v>
      </c>
      <c r="S2803" s="37">
        <v>2.5</v>
      </c>
      <c r="T2803" s="37">
        <v>2</v>
      </c>
      <c r="U2803" s="37">
        <v>2</v>
      </c>
      <c r="V2803" s="37">
        <v>3</v>
      </c>
      <c r="W2803" s="28" t="s">
        <v>3321</v>
      </c>
      <c r="X2803" s="28"/>
      <c r="Y2803" s="30">
        <v>43956</v>
      </c>
      <c r="Z2803" s="28"/>
      <c r="AA2803" s="30"/>
      <c r="AB2803" s="28"/>
    </row>
    <row r="2804" spans="1:28" ht="15.75" thickTop="1">
      <c r="A2804" s="284" t="s">
        <v>5923</v>
      </c>
      <c r="C2804" s="25">
        <v>172</v>
      </c>
      <c r="D2804" s="25">
        <v>27661</v>
      </c>
      <c r="E2804" s="25" t="s">
        <v>6460</v>
      </c>
      <c r="F2804" s="26">
        <v>29107030101781</v>
      </c>
      <c r="G2804" s="25" t="s">
        <v>34</v>
      </c>
      <c r="H2804" s="25" t="s">
        <v>6467</v>
      </c>
      <c r="I2804" s="25" t="s">
        <v>4315</v>
      </c>
      <c r="J2804" s="27">
        <v>43930</v>
      </c>
      <c r="K2804" s="25" t="s">
        <v>8</v>
      </c>
      <c r="L2804" s="25" t="s">
        <v>12</v>
      </c>
      <c r="M2804" s="25" t="s">
        <v>5940</v>
      </c>
      <c r="N2804" s="25"/>
      <c r="O2804" s="224"/>
      <c r="P2804" s="25"/>
      <c r="Q2804" s="224"/>
      <c r="R2804" s="77">
        <v>3</v>
      </c>
      <c r="S2804" s="77">
        <v>2.5</v>
      </c>
      <c r="T2804" s="77">
        <v>2</v>
      </c>
      <c r="U2804" s="77">
        <v>2.5</v>
      </c>
      <c r="V2804" s="77">
        <v>3</v>
      </c>
      <c r="W2804" s="25" t="s">
        <v>171</v>
      </c>
      <c r="X2804" s="25"/>
      <c r="Y2804" s="27">
        <v>43958</v>
      </c>
      <c r="Z2804" s="25" t="s">
        <v>66</v>
      </c>
      <c r="AA2804" s="27">
        <v>43961</v>
      </c>
      <c r="AB2804" s="25"/>
    </row>
    <row r="2805" spans="1:28">
      <c r="A2805" s="285"/>
      <c r="C2805" s="25">
        <v>172</v>
      </c>
      <c r="D2805" s="2">
        <v>27662</v>
      </c>
      <c r="E2805" s="2" t="s">
        <v>6461</v>
      </c>
      <c r="F2805" s="3">
        <v>29410011600193</v>
      </c>
      <c r="G2805" s="2" t="s">
        <v>34</v>
      </c>
      <c r="H2805" s="2" t="s">
        <v>6468</v>
      </c>
      <c r="I2805" s="2" t="s">
        <v>4315</v>
      </c>
      <c r="J2805" s="4">
        <v>43930</v>
      </c>
      <c r="K2805" s="2" t="s">
        <v>8</v>
      </c>
      <c r="L2805" s="2" t="s">
        <v>12</v>
      </c>
      <c r="M2805" s="2" t="s">
        <v>4257</v>
      </c>
      <c r="R2805" s="77">
        <v>3</v>
      </c>
      <c r="S2805" s="77">
        <v>2.5</v>
      </c>
      <c r="T2805" s="77">
        <v>2</v>
      </c>
      <c r="U2805" s="77">
        <v>2.5</v>
      </c>
      <c r="V2805" s="77">
        <v>3</v>
      </c>
      <c r="W2805" s="16" t="s">
        <v>171</v>
      </c>
      <c r="Y2805" s="27">
        <v>43958</v>
      </c>
      <c r="Z2805" s="16" t="s">
        <v>66</v>
      </c>
      <c r="AA2805" s="7">
        <v>43961</v>
      </c>
    </row>
    <row r="2806" spans="1:28">
      <c r="A2806" s="285"/>
      <c r="C2806" s="25">
        <v>172</v>
      </c>
      <c r="D2806" s="2">
        <v>27663</v>
      </c>
      <c r="E2806" s="2" t="s">
        <v>6462</v>
      </c>
      <c r="F2806" s="3">
        <v>28909041701912</v>
      </c>
      <c r="G2806" s="2" t="s">
        <v>34</v>
      </c>
      <c r="H2806" s="2" t="s">
        <v>6469</v>
      </c>
      <c r="I2806" s="2" t="s">
        <v>4315</v>
      </c>
      <c r="J2806" s="4">
        <v>43930</v>
      </c>
      <c r="K2806" s="2" t="s">
        <v>8</v>
      </c>
      <c r="L2806" s="2" t="s">
        <v>12</v>
      </c>
      <c r="M2806" s="2" t="s">
        <v>6463</v>
      </c>
      <c r="W2806" s="16" t="s">
        <v>64</v>
      </c>
      <c r="Z2806" s="16" t="s">
        <v>67</v>
      </c>
    </row>
    <row r="2807" spans="1:28">
      <c r="A2807" s="285"/>
      <c r="C2807" s="25">
        <v>172</v>
      </c>
      <c r="D2807" s="2">
        <v>27664</v>
      </c>
      <c r="E2807" s="2" t="s">
        <v>6464</v>
      </c>
      <c r="F2807" s="3">
        <v>29212261400711</v>
      </c>
      <c r="G2807" s="2" t="s">
        <v>34</v>
      </c>
      <c r="H2807" s="2" t="s">
        <v>6470</v>
      </c>
      <c r="I2807" s="2" t="s">
        <v>4315</v>
      </c>
      <c r="J2807" s="4">
        <v>43930</v>
      </c>
      <c r="K2807" s="2" t="s">
        <v>8</v>
      </c>
      <c r="L2807" s="2" t="s">
        <v>12</v>
      </c>
      <c r="M2807" s="2" t="s">
        <v>6242</v>
      </c>
      <c r="R2807" s="77">
        <v>3</v>
      </c>
      <c r="S2807" s="77">
        <v>2</v>
      </c>
      <c r="T2807" s="77">
        <v>2</v>
      </c>
      <c r="U2807" s="77">
        <v>2.5</v>
      </c>
      <c r="V2807" s="77">
        <v>3</v>
      </c>
      <c r="W2807" s="16" t="s">
        <v>5714</v>
      </c>
      <c r="X2807" s="2" t="s">
        <v>66</v>
      </c>
      <c r="Y2807" s="27">
        <v>43958</v>
      </c>
      <c r="Z2807" s="16" t="s">
        <v>67</v>
      </c>
    </row>
    <row r="2808" spans="1:28">
      <c r="A2808" s="285"/>
      <c r="C2808" s="25">
        <v>172</v>
      </c>
      <c r="D2808" s="2">
        <v>27665</v>
      </c>
      <c r="E2808" s="2" t="s">
        <v>6465</v>
      </c>
      <c r="F2808" s="3">
        <v>29103142102971</v>
      </c>
      <c r="G2808" s="2" t="s">
        <v>34</v>
      </c>
      <c r="H2808" s="2" t="s">
        <v>6471</v>
      </c>
      <c r="I2808" s="2" t="s">
        <v>4315</v>
      </c>
      <c r="J2808" s="4">
        <v>43930</v>
      </c>
      <c r="K2808" s="2" t="s">
        <v>8</v>
      </c>
      <c r="L2808" s="2" t="s">
        <v>12</v>
      </c>
      <c r="M2808" s="2" t="s">
        <v>5942</v>
      </c>
      <c r="R2808" s="77">
        <v>3</v>
      </c>
      <c r="S2808" s="77">
        <v>2.5</v>
      </c>
      <c r="T2808" s="77">
        <v>2</v>
      </c>
      <c r="U2808" s="77">
        <v>2</v>
      </c>
      <c r="V2808" s="77">
        <v>3</v>
      </c>
      <c r="W2808" s="16" t="s">
        <v>5714</v>
      </c>
      <c r="X2808" s="2" t="s">
        <v>66</v>
      </c>
      <c r="Y2808" s="27">
        <v>43958</v>
      </c>
      <c r="Z2808" s="16" t="s">
        <v>67</v>
      </c>
      <c r="AB2808" s="2" t="s">
        <v>6921</v>
      </c>
    </row>
    <row r="2809" spans="1:28">
      <c r="A2809" s="285"/>
      <c r="C2809" s="25">
        <v>172</v>
      </c>
      <c r="D2809" s="2">
        <v>27666</v>
      </c>
      <c r="E2809" s="2" t="s">
        <v>6466</v>
      </c>
      <c r="F2809" s="3">
        <v>29808021401851</v>
      </c>
      <c r="G2809" s="2" t="s">
        <v>34</v>
      </c>
      <c r="H2809" s="2" t="s">
        <v>6472</v>
      </c>
      <c r="I2809" s="2" t="s">
        <v>4315</v>
      </c>
      <c r="J2809" s="4">
        <v>43930</v>
      </c>
      <c r="K2809" s="2" t="s">
        <v>8</v>
      </c>
      <c r="L2809" s="2" t="s">
        <v>12</v>
      </c>
      <c r="M2809" s="2" t="s">
        <v>6463</v>
      </c>
      <c r="W2809" s="103" t="s">
        <v>64</v>
      </c>
      <c r="Z2809" s="16" t="s">
        <v>67</v>
      </c>
    </row>
    <row r="2810" spans="1:28">
      <c r="A2810" s="285"/>
      <c r="C2810" s="25">
        <v>172</v>
      </c>
      <c r="D2810" s="2">
        <v>27491</v>
      </c>
      <c r="E2810" s="2" t="s">
        <v>6335</v>
      </c>
      <c r="F2810" s="3">
        <v>29612292100099</v>
      </c>
      <c r="G2810" s="2" t="s">
        <v>34</v>
      </c>
      <c r="H2810" s="2" t="s">
        <v>6344</v>
      </c>
      <c r="R2810" s="77">
        <v>3</v>
      </c>
      <c r="S2810" s="77">
        <v>3</v>
      </c>
      <c r="T2810" s="77">
        <v>2</v>
      </c>
      <c r="U2810" s="77">
        <v>2.5</v>
      </c>
      <c r="V2810" s="77">
        <v>3</v>
      </c>
      <c r="W2810" s="16" t="s">
        <v>61</v>
      </c>
      <c r="X2810" s="2" t="s">
        <v>66</v>
      </c>
      <c r="Y2810" s="27">
        <v>43986</v>
      </c>
      <c r="Z2810" s="16" t="s">
        <v>66</v>
      </c>
      <c r="AA2810" s="7">
        <v>43990</v>
      </c>
    </row>
    <row r="2811" spans="1:28">
      <c r="A2811" s="285"/>
      <c r="C2811" s="25">
        <v>172</v>
      </c>
      <c r="D2811" s="2">
        <v>27493</v>
      </c>
      <c r="E2811" s="2" t="s">
        <v>6337</v>
      </c>
      <c r="F2811" s="3">
        <v>29706080103564</v>
      </c>
      <c r="G2811" s="2" t="s">
        <v>34</v>
      </c>
      <c r="H2811" s="2" t="s">
        <v>6346</v>
      </c>
      <c r="R2811" s="77">
        <v>3</v>
      </c>
      <c r="S2811" s="77">
        <v>2.5</v>
      </c>
      <c r="T2811" s="77">
        <v>2.5</v>
      </c>
      <c r="U2811" s="77">
        <v>2.5</v>
      </c>
      <c r="V2811" s="77">
        <v>3</v>
      </c>
      <c r="W2811" s="16" t="s">
        <v>171</v>
      </c>
      <c r="X2811" s="2" t="s">
        <v>66</v>
      </c>
      <c r="Y2811" s="27">
        <v>43986</v>
      </c>
      <c r="Z2811" s="16" t="s">
        <v>66</v>
      </c>
      <c r="AA2811" s="7">
        <v>43990</v>
      </c>
    </row>
    <row r="2812" spans="1:28" ht="15.75" thickBot="1">
      <c r="A2812" s="286"/>
      <c r="C2812" s="28">
        <v>172</v>
      </c>
      <c r="D2812" s="28">
        <v>27489</v>
      </c>
      <c r="E2812" s="28" t="s">
        <v>6333</v>
      </c>
      <c r="F2812" s="29">
        <v>29503100102413</v>
      </c>
      <c r="G2812" s="28" t="s">
        <v>34</v>
      </c>
      <c r="H2812" s="28" t="s">
        <v>6342</v>
      </c>
      <c r="I2812" s="28"/>
      <c r="J2812" s="30"/>
      <c r="K2812" s="28"/>
      <c r="L2812" s="28"/>
      <c r="M2812" s="28"/>
      <c r="N2812" s="28"/>
      <c r="O2812" s="226"/>
      <c r="P2812" s="28"/>
      <c r="Q2812" s="226"/>
      <c r="R2812" s="37">
        <v>3</v>
      </c>
      <c r="S2812" s="37">
        <v>3</v>
      </c>
      <c r="T2812" s="37">
        <v>2</v>
      </c>
      <c r="U2812" s="37">
        <v>2.5</v>
      </c>
      <c r="V2812" s="37">
        <v>3</v>
      </c>
      <c r="W2812" s="28" t="s">
        <v>61</v>
      </c>
      <c r="X2812" s="28"/>
      <c r="Y2812" s="30">
        <v>43958</v>
      </c>
      <c r="Z2812" s="28" t="s">
        <v>66</v>
      </c>
      <c r="AA2812" s="30">
        <v>43961</v>
      </c>
      <c r="AB2812" s="28"/>
    </row>
    <row r="2813" spans="1:28" ht="15.75" thickTop="1">
      <c r="A2813" s="284" t="s">
        <v>1249</v>
      </c>
      <c r="C2813" s="125">
        <v>173</v>
      </c>
      <c r="D2813" s="25">
        <v>27777</v>
      </c>
      <c r="E2813" s="25" t="s">
        <v>6473</v>
      </c>
      <c r="F2813" s="26">
        <v>29412232101089</v>
      </c>
      <c r="G2813" s="25" t="s">
        <v>34</v>
      </c>
      <c r="H2813" s="34" t="s">
        <v>6482</v>
      </c>
      <c r="I2813" s="25" t="s">
        <v>4315</v>
      </c>
      <c r="J2813" s="27">
        <v>43937</v>
      </c>
      <c r="K2813" s="25" t="s">
        <v>8</v>
      </c>
      <c r="L2813" s="25" t="s">
        <v>12</v>
      </c>
      <c r="M2813" s="25" t="s">
        <v>6412</v>
      </c>
      <c r="N2813" s="25"/>
      <c r="O2813" s="224"/>
      <c r="P2813" s="25"/>
      <c r="Q2813" s="224"/>
      <c r="R2813" s="77">
        <v>3</v>
      </c>
      <c r="S2813" s="77">
        <v>3</v>
      </c>
      <c r="T2813" s="77">
        <v>2</v>
      </c>
      <c r="U2813" s="77">
        <v>2</v>
      </c>
      <c r="V2813" s="77">
        <v>3</v>
      </c>
      <c r="W2813" s="103" t="s">
        <v>62</v>
      </c>
      <c r="X2813" s="103" t="s">
        <v>66</v>
      </c>
      <c r="Y2813" s="27">
        <v>43986</v>
      </c>
      <c r="Z2813" s="25"/>
      <c r="AA2813" s="27"/>
      <c r="AB2813" s="25"/>
    </row>
    <row r="2814" spans="1:28">
      <c r="A2814" s="285"/>
      <c r="C2814" s="25">
        <v>173</v>
      </c>
      <c r="D2814" s="2">
        <v>27778</v>
      </c>
      <c r="E2814" s="2" t="s">
        <v>6474</v>
      </c>
      <c r="F2814" s="3">
        <v>29503202100474</v>
      </c>
      <c r="G2814" s="2" t="s">
        <v>34</v>
      </c>
      <c r="H2814" s="8" t="s">
        <v>6483</v>
      </c>
      <c r="I2814" s="2" t="s">
        <v>4315</v>
      </c>
      <c r="J2814" s="4">
        <v>43937</v>
      </c>
      <c r="K2814" s="2" t="s">
        <v>8</v>
      </c>
      <c r="L2814" s="2" t="s">
        <v>12</v>
      </c>
      <c r="M2814" s="2" t="s">
        <v>109</v>
      </c>
      <c r="W2814" s="16" t="s">
        <v>64</v>
      </c>
      <c r="Z2814" s="16" t="s">
        <v>67</v>
      </c>
    </row>
    <row r="2815" spans="1:28">
      <c r="A2815" s="285"/>
      <c r="C2815" s="25">
        <v>173</v>
      </c>
      <c r="D2815" s="2">
        <v>27779</v>
      </c>
      <c r="E2815" s="2" t="s">
        <v>6475</v>
      </c>
      <c r="F2815" s="3">
        <v>29801030101385</v>
      </c>
      <c r="G2815" s="2" t="s">
        <v>34</v>
      </c>
      <c r="H2815" s="8" t="s">
        <v>6484</v>
      </c>
      <c r="I2815" s="2" t="s">
        <v>4315</v>
      </c>
      <c r="J2815" s="4">
        <v>43937</v>
      </c>
      <c r="K2815" s="2" t="s">
        <v>8</v>
      </c>
      <c r="L2815" s="2" t="s">
        <v>12</v>
      </c>
      <c r="M2815" s="2" t="s">
        <v>5942</v>
      </c>
      <c r="R2815" s="77">
        <v>3</v>
      </c>
      <c r="S2815" s="77">
        <v>2.5</v>
      </c>
      <c r="T2815" s="77">
        <v>2.5</v>
      </c>
      <c r="U2815" s="77">
        <v>2.5</v>
      </c>
      <c r="V2815" s="77">
        <v>3</v>
      </c>
      <c r="W2815" s="16" t="s">
        <v>61</v>
      </c>
      <c r="Y2815" s="27">
        <v>43964</v>
      </c>
      <c r="Z2815" s="16" t="s">
        <v>66</v>
      </c>
      <c r="AA2815" s="7">
        <v>43968</v>
      </c>
    </row>
    <row r="2816" spans="1:28">
      <c r="A2816" s="285"/>
      <c r="C2816" s="25">
        <v>173</v>
      </c>
      <c r="D2816" s="2">
        <v>27780</v>
      </c>
      <c r="E2816" s="2" t="s">
        <v>6494</v>
      </c>
      <c r="F2816" s="3">
        <v>29312018801079</v>
      </c>
      <c r="G2816" s="2" t="s">
        <v>34</v>
      </c>
      <c r="H2816" s="8" t="s">
        <v>6485</v>
      </c>
      <c r="I2816" s="2" t="s">
        <v>4315</v>
      </c>
      <c r="J2816" s="4">
        <v>43937</v>
      </c>
      <c r="K2816" s="2" t="s">
        <v>8</v>
      </c>
      <c r="L2816" s="2" t="s">
        <v>12</v>
      </c>
      <c r="M2816" s="2" t="s">
        <v>4257</v>
      </c>
      <c r="R2816" s="77">
        <v>3</v>
      </c>
      <c r="S2816" s="77">
        <v>2.5</v>
      </c>
      <c r="T2816" s="77">
        <v>2</v>
      </c>
      <c r="U2816" s="77">
        <v>2</v>
      </c>
      <c r="V2816" s="77">
        <v>3</v>
      </c>
      <c r="W2816" s="16" t="s">
        <v>62</v>
      </c>
      <c r="Y2816" s="27">
        <v>43964</v>
      </c>
      <c r="Z2816" s="16" t="s">
        <v>66</v>
      </c>
      <c r="AA2816" s="7">
        <v>44003</v>
      </c>
      <c r="AB2816" s="2" t="s">
        <v>6255</v>
      </c>
    </row>
    <row r="2817" spans="1:28">
      <c r="A2817" s="285"/>
      <c r="C2817" s="25">
        <v>173</v>
      </c>
      <c r="D2817" s="2">
        <v>27781</v>
      </c>
      <c r="E2817" s="2" t="s">
        <v>6476</v>
      </c>
      <c r="F2817" s="3">
        <v>29509133400108</v>
      </c>
      <c r="G2817" s="2" t="s">
        <v>34</v>
      </c>
      <c r="H2817" s="8" t="s">
        <v>6486</v>
      </c>
      <c r="I2817" s="2" t="s">
        <v>4315</v>
      </c>
      <c r="J2817" s="4">
        <v>43937</v>
      </c>
      <c r="K2817" s="2" t="s">
        <v>8</v>
      </c>
      <c r="L2817" s="2" t="s">
        <v>12</v>
      </c>
      <c r="M2817" s="2" t="s">
        <v>5942</v>
      </c>
      <c r="R2817" s="77">
        <v>3</v>
      </c>
      <c r="S2817" s="77">
        <v>2.5</v>
      </c>
      <c r="T2817" s="77">
        <v>2</v>
      </c>
      <c r="U2817" s="77">
        <v>2.5</v>
      </c>
      <c r="V2817" s="77">
        <v>3</v>
      </c>
      <c r="W2817" s="103" t="s">
        <v>171</v>
      </c>
      <c r="X2817" s="103" t="s">
        <v>66</v>
      </c>
      <c r="Y2817" s="27">
        <v>43986</v>
      </c>
      <c r="Z2817" s="16" t="s">
        <v>66</v>
      </c>
      <c r="AA2817" s="7">
        <v>43990</v>
      </c>
    </row>
    <row r="2818" spans="1:28">
      <c r="A2818" s="285"/>
      <c r="C2818" s="25">
        <v>173</v>
      </c>
      <c r="D2818" s="2">
        <v>27782</v>
      </c>
      <c r="E2818" s="2" t="s">
        <v>6477</v>
      </c>
      <c r="F2818" s="3">
        <v>29211258800133</v>
      </c>
      <c r="G2818" s="2" t="s">
        <v>34</v>
      </c>
      <c r="H2818" s="8" t="s">
        <v>6487</v>
      </c>
      <c r="I2818" s="2" t="s">
        <v>4315</v>
      </c>
      <c r="J2818" s="4">
        <v>43937</v>
      </c>
      <c r="K2818" s="2" t="s">
        <v>8</v>
      </c>
      <c r="L2818" s="2" t="s">
        <v>12</v>
      </c>
      <c r="M2818" s="2" t="s">
        <v>109</v>
      </c>
      <c r="R2818" s="77">
        <v>3</v>
      </c>
      <c r="S2818" s="77">
        <v>2.5</v>
      </c>
      <c r="T2818" s="77">
        <v>2</v>
      </c>
      <c r="U2818" s="77">
        <v>2.5</v>
      </c>
      <c r="V2818" s="77">
        <v>3</v>
      </c>
      <c r="W2818" s="16" t="s">
        <v>171</v>
      </c>
      <c r="Y2818" s="27">
        <v>43964</v>
      </c>
      <c r="Z2818" s="16" t="s">
        <v>66</v>
      </c>
      <c r="AA2818" s="7">
        <v>43968</v>
      </c>
    </row>
    <row r="2819" spans="1:28">
      <c r="A2819" s="285"/>
      <c r="C2819" s="25">
        <v>173</v>
      </c>
      <c r="D2819" s="2">
        <v>27783</v>
      </c>
      <c r="E2819" s="2" t="s">
        <v>6478</v>
      </c>
      <c r="F2819" s="3" t="s">
        <v>6479</v>
      </c>
      <c r="G2819" s="2" t="s">
        <v>34</v>
      </c>
      <c r="H2819" s="8" t="s">
        <v>6488</v>
      </c>
      <c r="I2819" s="2" t="s">
        <v>4315</v>
      </c>
      <c r="J2819" s="4">
        <v>43937</v>
      </c>
      <c r="K2819" s="2" t="s">
        <v>8</v>
      </c>
      <c r="L2819" s="2" t="s">
        <v>12</v>
      </c>
      <c r="M2819" s="2" t="s">
        <v>6412</v>
      </c>
      <c r="R2819" s="77">
        <v>3</v>
      </c>
      <c r="S2819" s="77">
        <v>2.5</v>
      </c>
      <c r="T2819" s="77">
        <v>2.5</v>
      </c>
      <c r="U2819" s="77">
        <v>2</v>
      </c>
      <c r="V2819" s="77">
        <v>3</v>
      </c>
      <c r="W2819" s="16" t="s">
        <v>62</v>
      </c>
      <c r="Y2819" s="27">
        <v>43964</v>
      </c>
      <c r="Z2819" s="16" t="s">
        <v>66</v>
      </c>
      <c r="AA2819" s="7">
        <v>44017</v>
      </c>
      <c r="AB2819" s="2" t="s">
        <v>4411</v>
      </c>
    </row>
    <row r="2820" spans="1:28" ht="15.75" thickBot="1">
      <c r="A2820" s="286"/>
      <c r="C2820" s="38">
        <v>173</v>
      </c>
      <c r="D2820" s="28">
        <v>27934</v>
      </c>
      <c r="E2820" s="28" t="s">
        <v>6480</v>
      </c>
      <c r="F2820" s="29" t="s">
        <v>6481</v>
      </c>
      <c r="G2820" s="28" t="s">
        <v>34</v>
      </c>
      <c r="H2820" s="78" t="s">
        <v>6489</v>
      </c>
      <c r="I2820" s="28" t="s">
        <v>4315</v>
      </c>
      <c r="J2820" s="30">
        <v>43937</v>
      </c>
      <c r="K2820" s="28" t="s">
        <v>8</v>
      </c>
      <c r="L2820" s="28" t="s">
        <v>12</v>
      </c>
      <c r="M2820" s="28" t="s">
        <v>109</v>
      </c>
      <c r="N2820" s="28"/>
      <c r="O2820" s="226"/>
      <c r="P2820" s="28"/>
      <c r="Q2820" s="226"/>
      <c r="R2820" s="37">
        <v>3</v>
      </c>
      <c r="S2820" s="37">
        <v>2.5</v>
      </c>
      <c r="T2820" s="37">
        <v>1.5</v>
      </c>
      <c r="U2820" s="37">
        <v>2</v>
      </c>
      <c r="V2820" s="37">
        <v>3</v>
      </c>
      <c r="W2820" s="28" t="s">
        <v>3321</v>
      </c>
      <c r="X2820" s="28"/>
      <c r="Y2820" s="30">
        <v>43964</v>
      </c>
      <c r="Z2820" s="28" t="s">
        <v>67</v>
      </c>
      <c r="AA2820" s="30"/>
      <c r="AB2820" s="28" t="s">
        <v>4937</v>
      </c>
    </row>
    <row r="2821" spans="1:28" ht="15.75" thickTop="1">
      <c r="A2821" s="284" t="s">
        <v>4519</v>
      </c>
      <c r="C2821" s="25">
        <v>174</v>
      </c>
      <c r="D2821" s="25">
        <v>27784</v>
      </c>
      <c r="E2821" s="25" t="s">
        <v>6495</v>
      </c>
      <c r="F2821" s="26">
        <v>29905060100251</v>
      </c>
      <c r="G2821" s="25" t="s">
        <v>5890</v>
      </c>
      <c r="H2821" s="25" t="s">
        <v>6496</v>
      </c>
      <c r="I2821" s="25" t="s">
        <v>4315</v>
      </c>
      <c r="J2821" s="27">
        <v>43944</v>
      </c>
      <c r="K2821" s="25" t="s">
        <v>8</v>
      </c>
      <c r="L2821" s="25" t="s">
        <v>12</v>
      </c>
      <c r="M2821" s="25" t="s">
        <v>6497</v>
      </c>
      <c r="N2821" s="25"/>
      <c r="O2821" s="224"/>
      <c r="P2821" s="25"/>
      <c r="Q2821" s="224"/>
      <c r="R2821" s="77">
        <v>3</v>
      </c>
      <c r="S2821" s="77">
        <v>2.5</v>
      </c>
      <c r="T2821" s="77">
        <v>2</v>
      </c>
      <c r="U2821" s="77">
        <v>2.5</v>
      </c>
      <c r="V2821" s="77">
        <v>3</v>
      </c>
      <c r="W2821" s="25" t="s">
        <v>171</v>
      </c>
      <c r="X2821" s="25"/>
      <c r="Y2821" s="27">
        <v>43972</v>
      </c>
      <c r="Z2821" s="25" t="s">
        <v>66</v>
      </c>
      <c r="AA2821" s="27">
        <v>43990</v>
      </c>
      <c r="AB2821" s="25"/>
    </row>
    <row r="2822" spans="1:28">
      <c r="A2822" s="285"/>
      <c r="C2822" s="25">
        <v>174</v>
      </c>
      <c r="D2822" s="2">
        <v>27785</v>
      </c>
      <c r="E2822" s="2" t="s">
        <v>6498</v>
      </c>
      <c r="F2822" s="3">
        <v>29708192102865</v>
      </c>
      <c r="G2822" s="2" t="s">
        <v>34</v>
      </c>
      <c r="H2822" s="2" t="s">
        <v>6499</v>
      </c>
      <c r="I2822" s="2" t="s">
        <v>4315</v>
      </c>
      <c r="J2822" s="4">
        <v>43944</v>
      </c>
      <c r="K2822" s="2" t="s">
        <v>8</v>
      </c>
      <c r="L2822" s="2" t="s">
        <v>12</v>
      </c>
      <c r="M2822" s="2" t="s">
        <v>6500</v>
      </c>
      <c r="W2822" s="16" t="s">
        <v>64</v>
      </c>
      <c r="Z2822" s="16" t="s">
        <v>67</v>
      </c>
    </row>
    <row r="2823" spans="1:28">
      <c r="A2823" s="285"/>
      <c r="C2823" s="25">
        <v>174</v>
      </c>
      <c r="D2823" s="2">
        <v>27786</v>
      </c>
      <c r="E2823" s="2" t="s">
        <v>6501</v>
      </c>
      <c r="F2823" s="3">
        <v>29508271900417</v>
      </c>
      <c r="G2823" s="2" t="s">
        <v>34</v>
      </c>
      <c r="H2823" s="2" t="s">
        <v>6502</v>
      </c>
      <c r="I2823" s="2" t="s">
        <v>4315</v>
      </c>
      <c r="J2823" s="4">
        <v>43944</v>
      </c>
      <c r="K2823" s="2" t="s">
        <v>8</v>
      </c>
      <c r="L2823" s="2" t="s">
        <v>12</v>
      </c>
      <c r="M2823" s="2" t="s">
        <v>6500</v>
      </c>
      <c r="R2823" s="77">
        <v>3</v>
      </c>
      <c r="S2823" s="77">
        <v>2.5</v>
      </c>
      <c r="T2823" s="77">
        <v>2</v>
      </c>
      <c r="U2823" s="77">
        <v>2.5</v>
      </c>
      <c r="V2823" s="77">
        <v>3</v>
      </c>
      <c r="W2823" s="25" t="s">
        <v>171</v>
      </c>
      <c r="X2823" s="2" t="s">
        <v>66</v>
      </c>
      <c r="Y2823" s="27">
        <v>43986</v>
      </c>
      <c r="Z2823" s="16" t="s">
        <v>66</v>
      </c>
      <c r="AA2823" s="7">
        <v>43990</v>
      </c>
    </row>
    <row r="2824" spans="1:28">
      <c r="A2824" s="285"/>
      <c r="C2824" s="25">
        <v>174</v>
      </c>
      <c r="D2824" s="2">
        <v>27787</v>
      </c>
      <c r="E2824" s="2" t="s">
        <v>6503</v>
      </c>
      <c r="F2824" s="3">
        <v>29211248800534</v>
      </c>
      <c r="G2824" s="2" t="s">
        <v>34</v>
      </c>
      <c r="H2824" s="2" t="s">
        <v>6504</v>
      </c>
      <c r="I2824" s="2" t="s">
        <v>4315</v>
      </c>
      <c r="J2824" s="4">
        <v>43944</v>
      </c>
      <c r="K2824" s="2" t="s">
        <v>8</v>
      </c>
      <c r="L2824" s="2" t="s">
        <v>12</v>
      </c>
      <c r="M2824" s="2" t="s">
        <v>109</v>
      </c>
      <c r="R2824" s="77">
        <v>3</v>
      </c>
      <c r="S2824" s="77">
        <v>3</v>
      </c>
      <c r="T2824" s="77">
        <v>2</v>
      </c>
      <c r="U2824" s="77">
        <v>2.5</v>
      </c>
      <c r="V2824" s="77">
        <v>3</v>
      </c>
      <c r="W2824" s="16" t="s">
        <v>61</v>
      </c>
      <c r="Y2824" s="27">
        <v>43972</v>
      </c>
      <c r="Z2824" s="16" t="s">
        <v>67</v>
      </c>
      <c r="AB2824" s="2" t="s">
        <v>6983</v>
      </c>
    </row>
    <row r="2825" spans="1:28">
      <c r="A2825" s="285"/>
      <c r="C2825" s="25">
        <v>174</v>
      </c>
      <c r="D2825" s="2">
        <v>27788</v>
      </c>
      <c r="E2825" s="2" t="s">
        <v>6505</v>
      </c>
      <c r="F2825" s="3">
        <v>29511188800312</v>
      </c>
      <c r="G2825" s="2" t="s">
        <v>34</v>
      </c>
      <c r="H2825" s="2" t="s">
        <v>6506</v>
      </c>
      <c r="I2825" s="2" t="s">
        <v>4315</v>
      </c>
      <c r="J2825" s="4">
        <v>43944</v>
      </c>
      <c r="K2825" s="2" t="s">
        <v>8</v>
      </c>
      <c r="L2825" s="2" t="s">
        <v>12</v>
      </c>
      <c r="M2825" s="2" t="s">
        <v>6497</v>
      </c>
      <c r="R2825" s="77">
        <v>3</v>
      </c>
      <c r="S2825" s="77">
        <v>2.5</v>
      </c>
      <c r="T2825" s="77">
        <v>2.5</v>
      </c>
      <c r="U2825" s="77">
        <v>2.5</v>
      </c>
      <c r="V2825" s="77">
        <v>3</v>
      </c>
      <c r="W2825" s="16" t="s">
        <v>61</v>
      </c>
      <c r="Y2825" s="27">
        <v>43972</v>
      </c>
      <c r="Z2825" s="16" t="s">
        <v>66</v>
      </c>
      <c r="AA2825" s="7">
        <v>43990</v>
      </c>
    </row>
    <row r="2826" spans="1:28">
      <c r="A2826" s="285"/>
      <c r="C2826" s="25">
        <v>174</v>
      </c>
      <c r="D2826" s="2">
        <v>27789</v>
      </c>
      <c r="E2826" s="2" t="s">
        <v>6507</v>
      </c>
      <c r="F2826" s="3">
        <v>300009010106666</v>
      </c>
      <c r="G2826" s="2" t="s">
        <v>6508</v>
      </c>
      <c r="H2826" s="2" t="s">
        <v>6509</v>
      </c>
      <c r="I2826" s="2" t="s">
        <v>4315</v>
      </c>
      <c r="J2826" s="4">
        <v>43944</v>
      </c>
      <c r="K2826" s="2" t="s">
        <v>8</v>
      </c>
      <c r="L2826" s="2" t="s">
        <v>12</v>
      </c>
      <c r="M2826" s="2" t="s">
        <v>6497</v>
      </c>
      <c r="R2826" s="77">
        <v>3</v>
      </c>
      <c r="S2826" s="77">
        <v>2.5</v>
      </c>
      <c r="T2826" s="77">
        <v>2.5</v>
      </c>
      <c r="U2826" s="77">
        <v>2.5</v>
      </c>
      <c r="V2826" s="77">
        <v>3</v>
      </c>
      <c r="W2826" s="103" t="s">
        <v>61</v>
      </c>
      <c r="X2826" s="2" t="s">
        <v>66</v>
      </c>
      <c r="Y2826" s="27">
        <v>43986</v>
      </c>
      <c r="Z2826" s="16" t="s">
        <v>67</v>
      </c>
      <c r="AB2826" s="2" t="s">
        <v>3924</v>
      </c>
    </row>
    <row r="2827" spans="1:28">
      <c r="A2827" s="285"/>
      <c r="C2827" s="25">
        <v>174</v>
      </c>
      <c r="D2827" s="2">
        <v>27790</v>
      </c>
      <c r="E2827" s="2" t="s">
        <v>6510</v>
      </c>
      <c r="F2827" s="3">
        <v>29602130101878</v>
      </c>
      <c r="G2827" s="2" t="s">
        <v>34</v>
      </c>
      <c r="H2827" s="2" t="s">
        <v>6511</v>
      </c>
      <c r="I2827" s="2" t="s">
        <v>4315</v>
      </c>
      <c r="J2827" s="4">
        <v>43944</v>
      </c>
      <c r="K2827" s="2" t="s">
        <v>8</v>
      </c>
      <c r="L2827" s="2" t="s">
        <v>12</v>
      </c>
      <c r="M2827" s="2" t="s">
        <v>6242</v>
      </c>
      <c r="R2827" s="77">
        <v>3</v>
      </c>
      <c r="S2827" s="77">
        <v>2.5</v>
      </c>
      <c r="T2827" s="77">
        <v>2</v>
      </c>
      <c r="U2827" s="77">
        <v>1.5</v>
      </c>
      <c r="V2827" s="77">
        <v>3</v>
      </c>
      <c r="W2827" s="16" t="s">
        <v>3321</v>
      </c>
      <c r="Y2827" s="27">
        <v>43972</v>
      </c>
    </row>
    <row r="2828" spans="1:28">
      <c r="A2828" s="285"/>
      <c r="C2828" s="25">
        <v>174</v>
      </c>
      <c r="D2828" s="2">
        <v>27791</v>
      </c>
      <c r="E2828" s="2" t="s">
        <v>6512</v>
      </c>
      <c r="F2828" s="3">
        <v>29308252104996</v>
      </c>
      <c r="G2828" s="2" t="s">
        <v>34</v>
      </c>
      <c r="H2828" s="2" t="s">
        <v>6513</v>
      </c>
      <c r="I2828" s="2" t="s">
        <v>4315</v>
      </c>
      <c r="J2828" s="4">
        <v>43944</v>
      </c>
      <c r="K2828" s="2" t="s">
        <v>8</v>
      </c>
      <c r="L2828" s="2" t="s">
        <v>12</v>
      </c>
      <c r="M2828" s="2" t="s">
        <v>5126</v>
      </c>
      <c r="R2828" s="77">
        <v>3</v>
      </c>
      <c r="S2828" s="77">
        <v>2.5</v>
      </c>
      <c r="T2828" s="77">
        <v>2.5</v>
      </c>
      <c r="U2828" s="77">
        <v>2</v>
      </c>
      <c r="V2828" s="77">
        <v>3</v>
      </c>
      <c r="W2828" s="16" t="s">
        <v>4212</v>
      </c>
      <c r="X2828" s="2" t="s">
        <v>66</v>
      </c>
      <c r="Y2828" s="27">
        <v>43993</v>
      </c>
      <c r="Z2828" s="16" t="s">
        <v>66</v>
      </c>
      <c r="AA2828" s="7">
        <v>44004</v>
      </c>
    </row>
    <row r="2829" spans="1:28" ht="15.75" thickBot="1">
      <c r="A2829" s="286"/>
      <c r="C2829" s="28">
        <v>174</v>
      </c>
      <c r="D2829" s="28">
        <v>27792</v>
      </c>
      <c r="E2829" s="28" t="s">
        <v>6514</v>
      </c>
      <c r="F2829" s="29">
        <v>29011060101796</v>
      </c>
      <c r="G2829" s="28" t="s">
        <v>34</v>
      </c>
      <c r="H2829" s="28" t="s">
        <v>6515</v>
      </c>
      <c r="I2829" s="28" t="s">
        <v>4315</v>
      </c>
      <c r="J2829" s="30">
        <v>43944</v>
      </c>
      <c r="K2829" s="28" t="s">
        <v>8</v>
      </c>
      <c r="L2829" s="28" t="s">
        <v>12</v>
      </c>
      <c r="M2829" s="28" t="s">
        <v>6242</v>
      </c>
      <c r="N2829" s="28"/>
      <c r="O2829" s="226"/>
      <c r="P2829" s="28"/>
      <c r="Q2829" s="226"/>
      <c r="R2829" s="37">
        <v>3</v>
      </c>
      <c r="S2829" s="37">
        <v>2</v>
      </c>
      <c r="T2829" s="37">
        <v>2</v>
      </c>
      <c r="U2829" s="37">
        <v>2</v>
      </c>
      <c r="V2829" s="37">
        <v>3</v>
      </c>
      <c r="W2829" s="28" t="s">
        <v>3321</v>
      </c>
      <c r="X2829" s="28"/>
      <c r="Y2829" s="30">
        <v>43972</v>
      </c>
      <c r="Z2829" s="28" t="s">
        <v>66</v>
      </c>
      <c r="AA2829" s="30">
        <v>44003</v>
      </c>
      <c r="AB2829" s="28" t="s">
        <v>6255</v>
      </c>
    </row>
    <row r="2830" spans="1:28" ht="15.75" thickTop="1">
      <c r="A2830" s="284" t="s">
        <v>5262</v>
      </c>
      <c r="C2830" s="25">
        <v>175</v>
      </c>
      <c r="D2830" s="25">
        <v>27935</v>
      </c>
      <c r="E2830" s="25" t="s">
        <v>6521</v>
      </c>
      <c r="F2830" s="26">
        <v>29310110101781</v>
      </c>
      <c r="G2830" s="25" t="s">
        <v>34</v>
      </c>
      <c r="H2830" s="34" t="s">
        <v>6529</v>
      </c>
      <c r="I2830" s="25" t="s">
        <v>4315</v>
      </c>
      <c r="J2830" s="27">
        <v>43961</v>
      </c>
      <c r="K2830" s="25" t="s">
        <v>8</v>
      </c>
      <c r="L2830" s="25" t="s">
        <v>12</v>
      </c>
      <c r="M2830" s="25" t="s">
        <v>4257</v>
      </c>
      <c r="N2830" s="25"/>
      <c r="O2830" s="224"/>
      <c r="P2830" s="25"/>
      <c r="Q2830" s="224"/>
      <c r="R2830" s="77">
        <v>3</v>
      </c>
      <c r="S2830" s="77">
        <v>2</v>
      </c>
      <c r="T2830" s="77">
        <v>2.5</v>
      </c>
      <c r="U2830" s="77">
        <v>2</v>
      </c>
      <c r="V2830" s="77">
        <v>3</v>
      </c>
      <c r="W2830" s="103" t="s">
        <v>62</v>
      </c>
      <c r="X2830" s="103" t="s">
        <v>66</v>
      </c>
      <c r="Y2830" s="27">
        <v>44026</v>
      </c>
      <c r="Z2830" s="25" t="s">
        <v>66</v>
      </c>
      <c r="AA2830" s="27">
        <v>44089</v>
      </c>
      <c r="AB2830" s="25" t="s">
        <v>6780</v>
      </c>
    </row>
    <row r="2831" spans="1:28">
      <c r="A2831" s="285"/>
      <c r="C2831" s="25">
        <v>175</v>
      </c>
      <c r="D2831" s="2">
        <v>27936</v>
      </c>
      <c r="E2831" s="2" t="s">
        <v>6522</v>
      </c>
      <c r="F2831" s="3">
        <v>29105200100412</v>
      </c>
      <c r="G2831" s="2" t="s">
        <v>34</v>
      </c>
      <c r="H2831" s="8" t="s">
        <v>6530</v>
      </c>
      <c r="I2831" s="2" t="s">
        <v>4315</v>
      </c>
      <c r="J2831" s="4">
        <v>43961</v>
      </c>
      <c r="K2831" s="2" t="s">
        <v>8</v>
      </c>
      <c r="L2831" s="2" t="s">
        <v>12</v>
      </c>
      <c r="M2831" s="2" t="s">
        <v>6412</v>
      </c>
      <c r="R2831" s="77">
        <v>3</v>
      </c>
      <c r="S2831" s="77">
        <v>2.5</v>
      </c>
      <c r="T2831" s="77">
        <v>2.5</v>
      </c>
      <c r="U2831" s="77">
        <v>2.5</v>
      </c>
      <c r="V2831" s="77">
        <v>3</v>
      </c>
      <c r="W2831" s="16" t="s">
        <v>4212</v>
      </c>
      <c r="Y2831" s="27">
        <v>43992</v>
      </c>
      <c r="Z2831" s="16" t="s">
        <v>66</v>
      </c>
      <c r="AA2831" s="7">
        <v>44004</v>
      </c>
    </row>
    <row r="2832" spans="1:28">
      <c r="A2832" s="285"/>
      <c r="C2832" s="25">
        <v>175</v>
      </c>
      <c r="D2832" s="2">
        <v>27937</v>
      </c>
      <c r="E2832" s="2" t="s">
        <v>6523</v>
      </c>
      <c r="F2832" s="3">
        <v>29001010111612</v>
      </c>
      <c r="G2832" s="2" t="s">
        <v>4025</v>
      </c>
      <c r="H2832" s="8" t="s">
        <v>6531</v>
      </c>
      <c r="I2832" s="2" t="s">
        <v>4315</v>
      </c>
      <c r="J2832" s="4">
        <v>43961</v>
      </c>
      <c r="K2832" s="2" t="s">
        <v>8</v>
      </c>
      <c r="L2832" s="2" t="s">
        <v>12</v>
      </c>
      <c r="M2832" s="2" t="s">
        <v>6497</v>
      </c>
      <c r="R2832" s="77">
        <v>3</v>
      </c>
      <c r="S2832" s="77">
        <v>2.5</v>
      </c>
      <c r="T2832" s="77">
        <v>2.5</v>
      </c>
      <c r="U2832" s="77">
        <v>2.5</v>
      </c>
      <c r="V2832" s="77">
        <v>3</v>
      </c>
      <c r="W2832" s="103" t="s">
        <v>61</v>
      </c>
      <c r="X2832" s="103" t="s">
        <v>66</v>
      </c>
      <c r="Y2832" s="27">
        <v>44026</v>
      </c>
      <c r="Z2832" s="16" t="s">
        <v>66</v>
      </c>
      <c r="AA2832" s="7">
        <v>44059</v>
      </c>
    </row>
    <row r="2833" spans="1:28">
      <c r="A2833" s="285"/>
      <c r="C2833" s="25">
        <v>175</v>
      </c>
      <c r="D2833" s="2">
        <v>27938</v>
      </c>
      <c r="E2833" s="2" t="s">
        <v>6524</v>
      </c>
      <c r="F2833" s="3">
        <v>29305010111441</v>
      </c>
      <c r="G2833" s="2" t="s">
        <v>34</v>
      </c>
      <c r="H2833" s="8" t="s">
        <v>6532</v>
      </c>
      <c r="I2833" s="2" t="s">
        <v>4315</v>
      </c>
      <c r="J2833" s="4">
        <v>43961</v>
      </c>
      <c r="K2833" s="2" t="s">
        <v>8</v>
      </c>
      <c r="L2833" s="2" t="s">
        <v>12</v>
      </c>
      <c r="M2833" s="2" t="s">
        <v>5982</v>
      </c>
      <c r="W2833" s="16" t="s">
        <v>64</v>
      </c>
      <c r="Z2833" s="16" t="s">
        <v>67</v>
      </c>
    </row>
    <row r="2834" spans="1:28">
      <c r="A2834" s="285"/>
      <c r="C2834" s="25">
        <v>175</v>
      </c>
      <c r="D2834" s="2">
        <v>27939</v>
      </c>
      <c r="E2834" s="2" t="s">
        <v>6525</v>
      </c>
      <c r="F2834" s="3">
        <v>29504042100738</v>
      </c>
      <c r="G2834" s="2" t="s">
        <v>34</v>
      </c>
      <c r="H2834" s="8" t="s">
        <v>6533</v>
      </c>
      <c r="I2834" s="2" t="s">
        <v>4315</v>
      </c>
      <c r="J2834" s="4">
        <v>43961</v>
      </c>
      <c r="K2834" s="2" t="s">
        <v>8</v>
      </c>
      <c r="L2834" s="2" t="s">
        <v>12</v>
      </c>
      <c r="M2834" s="2" t="s">
        <v>109</v>
      </c>
      <c r="R2834" s="77">
        <v>3</v>
      </c>
      <c r="S2834" s="77">
        <v>2.5</v>
      </c>
      <c r="T2834" s="77">
        <v>2.5</v>
      </c>
      <c r="U2834" s="77">
        <v>2.5</v>
      </c>
      <c r="V2834" s="77">
        <v>3</v>
      </c>
      <c r="W2834" s="103" t="s">
        <v>502</v>
      </c>
      <c r="X2834" s="103" t="s">
        <v>66</v>
      </c>
      <c r="Y2834" s="27">
        <v>44026</v>
      </c>
      <c r="Z2834" s="16" t="s">
        <v>66</v>
      </c>
      <c r="AA2834" s="7">
        <v>44066</v>
      </c>
    </row>
    <row r="2835" spans="1:28">
      <c r="A2835" s="285"/>
      <c r="C2835" s="25">
        <v>175</v>
      </c>
      <c r="D2835" s="2">
        <v>27940</v>
      </c>
      <c r="E2835" s="2" t="s">
        <v>6526</v>
      </c>
      <c r="F2835" s="3" t="s">
        <v>6527</v>
      </c>
      <c r="G2835" s="2" t="s">
        <v>34</v>
      </c>
      <c r="H2835" s="8" t="s">
        <v>6534</v>
      </c>
      <c r="I2835" s="2" t="s">
        <v>4315</v>
      </c>
      <c r="J2835" s="4">
        <v>43961</v>
      </c>
      <c r="K2835" s="2" t="s">
        <v>8</v>
      </c>
      <c r="L2835" s="2" t="s">
        <v>12</v>
      </c>
      <c r="M2835" s="2" t="s">
        <v>6412</v>
      </c>
      <c r="R2835" s="77">
        <v>3</v>
      </c>
      <c r="S2835" s="77">
        <v>3</v>
      </c>
      <c r="T2835" s="77">
        <v>2.5</v>
      </c>
      <c r="U2835" s="77">
        <v>2.5</v>
      </c>
      <c r="V2835" s="77">
        <v>3</v>
      </c>
      <c r="W2835" s="16" t="s">
        <v>6585</v>
      </c>
      <c r="Y2835" s="27">
        <v>43992</v>
      </c>
      <c r="Z2835" s="16" t="s">
        <v>67</v>
      </c>
      <c r="AB2835" s="2" t="s">
        <v>3924</v>
      </c>
    </row>
    <row r="2836" spans="1:28">
      <c r="A2836" s="285"/>
      <c r="C2836" s="25">
        <v>175</v>
      </c>
      <c r="D2836" s="2">
        <v>27941</v>
      </c>
      <c r="E2836" s="2" t="s">
        <v>6528</v>
      </c>
      <c r="F2836" s="3">
        <v>29706208800603</v>
      </c>
      <c r="G2836" s="2" t="s">
        <v>34</v>
      </c>
      <c r="H2836" s="8" t="s">
        <v>6535</v>
      </c>
      <c r="I2836" s="2" t="s">
        <v>4315</v>
      </c>
      <c r="J2836" s="4">
        <v>43961</v>
      </c>
      <c r="K2836" s="2" t="s">
        <v>8</v>
      </c>
      <c r="L2836" s="2" t="s">
        <v>12</v>
      </c>
      <c r="M2836" s="2" t="s">
        <v>53</v>
      </c>
      <c r="R2836" s="77">
        <v>3</v>
      </c>
      <c r="S2836" s="77">
        <v>2</v>
      </c>
      <c r="T2836" s="77">
        <v>2</v>
      </c>
      <c r="U2836" s="77">
        <v>1.5</v>
      </c>
      <c r="V2836" s="77">
        <v>3</v>
      </c>
      <c r="W2836" s="16" t="s">
        <v>3321</v>
      </c>
      <c r="Y2836" s="27">
        <v>43992</v>
      </c>
    </row>
    <row r="2837" spans="1:28">
      <c r="A2837" s="285"/>
      <c r="C2837" s="25">
        <v>175</v>
      </c>
      <c r="D2837" s="2">
        <v>27762</v>
      </c>
      <c r="E2837" s="2" t="s">
        <v>6422</v>
      </c>
      <c r="F2837" s="3">
        <v>29607270101578</v>
      </c>
      <c r="G2837" s="2" t="s">
        <v>34</v>
      </c>
      <c r="H2837" s="8" t="s">
        <v>6431</v>
      </c>
      <c r="R2837" s="77">
        <v>3</v>
      </c>
      <c r="S2837" s="77">
        <v>3</v>
      </c>
      <c r="T2837" s="77">
        <v>2.5</v>
      </c>
      <c r="U2837" s="77">
        <v>2.5</v>
      </c>
      <c r="V2837" s="77">
        <v>3</v>
      </c>
      <c r="W2837" s="16" t="s">
        <v>4212</v>
      </c>
      <c r="Y2837" s="27">
        <v>43992</v>
      </c>
      <c r="Z2837" s="16" t="s">
        <v>66</v>
      </c>
      <c r="AA2837" s="7">
        <v>44004</v>
      </c>
    </row>
    <row r="2838" spans="1:28">
      <c r="A2838" s="285"/>
      <c r="C2838" s="25">
        <v>175</v>
      </c>
      <c r="D2838" s="2">
        <v>27766</v>
      </c>
      <c r="E2838" s="2" t="s">
        <v>6426</v>
      </c>
      <c r="F2838" s="3">
        <v>29505162400031</v>
      </c>
      <c r="G2838" s="2" t="s">
        <v>34</v>
      </c>
      <c r="H2838" s="2" t="s">
        <v>6435</v>
      </c>
      <c r="R2838" s="77">
        <v>3</v>
      </c>
      <c r="S2838" s="77">
        <v>2.5</v>
      </c>
      <c r="T2838" s="77">
        <v>2</v>
      </c>
      <c r="U2838" s="77">
        <v>2.5</v>
      </c>
      <c r="V2838" s="77">
        <v>3</v>
      </c>
      <c r="W2838" s="16" t="s">
        <v>171</v>
      </c>
      <c r="Y2838" s="27">
        <v>43992</v>
      </c>
      <c r="Z2838" s="16" t="s">
        <v>67</v>
      </c>
      <c r="AB2838" s="2" t="s">
        <v>3924</v>
      </c>
    </row>
    <row r="2839" spans="1:28" ht="15.75" thickBot="1">
      <c r="A2839" s="286"/>
      <c r="C2839" s="28">
        <v>175</v>
      </c>
      <c r="D2839" s="28">
        <v>27775</v>
      </c>
      <c r="E2839" s="28" t="s">
        <v>6453</v>
      </c>
      <c r="F2839" s="29">
        <v>29312012609001</v>
      </c>
      <c r="G2839" s="28" t="s">
        <v>34</v>
      </c>
      <c r="H2839" s="28" t="s">
        <v>6454</v>
      </c>
      <c r="I2839" s="28"/>
      <c r="J2839" s="30"/>
      <c r="K2839" s="28"/>
      <c r="L2839" s="28"/>
      <c r="M2839" s="28"/>
      <c r="N2839" s="28"/>
      <c r="O2839" s="226"/>
      <c r="P2839" s="28"/>
      <c r="Q2839" s="226"/>
      <c r="R2839" s="28"/>
      <c r="S2839" s="28"/>
      <c r="T2839" s="28"/>
      <c r="U2839" s="28"/>
      <c r="V2839" s="28"/>
      <c r="W2839" s="28" t="s">
        <v>64</v>
      </c>
      <c r="X2839" s="28"/>
      <c r="Y2839" s="30"/>
      <c r="Z2839" s="28" t="s">
        <v>67</v>
      </c>
      <c r="AA2839" s="30"/>
      <c r="AB2839" s="28"/>
    </row>
    <row r="2840" spans="1:28" ht="15.75" thickTop="1">
      <c r="A2840" s="284" t="s">
        <v>4077</v>
      </c>
      <c r="C2840" s="25">
        <v>176</v>
      </c>
      <c r="D2840" s="25">
        <v>27942</v>
      </c>
      <c r="E2840" s="103" t="s">
        <v>6536</v>
      </c>
      <c r="F2840" s="26" t="s">
        <v>6537</v>
      </c>
      <c r="G2840" s="25" t="s">
        <v>34</v>
      </c>
      <c r="H2840" s="25" t="s">
        <v>6538</v>
      </c>
      <c r="I2840" s="25" t="s">
        <v>4315</v>
      </c>
      <c r="J2840" s="27">
        <v>43970</v>
      </c>
      <c r="K2840" s="25" t="s">
        <v>8</v>
      </c>
      <c r="L2840" s="25" t="s">
        <v>12</v>
      </c>
      <c r="M2840" s="25" t="s">
        <v>5942</v>
      </c>
      <c r="N2840" s="25"/>
      <c r="O2840" s="224"/>
      <c r="P2840" s="25"/>
      <c r="Q2840" s="224"/>
      <c r="R2840" s="25"/>
      <c r="S2840" s="25"/>
      <c r="T2840" s="25"/>
      <c r="U2840" s="25"/>
      <c r="V2840" s="25"/>
      <c r="W2840" s="25" t="s">
        <v>63</v>
      </c>
      <c r="X2840" s="25"/>
      <c r="Y2840" s="27"/>
      <c r="Z2840" s="25" t="s">
        <v>67</v>
      </c>
      <c r="AA2840" s="27"/>
      <c r="AB2840" s="25"/>
    </row>
    <row r="2841" spans="1:28">
      <c r="A2841" s="285"/>
      <c r="C2841" s="25">
        <v>176</v>
      </c>
      <c r="D2841" s="2">
        <v>27943</v>
      </c>
      <c r="E2841" s="2" t="s">
        <v>6539</v>
      </c>
      <c r="F2841" s="3">
        <v>29207122103792</v>
      </c>
      <c r="G2841" s="2" t="s">
        <v>34</v>
      </c>
      <c r="H2841" s="2" t="s">
        <v>6540</v>
      </c>
      <c r="I2841" s="2" t="s">
        <v>4315</v>
      </c>
      <c r="J2841" s="4">
        <v>43970</v>
      </c>
      <c r="K2841" s="2" t="s">
        <v>8</v>
      </c>
      <c r="L2841" s="2" t="s">
        <v>12</v>
      </c>
      <c r="M2841" s="2" t="s">
        <v>5942</v>
      </c>
      <c r="R2841" s="77">
        <v>3</v>
      </c>
      <c r="S2841" s="77">
        <v>3</v>
      </c>
      <c r="T2841" s="77">
        <v>2.5</v>
      </c>
      <c r="U2841" s="77">
        <v>2.5</v>
      </c>
      <c r="V2841" s="77">
        <v>3</v>
      </c>
      <c r="W2841" s="16" t="s">
        <v>502</v>
      </c>
      <c r="Y2841" s="7">
        <v>44000</v>
      </c>
      <c r="Z2841" s="16" t="s">
        <v>66</v>
      </c>
      <c r="AA2841" s="7">
        <v>44004</v>
      </c>
    </row>
    <row r="2842" spans="1:28">
      <c r="A2842" s="285"/>
      <c r="C2842" s="25">
        <v>176</v>
      </c>
      <c r="D2842" s="2">
        <v>27944</v>
      </c>
      <c r="E2842" s="103" t="s">
        <v>6541</v>
      </c>
      <c r="F2842" s="3">
        <v>29904080101959</v>
      </c>
      <c r="G2842" s="2" t="s">
        <v>5890</v>
      </c>
      <c r="H2842" s="2" t="s">
        <v>6542</v>
      </c>
      <c r="I2842" s="2" t="s">
        <v>4315</v>
      </c>
      <c r="J2842" s="4">
        <v>43970</v>
      </c>
      <c r="K2842" s="2" t="s">
        <v>8</v>
      </c>
      <c r="L2842" s="2" t="s">
        <v>12</v>
      </c>
      <c r="M2842" s="2" t="s">
        <v>6543</v>
      </c>
      <c r="R2842" s="77">
        <v>3</v>
      </c>
      <c r="S2842" s="77">
        <v>2.5</v>
      </c>
      <c r="T2842" s="77">
        <v>2</v>
      </c>
      <c r="U2842" s="77">
        <v>2</v>
      </c>
      <c r="V2842" s="77">
        <v>3</v>
      </c>
      <c r="W2842" s="103" t="s">
        <v>59</v>
      </c>
      <c r="X2842" s="2" t="s">
        <v>66</v>
      </c>
      <c r="Y2842" s="45">
        <v>44000</v>
      </c>
      <c r="Z2842" s="16" t="s">
        <v>67</v>
      </c>
      <c r="AB2842" s="2" t="s">
        <v>6922</v>
      </c>
    </row>
    <row r="2843" spans="1:28">
      <c r="A2843" s="285"/>
      <c r="C2843" s="25">
        <v>176</v>
      </c>
      <c r="D2843" s="2">
        <v>27945</v>
      </c>
      <c r="E2843" s="103" t="s">
        <v>6544</v>
      </c>
      <c r="F2843" s="3" t="s">
        <v>6545</v>
      </c>
      <c r="G2843" s="2" t="s">
        <v>34</v>
      </c>
      <c r="H2843" s="2" t="s">
        <v>6546</v>
      </c>
      <c r="I2843" s="2" t="s">
        <v>4315</v>
      </c>
      <c r="J2843" s="4">
        <v>43970</v>
      </c>
      <c r="K2843" s="2" t="s">
        <v>8</v>
      </c>
      <c r="L2843" s="2" t="s">
        <v>12</v>
      </c>
      <c r="M2843" s="2" t="s">
        <v>6463</v>
      </c>
      <c r="R2843" s="77">
        <v>3</v>
      </c>
      <c r="S2843" s="77">
        <v>3</v>
      </c>
      <c r="T2843" s="77">
        <v>2.5</v>
      </c>
      <c r="U2843" s="77">
        <v>2.5</v>
      </c>
      <c r="V2843" s="77">
        <v>3</v>
      </c>
      <c r="W2843" s="16" t="s">
        <v>61</v>
      </c>
      <c r="Y2843" s="45">
        <v>44000</v>
      </c>
      <c r="Z2843" s="16" t="s">
        <v>66</v>
      </c>
      <c r="AA2843" s="7">
        <v>44080</v>
      </c>
    </row>
    <row r="2844" spans="1:28">
      <c r="A2844" s="285"/>
      <c r="C2844" s="25">
        <v>176</v>
      </c>
      <c r="D2844" s="2">
        <v>27946</v>
      </c>
      <c r="E2844" s="103" t="s">
        <v>6547</v>
      </c>
      <c r="F2844" s="3">
        <v>30003180100605</v>
      </c>
      <c r="G2844" s="2" t="s">
        <v>4131</v>
      </c>
      <c r="H2844" s="2" t="s">
        <v>6548</v>
      </c>
      <c r="I2844" s="2" t="s">
        <v>4315</v>
      </c>
      <c r="J2844" s="4">
        <v>43970</v>
      </c>
      <c r="K2844" s="2" t="s">
        <v>8</v>
      </c>
      <c r="L2844" s="2" t="s">
        <v>12</v>
      </c>
      <c r="M2844" s="2" t="s">
        <v>5982</v>
      </c>
      <c r="W2844" s="16" t="s">
        <v>64</v>
      </c>
      <c r="Z2844" s="16" t="s">
        <v>67</v>
      </c>
    </row>
    <row r="2845" spans="1:28">
      <c r="A2845" s="285"/>
      <c r="C2845" s="25">
        <v>176</v>
      </c>
      <c r="D2845" s="2">
        <v>27947</v>
      </c>
      <c r="E2845" s="103" t="s">
        <v>6549</v>
      </c>
      <c r="F2845" s="3" t="s">
        <v>6550</v>
      </c>
      <c r="G2845" s="2" t="s">
        <v>34</v>
      </c>
      <c r="H2845" s="2" t="s">
        <v>6551</v>
      </c>
      <c r="I2845" s="2" t="s">
        <v>4315</v>
      </c>
      <c r="J2845" s="4">
        <v>43970</v>
      </c>
      <c r="K2845" s="2" t="s">
        <v>8</v>
      </c>
      <c r="L2845" s="2" t="s">
        <v>12</v>
      </c>
      <c r="M2845" s="2" t="s">
        <v>6552</v>
      </c>
      <c r="R2845" s="77">
        <v>3</v>
      </c>
      <c r="S2845" s="77">
        <v>2.5</v>
      </c>
      <c r="T2845" s="77">
        <v>2</v>
      </c>
      <c r="U2845" s="77">
        <v>2.5</v>
      </c>
      <c r="V2845" s="77">
        <v>3</v>
      </c>
      <c r="W2845" s="16" t="s">
        <v>61</v>
      </c>
      <c r="Y2845" s="45">
        <v>44000</v>
      </c>
      <c r="Z2845" s="16" t="s">
        <v>66</v>
      </c>
      <c r="AA2845" s="7">
        <v>44059</v>
      </c>
    </row>
    <row r="2846" spans="1:28">
      <c r="A2846" s="285"/>
      <c r="C2846" s="25">
        <v>176</v>
      </c>
      <c r="D2846" s="2">
        <v>27948</v>
      </c>
      <c r="E2846" s="103" t="s">
        <v>6553</v>
      </c>
      <c r="F2846" s="3">
        <v>29011240101158</v>
      </c>
      <c r="G2846" s="2" t="s">
        <v>34</v>
      </c>
      <c r="H2846" s="2" t="s">
        <v>6554</v>
      </c>
      <c r="I2846" s="2" t="s">
        <v>4315</v>
      </c>
      <c r="J2846" s="4">
        <v>43970</v>
      </c>
      <c r="K2846" s="2" t="s">
        <v>8</v>
      </c>
      <c r="L2846" s="2" t="s">
        <v>12</v>
      </c>
      <c r="M2846" s="2" t="s">
        <v>4800</v>
      </c>
      <c r="R2846" s="77">
        <v>3</v>
      </c>
      <c r="S2846" s="77">
        <v>2</v>
      </c>
      <c r="T2846" s="77">
        <v>2</v>
      </c>
      <c r="U2846" s="77">
        <v>2</v>
      </c>
      <c r="V2846" s="77">
        <v>3</v>
      </c>
      <c r="W2846" s="16" t="s">
        <v>62</v>
      </c>
      <c r="Y2846" s="45">
        <v>44000</v>
      </c>
    </row>
    <row r="2847" spans="1:28">
      <c r="A2847" s="285"/>
      <c r="C2847" s="25">
        <v>176</v>
      </c>
      <c r="D2847" s="2">
        <v>27949</v>
      </c>
      <c r="E2847" s="103" t="s">
        <v>6555</v>
      </c>
      <c r="F2847" s="3">
        <v>29402081701598</v>
      </c>
      <c r="G2847" s="2" t="s">
        <v>34</v>
      </c>
      <c r="H2847" s="2" t="s">
        <v>6556</v>
      </c>
      <c r="I2847" s="2" t="s">
        <v>4315</v>
      </c>
      <c r="J2847" s="4">
        <v>43970</v>
      </c>
      <c r="K2847" s="2" t="s">
        <v>8</v>
      </c>
      <c r="L2847" s="2" t="s">
        <v>12</v>
      </c>
      <c r="M2847" s="2" t="s">
        <v>5982</v>
      </c>
      <c r="W2847" s="16" t="s">
        <v>64</v>
      </c>
      <c r="Z2847" s="16" t="s">
        <v>67</v>
      </c>
    </row>
    <row r="2848" spans="1:28">
      <c r="A2848" s="285"/>
      <c r="C2848" s="25">
        <v>176</v>
      </c>
      <c r="D2848" s="2">
        <v>27950</v>
      </c>
      <c r="E2848" s="2" t="s">
        <v>6557</v>
      </c>
      <c r="F2848" s="3" t="s">
        <v>6558</v>
      </c>
      <c r="G2848" s="2" t="s">
        <v>34</v>
      </c>
      <c r="H2848" s="2" t="s">
        <v>6559</v>
      </c>
      <c r="I2848" s="2" t="s">
        <v>4315</v>
      </c>
      <c r="J2848" s="4">
        <v>43970</v>
      </c>
      <c r="K2848" s="2" t="s">
        <v>8</v>
      </c>
      <c r="L2848" s="2" t="s">
        <v>12</v>
      </c>
      <c r="M2848" s="2" t="s">
        <v>5940</v>
      </c>
      <c r="R2848" s="77">
        <v>3</v>
      </c>
      <c r="S2848" s="77">
        <v>2.5</v>
      </c>
      <c r="T2848" s="77">
        <v>2</v>
      </c>
      <c r="U2848" s="77">
        <v>2</v>
      </c>
      <c r="V2848" s="77">
        <v>3</v>
      </c>
      <c r="W2848" s="16" t="s">
        <v>62</v>
      </c>
      <c r="Y2848" s="7">
        <v>44000</v>
      </c>
    </row>
    <row r="2849" spans="1:28">
      <c r="A2849" s="285"/>
      <c r="C2849" s="25">
        <v>176</v>
      </c>
      <c r="D2849" s="2">
        <v>27951</v>
      </c>
      <c r="E2849" s="2" t="s">
        <v>6560</v>
      </c>
      <c r="F2849" s="3">
        <v>29611010400455</v>
      </c>
      <c r="G2849" s="2" t="s">
        <v>6561</v>
      </c>
      <c r="H2849" s="2" t="s">
        <v>6562</v>
      </c>
      <c r="I2849" s="2" t="s">
        <v>4315</v>
      </c>
      <c r="J2849" s="4">
        <v>43970</v>
      </c>
      <c r="K2849" s="2" t="s">
        <v>8</v>
      </c>
      <c r="L2849" s="2" t="s">
        <v>12</v>
      </c>
      <c r="M2849" s="2" t="s">
        <v>5982</v>
      </c>
      <c r="R2849" s="77">
        <v>3</v>
      </c>
      <c r="S2849" s="77">
        <v>2.5</v>
      </c>
      <c r="T2849" s="77">
        <v>2</v>
      </c>
      <c r="U2849" s="77">
        <v>1.5</v>
      </c>
      <c r="V2849" s="77">
        <v>3</v>
      </c>
      <c r="W2849" s="103" t="s">
        <v>5714</v>
      </c>
      <c r="X2849" s="103" t="s">
        <v>66</v>
      </c>
      <c r="Y2849" s="7">
        <v>44000</v>
      </c>
      <c r="Z2849" s="16" t="s">
        <v>67</v>
      </c>
      <c r="AB2849" s="2" t="s">
        <v>6923</v>
      </c>
    </row>
    <row r="2850" spans="1:28" ht="15.75" thickBot="1">
      <c r="A2850" s="286"/>
      <c r="C2850" s="28">
        <v>176</v>
      </c>
      <c r="D2850" s="28">
        <v>27771</v>
      </c>
      <c r="E2850" s="28" t="s">
        <v>6444</v>
      </c>
      <c r="F2850" s="29">
        <v>29409043400066</v>
      </c>
      <c r="G2850" s="28" t="s">
        <v>5890</v>
      </c>
      <c r="H2850" s="28" t="s">
        <v>6445</v>
      </c>
      <c r="I2850" s="28"/>
      <c r="J2850" s="30"/>
      <c r="K2850" s="28"/>
      <c r="L2850" s="28"/>
      <c r="M2850" s="28"/>
      <c r="N2850" s="28"/>
      <c r="O2850" s="226"/>
      <c r="P2850" s="28"/>
      <c r="Q2850" s="226"/>
      <c r="R2850" s="37">
        <v>3</v>
      </c>
      <c r="S2850" s="37">
        <v>2.5</v>
      </c>
      <c r="T2850" s="37">
        <v>2.5</v>
      </c>
      <c r="U2850" s="37">
        <v>2</v>
      </c>
      <c r="V2850" s="37">
        <v>3</v>
      </c>
      <c r="W2850" s="28" t="s">
        <v>4212</v>
      </c>
      <c r="X2850" s="28"/>
      <c r="Y2850" s="30">
        <v>44000</v>
      </c>
      <c r="Z2850" s="28" t="s">
        <v>66</v>
      </c>
      <c r="AA2850" s="30">
        <v>44004</v>
      </c>
      <c r="AB2850" s="28"/>
    </row>
    <row r="2851" spans="1:28" ht="15.75" thickTop="1">
      <c r="A2851" s="284" t="s">
        <v>1249</v>
      </c>
      <c r="C2851" s="25">
        <v>177</v>
      </c>
      <c r="D2851" s="25">
        <v>27952</v>
      </c>
      <c r="E2851" s="25" t="s">
        <v>6563</v>
      </c>
      <c r="F2851" s="26">
        <v>29011212102475</v>
      </c>
      <c r="G2851" s="25" t="s">
        <v>34</v>
      </c>
      <c r="H2851" s="25" t="s">
        <v>6564</v>
      </c>
      <c r="I2851" s="25" t="s">
        <v>4315</v>
      </c>
      <c r="J2851" s="27">
        <v>43979</v>
      </c>
      <c r="K2851" s="25" t="s">
        <v>8</v>
      </c>
      <c r="L2851" s="25" t="s">
        <v>12</v>
      </c>
      <c r="M2851" s="25" t="s">
        <v>5982</v>
      </c>
      <c r="N2851" s="25"/>
      <c r="O2851" s="224"/>
      <c r="P2851" s="25"/>
      <c r="Q2851" s="224"/>
      <c r="R2851" s="92">
        <v>3</v>
      </c>
      <c r="S2851" s="92">
        <v>3</v>
      </c>
      <c r="T2851" s="92">
        <v>2.5</v>
      </c>
      <c r="U2851" s="92">
        <v>2.5</v>
      </c>
      <c r="V2851" s="92">
        <v>3</v>
      </c>
      <c r="W2851" s="25" t="s">
        <v>4212</v>
      </c>
      <c r="X2851" s="25"/>
      <c r="Y2851" s="27">
        <v>44003</v>
      </c>
      <c r="Z2851" s="25" t="s">
        <v>66</v>
      </c>
      <c r="AA2851" s="27">
        <v>44004</v>
      </c>
      <c r="AB2851" s="25"/>
    </row>
    <row r="2852" spans="1:28">
      <c r="A2852" s="285"/>
      <c r="C2852" s="25">
        <v>177</v>
      </c>
      <c r="D2852" s="2">
        <v>27953</v>
      </c>
      <c r="E2852" s="2" t="s">
        <v>6565</v>
      </c>
      <c r="F2852" s="3">
        <v>28307272501771</v>
      </c>
      <c r="G2852" s="2" t="s">
        <v>34</v>
      </c>
      <c r="H2852" s="2" t="s">
        <v>6566</v>
      </c>
      <c r="I2852" s="2" t="s">
        <v>4315</v>
      </c>
      <c r="J2852" s="4">
        <v>43979</v>
      </c>
      <c r="K2852" s="2" t="s">
        <v>8</v>
      </c>
      <c r="L2852" s="2" t="s">
        <v>12</v>
      </c>
      <c r="M2852" s="2" t="s">
        <v>6412</v>
      </c>
      <c r="R2852" s="77">
        <v>3</v>
      </c>
      <c r="S2852" s="77">
        <v>2.5</v>
      </c>
      <c r="T2852" s="77">
        <v>2</v>
      </c>
      <c r="U2852" s="77">
        <v>2.5</v>
      </c>
      <c r="V2852" s="77">
        <v>3</v>
      </c>
      <c r="W2852" s="16" t="s">
        <v>171</v>
      </c>
      <c r="Y2852" s="7">
        <v>44003</v>
      </c>
      <c r="Z2852" s="16" t="s">
        <v>67</v>
      </c>
      <c r="AB2852" s="2" t="s">
        <v>5775</v>
      </c>
    </row>
    <row r="2853" spans="1:28">
      <c r="A2853" s="285"/>
      <c r="C2853" s="25">
        <v>177</v>
      </c>
      <c r="D2853" s="2">
        <v>27954</v>
      </c>
      <c r="E2853" s="2" t="s">
        <v>6567</v>
      </c>
      <c r="F2853" s="3" t="s">
        <v>6568</v>
      </c>
      <c r="G2853" s="2" t="s">
        <v>34</v>
      </c>
      <c r="H2853" s="2" t="s">
        <v>6569</v>
      </c>
      <c r="I2853" s="2" t="s">
        <v>4315</v>
      </c>
      <c r="J2853" s="4">
        <v>43979</v>
      </c>
      <c r="K2853" s="2" t="s">
        <v>8</v>
      </c>
      <c r="L2853" s="2" t="s">
        <v>12</v>
      </c>
      <c r="M2853" s="2" t="s">
        <v>6500</v>
      </c>
      <c r="R2853" s="77">
        <v>3</v>
      </c>
      <c r="S2853" s="77">
        <v>3</v>
      </c>
      <c r="T2853" s="77">
        <v>3</v>
      </c>
      <c r="U2853" s="77">
        <v>3</v>
      </c>
      <c r="V2853" s="77">
        <v>3</v>
      </c>
      <c r="W2853" s="16" t="s">
        <v>6621</v>
      </c>
      <c r="X2853" s="2" t="s">
        <v>66</v>
      </c>
      <c r="Y2853" s="45">
        <v>44026</v>
      </c>
    </row>
    <row r="2854" spans="1:28">
      <c r="A2854" s="285"/>
      <c r="C2854" s="25">
        <v>177</v>
      </c>
      <c r="D2854" s="2">
        <v>27955</v>
      </c>
      <c r="E2854" s="2" t="s">
        <v>6570</v>
      </c>
      <c r="F2854" s="3">
        <v>30011012107516</v>
      </c>
      <c r="G2854" s="2" t="s">
        <v>5890</v>
      </c>
      <c r="H2854" s="2" t="s">
        <v>6571</v>
      </c>
      <c r="I2854" s="2" t="s">
        <v>4315</v>
      </c>
      <c r="J2854" s="4">
        <v>43979</v>
      </c>
      <c r="K2854" s="2" t="s">
        <v>8</v>
      </c>
      <c r="L2854" s="2" t="s">
        <v>12</v>
      </c>
      <c r="M2854" s="2" t="s">
        <v>5942</v>
      </c>
      <c r="R2854" s="77">
        <v>3</v>
      </c>
      <c r="S2854" s="77">
        <v>2.5</v>
      </c>
      <c r="T2854" s="77">
        <v>2</v>
      </c>
      <c r="U2854" s="77">
        <v>2.5</v>
      </c>
      <c r="V2854" s="77">
        <v>3</v>
      </c>
      <c r="W2854" s="16" t="s">
        <v>171</v>
      </c>
      <c r="Y2854" s="7">
        <v>44003</v>
      </c>
      <c r="Z2854" s="16" t="s">
        <v>67</v>
      </c>
      <c r="AB2854" s="2" t="s">
        <v>6984</v>
      </c>
    </row>
    <row r="2855" spans="1:28">
      <c r="A2855" s="285"/>
      <c r="C2855" s="25">
        <v>177</v>
      </c>
      <c r="D2855" s="2">
        <v>27956</v>
      </c>
      <c r="E2855" s="2" t="s">
        <v>6572</v>
      </c>
      <c r="F2855" s="3" t="s">
        <v>6573</v>
      </c>
      <c r="G2855" s="2" t="s">
        <v>5856</v>
      </c>
      <c r="H2855" s="2" t="s">
        <v>6574</v>
      </c>
      <c r="I2855" s="2" t="s">
        <v>4315</v>
      </c>
      <c r="J2855" s="4">
        <v>43979</v>
      </c>
      <c r="K2855" s="2" t="s">
        <v>8</v>
      </c>
      <c r="L2855" s="2" t="s">
        <v>12</v>
      </c>
      <c r="M2855" s="2" t="s">
        <v>4257</v>
      </c>
      <c r="R2855" s="77">
        <v>3</v>
      </c>
      <c r="S2855" s="77">
        <v>2.5</v>
      </c>
      <c r="T2855" s="77">
        <v>2.5</v>
      </c>
      <c r="U2855" s="77">
        <v>2</v>
      </c>
      <c r="V2855" s="77">
        <v>3</v>
      </c>
      <c r="W2855" s="25" t="s">
        <v>4212</v>
      </c>
      <c r="X2855" s="2" t="s">
        <v>66</v>
      </c>
      <c r="Y2855" s="7">
        <v>44026</v>
      </c>
      <c r="Z2855" s="16" t="s">
        <v>66</v>
      </c>
      <c r="AA2855" s="7">
        <v>44059</v>
      </c>
      <c r="AB2855" s="2" t="s">
        <v>61</v>
      </c>
    </row>
    <row r="2856" spans="1:28">
      <c r="A2856" s="285"/>
      <c r="C2856" s="25">
        <v>177</v>
      </c>
      <c r="D2856" s="2">
        <v>27957</v>
      </c>
      <c r="E2856" s="2" t="s">
        <v>6575</v>
      </c>
      <c r="F2856" s="3" t="s">
        <v>6576</v>
      </c>
      <c r="G2856" s="2" t="s">
        <v>34</v>
      </c>
      <c r="H2856" s="2" t="s">
        <v>6577</v>
      </c>
      <c r="I2856" s="2" t="s">
        <v>4315</v>
      </c>
      <c r="J2856" s="4">
        <v>43979</v>
      </c>
      <c r="K2856" s="2" t="s">
        <v>8</v>
      </c>
      <c r="L2856" s="2" t="s">
        <v>12</v>
      </c>
      <c r="M2856" s="2" t="s">
        <v>6412</v>
      </c>
      <c r="R2856" s="77">
        <v>3</v>
      </c>
      <c r="S2856" s="77">
        <v>2</v>
      </c>
      <c r="T2856" s="77">
        <v>1.5</v>
      </c>
      <c r="U2856" s="77">
        <v>1.5</v>
      </c>
      <c r="V2856" s="77">
        <v>3</v>
      </c>
      <c r="W2856" s="16" t="s">
        <v>3818</v>
      </c>
      <c r="Y2856" s="7">
        <v>44003</v>
      </c>
    </row>
    <row r="2857" spans="1:28" ht="15.75" thickBot="1">
      <c r="A2857" s="286"/>
      <c r="C2857" s="28">
        <v>177</v>
      </c>
      <c r="D2857" s="28">
        <v>27958</v>
      </c>
      <c r="E2857" s="28" t="s">
        <v>6578</v>
      </c>
      <c r="F2857" s="29">
        <v>29305080101753</v>
      </c>
      <c r="G2857" s="28" t="s">
        <v>34</v>
      </c>
      <c r="H2857" s="28" t="s">
        <v>6579</v>
      </c>
      <c r="I2857" s="28" t="s">
        <v>4315</v>
      </c>
      <c r="J2857" s="30">
        <v>43979</v>
      </c>
      <c r="K2857" s="28" t="s">
        <v>8</v>
      </c>
      <c r="L2857" s="28" t="s">
        <v>12</v>
      </c>
      <c r="M2857" s="28" t="s">
        <v>5940</v>
      </c>
      <c r="N2857" s="28"/>
      <c r="O2857" s="226"/>
      <c r="P2857" s="28"/>
      <c r="Q2857" s="226"/>
      <c r="R2857" s="37">
        <v>3</v>
      </c>
      <c r="S2857" s="37">
        <v>3</v>
      </c>
      <c r="T2857" s="37">
        <v>3</v>
      </c>
      <c r="U2857" s="37">
        <v>2.5</v>
      </c>
      <c r="V2857" s="37">
        <v>3</v>
      </c>
      <c r="W2857" s="28" t="s">
        <v>502</v>
      </c>
      <c r="X2857" s="28" t="s">
        <v>66</v>
      </c>
      <c r="Y2857" s="30">
        <v>44026</v>
      </c>
      <c r="Z2857" s="28" t="s">
        <v>66</v>
      </c>
      <c r="AA2857" s="30">
        <v>44059</v>
      </c>
      <c r="AB2857" s="28" t="s">
        <v>61</v>
      </c>
    </row>
    <row r="2858" spans="1:28" ht="15.75" thickTop="1">
      <c r="A2858" s="284" t="s">
        <v>5923</v>
      </c>
      <c r="C2858" s="25">
        <v>178</v>
      </c>
      <c r="D2858" s="25">
        <v>28099</v>
      </c>
      <c r="E2858" s="25" t="s">
        <v>6594</v>
      </c>
      <c r="F2858" s="26">
        <v>29110120102931</v>
      </c>
      <c r="G2858" s="25" t="s">
        <v>34</v>
      </c>
      <c r="H2858" s="25" t="s">
        <v>6595</v>
      </c>
      <c r="I2858" s="25" t="s">
        <v>4315</v>
      </c>
      <c r="J2858" s="27">
        <v>43989</v>
      </c>
      <c r="K2858" s="25" t="s">
        <v>8</v>
      </c>
      <c r="L2858" s="25" t="s">
        <v>12</v>
      </c>
      <c r="M2858" s="25" t="s">
        <v>4257</v>
      </c>
      <c r="N2858" s="25"/>
      <c r="O2858" s="224"/>
      <c r="P2858" s="25"/>
      <c r="Q2858" s="224"/>
      <c r="R2858" s="36">
        <v>3</v>
      </c>
      <c r="S2858" s="36">
        <v>2.5</v>
      </c>
      <c r="T2858" s="36">
        <v>2</v>
      </c>
      <c r="U2858" s="36">
        <v>2.5</v>
      </c>
      <c r="V2858" s="36">
        <v>3</v>
      </c>
      <c r="W2858" s="25" t="s">
        <v>6620</v>
      </c>
      <c r="X2858" s="25"/>
      <c r="Y2858" s="27">
        <v>44014</v>
      </c>
      <c r="Z2858" s="25" t="s">
        <v>66</v>
      </c>
      <c r="AA2858" s="27">
        <v>44041</v>
      </c>
      <c r="AB2858" s="25"/>
    </row>
    <row r="2859" spans="1:28">
      <c r="A2859" s="285"/>
      <c r="C2859" s="25">
        <v>178</v>
      </c>
      <c r="D2859" s="2">
        <v>28100</v>
      </c>
      <c r="E2859" s="2" t="s">
        <v>6596</v>
      </c>
      <c r="F2859" s="3" t="s">
        <v>6597</v>
      </c>
      <c r="G2859" s="2" t="s">
        <v>5890</v>
      </c>
      <c r="H2859" s="2" t="s">
        <v>6598</v>
      </c>
      <c r="I2859" s="2" t="s">
        <v>4315</v>
      </c>
      <c r="J2859" s="4">
        <v>43989</v>
      </c>
      <c r="K2859" s="2" t="s">
        <v>8</v>
      </c>
      <c r="L2859" s="2" t="s">
        <v>12</v>
      </c>
      <c r="M2859" s="2" t="s">
        <v>6599</v>
      </c>
      <c r="R2859" s="77">
        <v>3</v>
      </c>
      <c r="S2859" s="77">
        <v>3</v>
      </c>
      <c r="T2859" s="77">
        <v>2</v>
      </c>
      <c r="U2859" s="77">
        <v>2.5</v>
      </c>
      <c r="V2859" s="77">
        <v>3</v>
      </c>
      <c r="W2859" s="16" t="s">
        <v>6585</v>
      </c>
      <c r="Y2859" s="27">
        <v>44014</v>
      </c>
      <c r="Z2859" s="16" t="s">
        <v>66</v>
      </c>
      <c r="AA2859" s="7">
        <v>44041</v>
      </c>
    </row>
    <row r="2860" spans="1:28">
      <c r="A2860" s="285"/>
      <c r="C2860" s="25">
        <v>178</v>
      </c>
      <c r="D2860" s="2">
        <v>28101</v>
      </c>
      <c r="E2860" s="2" t="s">
        <v>6600</v>
      </c>
      <c r="F2860" s="3">
        <v>29110248800304</v>
      </c>
      <c r="G2860" s="2" t="s">
        <v>34</v>
      </c>
      <c r="H2860" s="2" t="s">
        <v>6601</v>
      </c>
      <c r="I2860" s="2" t="s">
        <v>4315</v>
      </c>
      <c r="J2860" s="4">
        <v>43989</v>
      </c>
      <c r="K2860" s="2" t="s">
        <v>8</v>
      </c>
      <c r="L2860" s="2" t="s">
        <v>12</v>
      </c>
      <c r="M2860" s="2" t="s">
        <v>5942</v>
      </c>
      <c r="R2860" s="77">
        <v>3</v>
      </c>
      <c r="S2860" s="77">
        <v>2.5</v>
      </c>
      <c r="T2860" s="77">
        <v>2</v>
      </c>
      <c r="U2860" s="77">
        <v>2.5</v>
      </c>
      <c r="V2860" s="77">
        <v>3</v>
      </c>
      <c r="W2860" s="16" t="s">
        <v>6585</v>
      </c>
      <c r="Y2860" s="27">
        <v>44014</v>
      </c>
      <c r="Z2860" s="16" t="s">
        <v>67</v>
      </c>
      <c r="AB2860" s="2" t="s">
        <v>3924</v>
      </c>
    </row>
    <row r="2861" spans="1:28">
      <c r="A2861" s="285"/>
      <c r="C2861" s="25">
        <v>178</v>
      </c>
      <c r="D2861" s="2">
        <v>28102</v>
      </c>
      <c r="E2861" s="2" t="s">
        <v>6602</v>
      </c>
      <c r="F2861" s="3" t="s">
        <v>6603</v>
      </c>
      <c r="G2861" s="2" t="s">
        <v>5890</v>
      </c>
      <c r="H2861" s="2" t="s">
        <v>6604</v>
      </c>
      <c r="I2861" s="2" t="s">
        <v>4315</v>
      </c>
      <c r="J2861" s="4">
        <v>43989</v>
      </c>
      <c r="K2861" s="2" t="s">
        <v>8</v>
      </c>
      <c r="L2861" s="2" t="s">
        <v>12</v>
      </c>
      <c r="M2861" s="2" t="s">
        <v>6412</v>
      </c>
      <c r="W2861" s="16" t="s">
        <v>63</v>
      </c>
      <c r="Z2861" s="16" t="s">
        <v>67</v>
      </c>
    </row>
    <row r="2862" spans="1:28">
      <c r="A2862" s="285"/>
      <c r="C2862" s="25">
        <v>178</v>
      </c>
      <c r="D2862" s="2">
        <v>28103</v>
      </c>
      <c r="E2862" s="2" t="s">
        <v>6605</v>
      </c>
      <c r="F2862" s="3">
        <v>29805152400133</v>
      </c>
      <c r="G2862" s="2" t="s">
        <v>5890</v>
      </c>
      <c r="H2862" s="2" t="s">
        <v>6606</v>
      </c>
      <c r="I2862" s="2" t="s">
        <v>4315</v>
      </c>
      <c r="J2862" s="4">
        <v>43989</v>
      </c>
      <c r="K2862" s="2" t="s">
        <v>8</v>
      </c>
      <c r="L2862" s="2" t="s">
        <v>12</v>
      </c>
      <c r="M2862" s="2" t="s">
        <v>4706</v>
      </c>
      <c r="R2862" s="77">
        <v>3</v>
      </c>
      <c r="S2862" s="77">
        <v>3</v>
      </c>
      <c r="T2862" s="77">
        <v>2</v>
      </c>
      <c r="U2862" s="77">
        <v>2.5</v>
      </c>
      <c r="V2862" s="77">
        <v>3</v>
      </c>
      <c r="W2862" s="16" t="s">
        <v>6620</v>
      </c>
      <c r="Y2862" s="27">
        <v>44014</v>
      </c>
      <c r="Z2862" s="16" t="s">
        <v>66</v>
      </c>
      <c r="AA2862" s="7">
        <v>44046</v>
      </c>
    </row>
    <row r="2863" spans="1:28">
      <c r="A2863" s="285"/>
      <c r="C2863" s="25">
        <v>178</v>
      </c>
      <c r="D2863" s="2">
        <v>28104</v>
      </c>
      <c r="E2863" s="2" t="s">
        <v>6607</v>
      </c>
      <c r="F2863" s="3">
        <v>29810300105239</v>
      </c>
      <c r="G2863" s="2" t="s">
        <v>5890</v>
      </c>
      <c r="H2863" s="2" t="s">
        <v>6608</v>
      </c>
      <c r="I2863" s="2" t="s">
        <v>4315</v>
      </c>
      <c r="J2863" s="4">
        <v>43989</v>
      </c>
      <c r="K2863" s="2" t="s">
        <v>8</v>
      </c>
      <c r="L2863" s="2" t="s">
        <v>12</v>
      </c>
      <c r="M2863" s="2" t="s">
        <v>6599</v>
      </c>
      <c r="R2863" s="77">
        <v>3</v>
      </c>
      <c r="S2863" s="77">
        <v>3</v>
      </c>
      <c r="T2863" s="77">
        <v>2.5</v>
      </c>
      <c r="U2863" s="77">
        <v>2.5</v>
      </c>
      <c r="V2863" s="77">
        <v>3</v>
      </c>
      <c r="W2863" s="16" t="s">
        <v>6585</v>
      </c>
      <c r="Y2863" s="27">
        <v>44014</v>
      </c>
      <c r="Z2863" s="16" t="s">
        <v>66</v>
      </c>
      <c r="AA2863" s="45">
        <v>44046</v>
      </c>
    </row>
    <row r="2864" spans="1:28">
      <c r="A2864" s="285"/>
      <c r="C2864" s="25">
        <v>178</v>
      </c>
      <c r="D2864" s="2">
        <v>28105</v>
      </c>
      <c r="E2864" s="2" t="s">
        <v>6609</v>
      </c>
      <c r="F2864" s="3">
        <v>29505162101238</v>
      </c>
      <c r="G2864" s="2" t="s">
        <v>34</v>
      </c>
      <c r="H2864" s="2" t="s">
        <v>6610</v>
      </c>
      <c r="I2864" s="2" t="s">
        <v>4315</v>
      </c>
      <c r="J2864" s="4">
        <v>43989</v>
      </c>
      <c r="K2864" s="2" t="s">
        <v>8</v>
      </c>
      <c r="L2864" s="2" t="s">
        <v>12</v>
      </c>
      <c r="M2864" s="2" t="s">
        <v>5942</v>
      </c>
      <c r="R2864" s="77">
        <v>3</v>
      </c>
      <c r="S2864" s="77">
        <v>2.5</v>
      </c>
      <c r="T2864" s="77">
        <v>2</v>
      </c>
      <c r="U2864" s="77">
        <v>2</v>
      </c>
      <c r="V2864" s="77">
        <v>3</v>
      </c>
      <c r="W2864" s="16" t="s">
        <v>62</v>
      </c>
      <c r="X2864" s="2" t="s">
        <v>66</v>
      </c>
      <c r="Y2864" s="27">
        <v>44045</v>
      </c>
    </row>
    <row r="2865" spans="1:28">
      <c r="A2865" s="285"/>
      <c r="C2865" s="25">
        <v>178</v>
      </c>
      <c r="D2865" s="2">
        <v>28106</v>
      </c>
      <c r="E2865" s="2" t="s">
        <v>6611</v>
      </c>
      <c r="F2865" s="3" t="s">
        <v>6612</v>
      </c>
      <c r="G2865" s="2" t="s">
        <v>5890</v>
      </c>
      <c r="H2865" s="2" t="s">
        <v>6613</v>
      </c>
      <c r="I2865" s="2" t="s">
        <v>4315</v>
      </c>
      <c r="J2865" s="4">
        <v>43989</v>
      </c>
      <c r="K2865" s="2" t="s">
        <v>8</v>
      </c>
      <c r="L2865" s="2" t="s">
        <v>12</v>
      </c>
      <c r="M2865" s="2" t="s">
        <v>5940</v>
      </c>
      <c r="R2865" s="77">
        <v>3</v>
      </c>
      <c r="S2865" s="77">
        <v>3</v>
      </c>
      <c r="T2865" s="77">
        <v>2.5</v>
      </c>
      <c r="U2865" s="77">
        <v>2.5</v>
      </c>
      <c r="V2865" s="77">
        <v>3</v>
      </c>
      <c r="W2865" s="16" t="s">
        <v>6621</v>
      </c>
      <c r="Y2865" s="27">
        <v>44014</v>
      </c>
      <c r="Z2865" s="16" t="s">
        <v>66</v>
      </c>
      <c r="AA2865" s="7">
        <v>44041</v>
      </c>
      <c r="AB2865" s="2" t="s">
        <v>6585</v>
      </c>
    </row>
    <row r="2866" spans="1:28">
      <c r="A2866" s="285"/>
      <c r="C2866" s="25">
        <v>178</v>
      </c>
      <c r="D2866" s="2">
        <v>28107</v>
      </c>
      <c r="E2866" s="2" t="s">
        <v>6614</v>
      </c>
      <c r="F2866" s="3">
        <v>29612092100795</v>
      </c>
      <c r="G2866" s="2" t="s">
        <v>34</v>
      </c>
      <c r="H2866" s="2" t="s">
        <v>6615</v>
      </c>
      <c r="I2866" s="2" t="s">
        <v>4315</v>
      </c>
      <c r="J2866" s="4">
        <v>43989</v>
      </c>
      <c r="K2866" s="2" t="s">
        <v>8</v>
      </c>
      <c r="L2866" s="2" t="s">
        <v>12</v>
      </c>
      <c r="M2866" s="2" t="s">
        <v>109</v>
      </c>
      <c r="R2866" s="77">
        <v>3</v>
      </c>
      <c r="S2866" s="77">
        <v>3</v>
      </c>
      <c r="T2866" s="77">
        <v>2</v>
      </c>
      <c r="U2866" s="77">
        <v>2.5</v>
      </c>
      <c r="V2866" s="77">
        <v>3</v>
      </c>
      <c r="W2866" s="16" t="s">
        <v>6585</v>
      </c>
      <c r="Y2866" s="27">
        <v>44014</v>
      </c>
      <c r="Z2866" s="16" t="s">
        <v>66</v>
      </c>
      <c r="AA2866" s="7">
        <v>44041</v>
      </c>
    </row>
    <row r="2867" spans="1:28">
      <c r="A2867" s="285"/>
      <c r="C2867" s="25">
        <v>178</v>
      </c>
      <c r="D2867" s="2">
        <v>28108</v>
      </c>
      <c r="E2867" s="2" t="s">
        <v>6616</v>
      </c>
      <c r="F2867" s="3">
        <v>29201180100703</v>
      </c>
      <c r="G2867" s="2" t="s">
        <v>34</v>
      </c>
      <c r="H2867" s="2" t="s">
        <v>6617</v>
      </c>
      <c r="I2867" s="2" t="s">
        <v>4315</v>
      </c>
      <c r="J2867" s="4">
        <v>43989</v>
      </c>
      <c r="K2867" s="2" t="s">
        <v>8</v>
      </c>
      <c r="L2867" s="2" t="s">
        <v>12</v>
      </c>
      <c r="M2867" s="2" t="s">
        <v>5940</v>
      </c>
      <c r="R2867" s="77">
        <v>3</v>
      </c>
      <c r="S2867" s="77">
        <v>2.5</v>
      </c>
      <c r="T2867" s="77">
        <v>2</v>
      </c>
      <c r="U2867" s="77">
        <v>2.5</v>
      </c>
      <c r="V2867" s="77">
        <v>3</v>
      </c>
      <c r="W2867" s="16" t="s">
        <v>171</v>
      </c>
      <c r="X2867" s="2" t="s">
        <v>66</v>
      </c>
      <c r="Y2867" s="27">
        <v>44045</v>
      </c>
      <c r="Z2867" s="16" t="s">
        <v>66</v>
      </c>
      <c r="AA2867" s="7">
        <v>44059</v>
      </c>
    </row>
    <row r="2868" spans="1:28" ht="15.75" thickBot="1">
      <c r="A2868" s="286"/>
      <c r="C2868" s="28">
        <v>178</v>
      </c>
      <c r="D2868" s="28">
        <v>28109</v>
      </c>
      <c r="E2868" s="28" t="s">
        <v>6618</v>
      </c>
      <c r="F2868" s="29">
        <v>29605221900357</v>
      </c>
      <c r="G2868" s="28" t="s">
        <v>34</v>
      </c>
      <c r="H2868" s="28" t="s">
        <v>6619</v>
      </c>
      <c r="I2868" s="28" t="s">
        <v>4315</v>
      </c>
      <c r="J2868" s="30">
        <v>43989</v>
      </c>
      <c r="K2868" s="28" t="s">
        <v>8</v>
      </c>
      <c r="L2868" s="28" t="s">
        <v>12</v>
      </c>
      <c r="M2868" s="28" t="s">
        <v>6412</v>
      </c>
      <c r="N2868" s="28"/>
      <c r="O2868" s="226"/>
      <c r="P2868" s="28"/>
      <c r="Q2868" s="226"/>
      <c r="R2868" s="37">
        <v>3</v>
      </c>
      <c r="S2868" s="37">
        <v>3</v>
      </c>
      <c r="T2868" s="37">
        <v>2.5</v>
      </c>
      <c r="U2868" s="37">
        <v>2.5</v>
      </c>
      <c r="V2868" s="37">
        <v>3</v>
      </c>
      <c r="W2868" s="28" t="s">
        <v>6621</v>
      </c>
      <c r="X2868" s="28"/>
      <c r="Y2868" s="30">
        <v>44014</v>
      </c>
      <c r="Z2868" s="28" t="s">
        <v>66</v>
      </c>
      <c r="AA2868" s="30">
        <v>44041</v>
      </c>
      <c r="AB2868" s="28" t="s">
        <v>6585</v>
      </c>
    </row>
    <row r="2869" spans="1:28" ht="15.75" thickTop="1">
      <c r="A2869" s="284" t="s">
        <v>5262</v>
      </c>
      <c r="C2869" s="25">
        <v>179</v>
      </c>
      <c r="D2869" s="25">
        <v>28114</v>
      </c>
      <c r="E2869" s="25" t="s">
        <v>6631</v>
      </c>
      <c r="F2869" s="26" t="s">
        <v>6632</v>
      </c>
      <c r="G2869" s="25" t="s">
        <v>34</v>
      </c>
      <c r="H2869" s="34" t="s">
        <v>6645</v>
      </c>
      <c r="I2869" s="25" t="s">
        <v>4315</v>
      </c>
      <c r="J2869" s="27">
        <v>43996</v>
      </c>
      <c r="K2869" s="25" t="s">
        <v>8</v>
      </c>
      <c r="L2869" s="25" t="s">
        <v>12</v>
      </c>
      <c r="M2869" s="25" t="s">
        <v>4706</v>
      </c>
      <c r="N2869" s="25"/>
      <c r="O2869" s="224">
        <v>0.85</v>
      </c>
      <c r="P2869" s="25">
        <v>13</v>
      </c>
      <c r="Q2869" s="224">
        <v>0.84</v>
      </c>
      <c r="R2869" s="77">
        <v>3</v>
      </c>
      <c r="S2869" s="77">
        <v>2.5</v>
      </c>
      <c r="T2869" s="77">
        <v>2</v>
      </c>
      <c r="U2869" s="77">
        <v>1.5</v>
      </c>
      <c r="V2869" s="77">
        <v>3</v>
      </c>
      <c r="W2869" s="25" t="s">
        <v>62</v>
      </c>
      <c r="X2869" s="25"/>
      <c r="Y2869" s="27">
        <v>44024</v>
      </c>
      <c r="Z2869" s="25"/>
      <c r="AA2869" s="27"/>
      <c r="AB2869" s="25"/>
    </row>
    <row r="2870" spans="1:28">
      <c r="A2870" s="285"/>
      <c r="C2870" s="25">
        <v>179</v>
      </c>
      <c r="D2870" s="2">
        <v>28115</v>
      </c>
      <c r="E2870" s="2" t="s">
        <v>6633</v>
      </c>
      <c r="F2870" s="3">
        <v>28610012716735</v>
      </c>
      <c r="G2870" s="2" t="s">
        <v>34</v>
      </c>
      <c r="H2870" s="8" t="s">
        <v>6646</v>
      </c>
      <c r="I2870" s="2" t="s">
        <v>4315</v>
      </c>
      <c r="J2870" s="4">
        <v>43996</v>
      </c>
      <c r="K2870" s="2" t="s">
        <v>8</v>
      </c>
      <c r="L2870" s="2" t="s">
        <v>12</v>
      </c>
      <c r="M2870" s="2" t="s">
        <v>4493</v>
      </c>
      <c r="O2870" s="225">
        <v>0.95</v>
      </c>
      <c r="P2870" s="103">
        <v>20</v>
      </c>
      <c r="Q2870" s="225">
        <v>0.95</v>
      </c>
      <c r="R2870" s="77">
        <v>3</v>
      </c>
      <c r="S2870" s="77">
        <v>2.5</v>
      </c>
      <c r="T2870" s="77">
        <v>2</v>
      </c>
      <c r="U2870" s="77">
        <v>2.5</v>
      </c>
      <c r="V2870" s="77">
        <v>3</v>
      </c>
      <c r="W2870" s="16" t="s">
        <v>171</v>
      </c>
      <c r="Y2870" s="27">
        <v>44024</v>
      </c>
      <c r="Z2870" s="16" t="s">
        <v>66</v>
      </c>
      <c r="AA2870" s="7">
        <v>44034</v>
      </c>
    </row>
    <row r="2871" spans="1:28">
      <c r="A2871" s="285"/>
      <c r="C2871" s="25">
        <v>179</v>
      </c>
      <c r="D2871" s="2">
        <v>28116</v>
      </c>
      <c r="E2871" s="2" t="s">
        <v>6634</v>
      </c>
      <c r="F2871" s="3" t="s">
        <v>6635</v>
      </c>
      <c r="G2871" s="2" t="s">
        <v>34</v>
      </c>
      <c r="H2871" s="8" t="s">
        <v>6647</v>
      </c>
      <c r="I2871" s="2" t="s">
        <v>4315</v>
      </c>
      <c r="J2871" s="4">
        <v>43996</v>
      </c>
      <c r="K2871" s="2" t="s">
        <v>8</v>
      </c>
      <c r="L2871" s="2" t="s">
        <v>12</v>
      </c>
      <c r="M2871" s="2" t="s">
        <v>5942</v>
      </c>
      <c r="O2871" s="225">
        <v>0.85</v>
      </c>
      <c r="P2871" s="103">
        <v>33</v>
      </c>
      <c r="Q2871" s="225">
        <v>1</v>
      </c>
      <c r="R2871" s="77">
        <v>3</v>
      </c>
      <c r="S2871" s="77">
        <v>2</v>
      </c>
      <c r="T2871" s="77">
        <v>2</v>
      </c>
      <c r="U2871" s="77">
        <v>2</v>
      </c>
      <c r="V2871" s="77">
        <v>3</v>
      </c>
      <c r="W2871" s="103" t="s">
        <v>3321</v>
      </c>
      <c r="X2871" s="2" t="s">
        <v>66</v>
      </c>
      <c r="Y2871" s="27">
        <v>44045</v>
      </c>
      <c r="Z2871" s="16" t="s">
        <v>66</v>
      </c>
      <c r="AA2871" s="7">
        <v>44047</v>
      </c>
      <c r="AB2871" s="2" t="s">
        <v>6780</v>
      </c>
    </row>
    <row r="2872" spans="1:28">
      <c r="A2872" s="285"/>
      <c r="C2872" s="25">
        <v>179</v>
      </c>
      <c r="D2872" s="2">
        <v>28117</v>
      </c>
      <c r="E2872" s="2" t="s">
        <v>6636</v>
      </c>
      <c r="F2872" s="3">
        <v>28601052705958</v>
      </c>
      <c r="G2872" s="2" t="s">
        <v>34</v>
      </c>
      <c r="H2872" s="8" t="s">
        <v>6648</v>
      </c>
      <c r="I2872" s="2" t="s">
        <v>4315</v>
      </c>
      <c r="J2872" s="4">
        <v>43996</v>
      </c>
      <c r="K2872" s="2" t="s">
        <v>8</v>
      </c>
      <c r="L2872" s="2" t="s">
        <v>12</v>
      </c>
      <c r="M2872" s="2" t="s">
        <v>5940</v>
      </c>
      <c r="O2872" s="225">
        <v>0.9</v>
      </c>
      <c r="P2872" s="103">
        <v>26</v>
      </c>
      <c r="Q2872" s="225">
        <v>0.92</v>
      </c>
      <c r="R2872" s="77">
        <v>3</v>
      </c>
      <c r="S2872" s="77">
        <v>2.5</v>
      </c>
      <c r="T2872" s="77">
        <v>1.5</v>
      </c>
      <c r="U2872" s="77">
        <v>2</v>
      </c>
      <c r="V2872" s="77">
        <v>3</v>
      </c>
      <c r="W2872" s="16" t="s">
        <v>3321</v>
      </c>
      <c r="Y2872" s="27">
        <v>44024</v>
      </c>
    </row>
    <row r="2873" spans="1:28">
      <c r="A2873" s="285"/>
      <c r="C2873" s="25">
        <v>179</v>
      </c>
      <c r="D2873" s="2">
        <v>28118</v>
      </c>
      <c r="E2873" s="2" t="s">
        <v>6637</v>
      </c>
      <c r="F2873" s="3">
        <v>29904182103611</v>
      </c>
      <c r="G2873" s="2" t="s">
        <v>5890</v>
      </c>
      <c r="H2873" s="8" t="s">
        <v>6649</v>
      </c>
      <c r="I2873" s="2" t="s">
        <v>4315</v>
      </c>
      <c r="J2873" s="4">
        <v>43996</v>
      </c>
      <c r="K2873" s="2" t="s">
        <v>8</v>
      </c>
      <c r="L2873" s="2" t="s">
        <v>12</v>
      </c>
      <c r="M2873" s="2" t="s">
        <v>5940</v>
      </c>
      <c r="O2873" s="225">
        <v>0.8</v>
      </c>
      <c r="P2873" s="103">
        <v>21</v>
      </c>
      <c r="Q2873" s="225">
        <v>0.95</v>
      </c>
      <c r="R2873" s="77">
        <v>3</v>
      </c>
      <c r="S2873" s="77">
        <v>2</v>
      </c>
      <c r="T2873" s="77">
        <v>2</v>
      </c>
      <c r="U2873" s="77">
        <v>2.5</v>
      </c>
      <c r="V2873" s="77">
        <v>3</v>
      </c>
      <c r="W2873" s="16" t="s">
        <v>62</v>
      </c>
      <c r="Y2873" s="27">
        <v>44024</v>
      </c>
      <c r="Z2873" s="16" t="s">
        <v>66</v>
      </c>
      <c r="AA2873" s="7">
        <v>44026</v>
      </c>
    </row>
    <row r="2874" spans="1:28">
      <c r="A2874" s="285"/>
      <c r="C2874" s="25">
        <v>179</v>
      </c>
      <c r="D2874" s="2">
        <v>28119</v>
      </c>
      <c r="E2874" s="2" t="s">
        <v>6638</v>
      </c>
      <c r="F2874" s="3">
        <v>29510100400232</v>
      </c>
      <c r="G2874" s="2" t="s">
        <v>34</v>
      </c>
      <c r="H2874" s="8" t="s">
        <v>6650</v>
      </c>
      <c r="I2874" s="2" t="s">
        <v>4315</v>
      </c>
      <c r="J2874" s="4">
        <v>43996</v>
      </c>
      <c r="K2874" s="2" t="s">
        <v>8</v>
      </c>
      <c r="L2874" s="2" t="s">
        <v>12</v>
      </c>
      <c r="M2874" s="2" t="s">
        <v>4706</v>
      </c>
      <c r="O2874" s="225">
        <v>0.85</v>
      </c>
      <c r="P2874" s="103">
        <v>23</v>
      </c>
      <c r="Q2874" s="225">
        <v>0.87</v>
      </c>
      <c r="R2874" s="77">
        <v>3</v>
      </c>
      <c r="S2874" s="77">
        <v>2.5</v>
      </c>
      <c r="T2874" s="77">
        <v>2</v>
      </c>
      <c r="U2874" s="77">
        <v>2.5</v>
      </c>
      <c r="V2874" s="77">
        <v>3</v>
      </c>
      <c r="W2874" s="16" t="s">
        <v>171</v>
      </c>
      <c r="X2874" s="2" t="s">
        <v>66</v>
      </c>
      <c r="Y2874" s="27">
        <v>44045</v>
      </c>
      <c r="Z2874" s="16" t="s">
        <v>66</v>
      </c>
      <c r="AA2874" s="7">
        <v>44059</v>
      </c>
    </row>
    <row r="2875" spans="1:28">
      <c r="A2875" s="285"/>
      <c r="C2875" s="25">
        <v>179</v>
      </c>
      <c r="D2875" s="2">
        <v>28120</v>
      </c>
      <c r="E2875" s="2" t="s">
        <v>6639</v>
      </c>
      <c r="F2875" s="3" t="s">
        <v>6640</v>
      </c>
      <c r="G2875" s="2" t="s">
        <v>34</v>
      </c>
      <c r="H2875" s="8" t="s">
        <v>6651</v>
      </c>
      <c r="I2875" s="2" t="s">
        <v>4315</v>
      </c>
      <c r="J2875" s="4">
        <v>43996</v>
      </c>
      <c r="K2875" s="2" t="s">
        <v>8</v>
      </c>
      <c r="L2875" s="2" t="s">
        <v>12</v>
      </c>
      <c r="M2875" s="2" t="s">
        <v>4706</v>
      </c>
      <c r="P2875" s="103">
        <v>19</v>
      </c>
      <c r="Q2875" s="225">
        <v>0.57999999999999996</v>
      </c>
      <c r="R2875" s="77">
        <v>3</v>
      </c>
      <c r="S2875" s="77">
        <v>2.5</v>
      </c>
      <c r="T2875" s="77">
        <v>2</v>
      </c>
      <c r="U2875" s="77">
        <v>1.5</v>
      </c>
      <c r="V2875" s="77">
        <v>3</v>
      </c>
      <c r="W2875" s="16" t="s">
        <v>62</v>
      </c>
      <c r="Y2875" s="27">
        <v>44024</v>
      </c>
    </row>
    <row r="2876" spans="1:28">
      <c r="A2876" s="285"/>
      <c r="C2876" s="25">
        <v>179</v>
      </c>
      <c r="D2876" s="2">
        <v>28121</v>
      </c>
      <c r="E2876" s="2" t="s">
        <v>6641</v>
      </c>
      <c r="F2876" s="3">
        <v>28711131601297</v>
      </c>
      <c r="G2876" s="2" t="s">
        <v>34</v>
      </c>
      <c r="H2876" s="8" t="s">
        <v>6652</v>
      </c>
      <c r="I2876" s="2" t="s">
        <v>4315</v>
      </c>
      <c r="J2876" s="4">
        <v>43996</v>
      </c>
      <c r="K2876" s="2" t="s">
        <v>8</v>
      </c>
      <c r="L2876" s="2" t="s">
        <v>12</v>
      </c>
      <c r="M2876" s="2" t="s">
        <v>4257</v>
      </c>
      <c r="W2876" s="16" t="s">
        <v>63</v>
      </c>
      <c r="Z2876" s="16" t="s">
        <v>67</v>
      </c>
    </row>
    <row r="2877" spans="1:28">
      <c r="A2877" s="285"/>
      <c r="C2877" s="25">
        <v>179</v>
      </c>
      <c r="D2877" s="2">
        <v>28122</v>
      </c>
      <c r="E2877" s="2" t="s">
        <v>6642</v>
      </c>
      <c r="F2877" s="3">
        <v>28912110102539</v>
      </c>
      <c r="G2877" s="2" t="s">
        <v>34</v>
      </c>
      <c r="H2877" s="8" t="s">
        <v>6653</v>
      </c>
      <c r="I2877" s="2" t="s">
        <v>4315</v>
      </c>
      <c r="J2877" s="4">
        <v>43996</v>
      </c>
      <c r="K2877" s="2" t="s">
        <v>8</v>
      </c>
      <c r="L2877" s="2" t="s">
        <v>12</v>
      </c>
      <c r="M2877" s="2" t="s">
        <v>4493</v>
      </c>
      <c r="O2877" s="225">
        <v>0.95</v>
      </c>
      <c r="P2877" s="103">
        <v>10</v>
      </c>
      <c r="Q2877" s="225">
        <v>0.16</v>
      </c>
      <c r="R2877" s="77">
        <v>3</v>
      </c>
      <c r="S2877" s="77">
        <v>2.5</v>
      </c>
      <c r="T2877" s="77">
        <v>2</v>
      </c>
      <c r="U2877" s="77">
        <v>1.5</v>
      </c>
      <c r="V2877" s="77">
        <v>3</v>
      </c>
      <c r="W2877" s="16" t="s">
        <v>62</v>
      </c>
      <c r="Y2877" s="27">
        <v>44024</v>
      </c>
    </row>
    <row r="2878" spans="1:28">
      <c r="A2878" s="285"/>
      <c r="C2878" s="25">
        <v>179</v>
      </c>
      <c r="D2878" s="2">
        <v>28123</v>
      </c>
      <c r="E2878" s="2" t="s">
        <v>6643</v>
      </c>
      <c r="F2878" s="3">
        <v>29611288800331</v>
      </c>
      <c r="G2878" s="2" t="s">
        <v>34</v>
      </c>
      <c r="H2878" s="8" t="s">
        <v>6654</v>
      </c>
      <c r="I2878" s="2" t="s">
        <v>4315</v>
      </c>
      <c r="J2878" s="4">
        <v>43996</v>
      </c>
      <c r="K2878" s="2" t="s">
        <v>8</v>
      </c>
      <c r="L2878" s="2" t="s">
        <v>12</v>
      </c>
      <c r="M2878" s="2" t="s">
        <v>5940</v>
      </c>
      <c r="O2878" s="225">
        <v>0.9</v>
      </c>
      <c r="P2878" s="103">
        <v>37</v>
      </c>
      <c r="Q2878" s="225">
        <v>0.9</v>
      </c>
      <c r="R2878" s="77">
        <v>3</v>
      </c>
      <c r="S2878" s="77">
        <v>3</v>
      </c>
      <c r="T2878" s="77">
        <v>2</v>
      </c>
      <c r="U2878" s="77">
        <v>2.5</v>
      </c>
      <c r="V2878" s="77">
        <v>3</v>
      </c>
      <c r="W2878" s="16" t="s">
        <v>61</v>
      </c>
      <c r="Y2878" s="27">
        <v>44024</v>
      </c>
      <c r="AB2878" s="2" t="s">
        <v>6985</v>
      </c>
    </row>
    <row r="2879" spans="1:28">
      <c r="A2879" s="285"/>
      <c r="C2879" s="25">
        <v>179</v>
      </c>
      <c r="D2879" s="2">
        <v>28124</v>
      </c>
      <c r="E2879" s="2" t="s">
        <v>6644</v>
      </c>
      <c r="F2879" s="3">
        <v>29304212102499</v>
      </c>
      <c r="G2879" s="2" t="s">
        <v>34</v>
      </c>
      <c r="H2879" s="8" t="s">
        <v>6655</v>
      </c>
      <c r="I2879" s="2" t="s">
        <v>4315</v>
      </c>
      <c r="J2879" s="4">
        <v>43996</v>
      </c>
      <c r="K2879" s="2" t="s">
        <v>8</v>
      </c>
      <c r="L2879" s="2" t="s">
        <v>12</v>
      </c>
      <c r="M2879" s="2" t="s">
        <v>5942</v>
      </c>
      <c r="W2879" s="16" t="s">
        <v>63</v>
      </c>
      <c r="Z2879" s="16" t="s">
        <v>67</v>
      </c>
    </row>
    <row r="2880" spans="1:28" ht="15.75" thickBot="1">
      <c r="A2880" s="286"/>
      <c r="C2880" s="28">
        <v>179</v>
      </c>
      <c r="D2880" s="28">
        <v>28125</v>
      </c>
      <c r="E2880" s="28" t="s">
        <v>6656</v>
      </c>
      <c r="F2880" s="29">
        <v>29404200103419</v>
      </c>
      <c r="G2880" s="28" t="s">
        <v>34</v>
      </c>
      <c r="H2880" s="28" t="s">
        <v>6657</v>
      </c>
      <c r="I2880" s="28" t="s">
        <v>4315</v>
      </c>
      <c r="J2880" s="30">
        <v>43996</v>
      </c>
      <c r="K2880" s="28" t="s">
        <v>8</v>
      </c>
      <c r="L2880" s="28" t="s">
        <v>12</v>
      </c>
      <c r="M2880" s="28" t="s">
        <v>5942</v>
      </c>
      <c r="N2880" s="28"/>
      <c r="O2880" s="226">
        <v>0.95</v>
      </c>
      <c r="P2880" s="28">
        <v>28</v>
      </c>
      <c r="Q2880" s="226">
        <v>0.93</v>
      </c>
      <c r="R2880" s="37">
        <v>3</v>
      </c>
      <c r="S2880" s="37">
        <v>2.5</v>
      </c>
      <c r="T2880" s="37">
        <v>2</v>
      </c>
      <c r="U2880" s="37">
        <v>2.5</v>
      </c>
      <c r="V2880" s="37">
        <v>3</v>
      </c>
      <c r="W2880" s="28" t="s">
        <v>61</v>
      </c>
      <c r="X2880" s="28"/>
      <c r="Y2880" s="30">
        <v>44024</v>
      </c>
      <c r="Z2880" s="28" t="s">
        <v>66</v>
      </c>
      <c r="AA2880" s="30">
        <v>44067</v>
      </c>
      <c r="AB2880" s="28"/>
    </row>
    <row r="2881" spans="1:28" ht="15.75" thickTop="1">
      <c r="A2881" s="284" t="s">
        <v>3129</v>
      </c>
      <c r="C2881" s="25">
        <v>180</v>
      </c>
      <c r="D2881" s="25">
        <v>28126</v>
      </c>
      <c r="E2881" s="25" t="s">
        <v>6658</v>
      </c>
      <c r="F2881" s="26">
        <v>29702011205589</v>
      </c>
      <c r="G2881" s="25" t="s">
        <v>34</v>
      </c>
      <c r="H2881" s="25" t="s">
        <v>6671</v>
      </c>
      <c r="I2881" s="25" t="s">
        <v>4315</v>
      </c>
      <c r="J2881" s="27">
        <v>43998</v>
      </c>
      <c r="K2881" s="25" t="s">
        <v>8</v>
      </c>
      <c r="L2881" s="25" t="s">
        <v>12</v>
      </c>
      <c r="M2881" s="25" t="s">
        <v>5940</v>
      </c>
      <c r="N2881" s="25"/>
      <c r="O2881" s="224">
        <v>0.75</v>
      </c>
      <c r="P2881" s="25">
        <v>8</v>
      </c>
      <c r="Q2881" s="224">
        <v>0.87</v>
      </c>
      <c r="R2881" s="77">
        <v>3</v>
      </c>
      <c r="S2881" s="77">
        <v>2.5</v>
      </c>
      <c r="T2881" s="77">
        <v>2</v>
      </c>
      <c r="U2881" s="77">
        <v>2.5</v>
      </c>
      <c r="V2881" s="77">
        <v>3</v>
      </c>
      <c r="W2881" s="25" t="s">
        <v>171</v>
      </c>
      <c r="X2881" s="25" t="s">
        <v>66</v>
      </c>
      <c r="Y2881" s="27">
        <v>44045</v>
      </c>
      <c r="Z2881" s="25" t="s">
        <v>66</v>
      </c>
      <c r="AA2881" s="27">
        <v>44059</v>
      </c>
      <c r="AB2881" s="25"/>
    </row>
    <row r="2882" spans="1:28">
      <c r="A2882" s="285"/>
      <c r="C2882" s="25">
        <v>180</v>
      </c>
      <c r="D2882" s="2">
        <v>28127</v>
      </c>
      <c r="E2882" s="2" t="s">
        <v>6659</v>
      </c>
      <c r="F2882" s="3">
        <v>29707250400166</v>
      </c>
      <c r="G2882" s="2" t="s">
        <v>34</v>
      </c>
      <c r="H2882" s="2" t="s">
        <v>6672</v>
      </c>
      <c r="I2882" s="2" t="s">
        <v>4315</v>
      </c>
      <c r="J2882" s="4">
        <v>43998</v>
      </c>
      <c r="K2882" s="2" t="s">
        <v>8</v>
      </c>
      <c r="L2882" s="2" t="s">
        <v>12</v>
      </c>
      <c r="M2882" s="2" t="s">
        <v>5942</v>
      </c>
      <c r="O2882" s="225">
        <v>0.85</v>
      </c>
      <c r="P2882" s="103">
        <v>19</v>
      </c>
      <c r="Q2882" s="225">
        <v>0.94</v>
      </c>
      <c r="R2882" s="77">
        <v>3</v>
      </c>
      <c r="S2882" s="77">
        <v>2.5</v>
      </c>
      <c r="T2882" s="77">
        <v>2</v>
      </c>
      <c r="U2882" s="77">
        <v>2</v>
      </c>
      <c r="V2882" s="77">
        <v>3</v>
      </c>
      <c r="W2882" s="16" t="s">
        <v>59</v>
      </c>
      <c r="X2882" s="2" t="s">
        <v>66</v>
      </c>
      <c r="Y2882" s="27">
        <v>44025</v>
      </c>
      <c r="Z2882" s="16" t="s">
        <v>67</v>
      </c>
      <c r="AB2882" s="2" t="s">
        <v>6922</v>
      </c>
    </row>
    <row r="2883" spans="1:28">
      <c r="A2883" s="285"/>
      <c r="C2883" s="25">
        <v>180</v>
      </c>
      <c r="D2883" s="2">
        <v>28128</v>
      </c>
      <c r="E2883" s="2" t="s">
        <v>6660</v>
      </c>
      <c r="F2883" s="3">
        <v>28601180100449</v>
      </c>
      <c r="G2883" s="2" t="s">
        <v>34</v>
      </c>
      <c r="H2883" s="2" t="s">
        <v>6673</v>
      </c>
      <c r="I2883" s="2" t="s">
        <v>4315</v>
      </c>
      <c r="J2883" s="4">
        <v>43998</v>
      </c>
      <c r="K2883" s="2" t="s">
        <v>8</v>
      </c>
      <c r="L2883" s="2" t="s">
        <v>12</v>
      </c>
      <c r="M2883" s="2" t="s">
        <v>5940</v>
      </c>
      <c r="O2883" s="225">
        <v>0.95</v>
      </c>
      <c r="P2883" s="103">
        <v>27</v>
      </c>
      <c r="Q2883" s="225">
        <v>0.92</v>
      </c>
      <c r="R2883" s="77">
        <v>3</v>
      </c>
      <c r="S2883" s="77">
        <v>3</v>
      </c>
      <c r="T2883" s="77">
        <v>2.5</v>
      </c>
      <c r="U2883" s="77">
        <v>2.5</v>
      </c>
      <c r="V2883" s="77">
        <v>3</v>
      </c>
      <c r="W2883" s="16" t="s">
        <v>60</v>
      </c>
      <c r="Y2883" s="27">
        <v>44025</v>
      </c>
      <c r="AB2883" s="2" t="s">
        <v>6987</v>
      </c>
    </row>
    <row r="2884" spans="1:28">
      <c r="A2884" s="285"/>
      <c r="C2884" s="25">
        <v>180</v>
      </c>
      <c r="D2884" s="2">
        <v>28129</v>
      </c>
      <c r="E2884" s="2" t="s">
        <v>6661</v>
      </c>
      <c r="F2884" s="3">
        <v>28902011701433</v>
      </c>
      <c r="G2884" s="2" t="s">
        <v>34</v>
      </c>
      <c r="H2884" s="2" t="s">
        <v>6674</v>
      </c>
      <c r="I2884" s="2" t="s">
        <v>4315</v>
      </c>
      <c r="J2884" s="4">
        <v>43998</v>
      </c>
      <c r="K2884" s="2" t="s">
        <v>8</v>
      </c>
      <c r="L2884" s="2" t="s">
        <v>12</v>
      </c>
      <c r="M2884" s="2" t="s">
        <v>4706</v>
      </c>
      <c r="W2884" s="16" t="s">
        <v>64</v>
      </c>
      <c r="Z2884" s="16" t="s">
        <v>67</v>
      </c>
    </row>
    <row r="2885" spans="1:28">
      <c r="A2885" s="285"/>
      <c r="C2885" s="25">
        <v>180</v>
      </c>
      <c r="D2885" s="2">
        <v>28130</v>
      </c>
      <c r="E2885" s="2" t="s">
        <v>6662</v>
      </c>
      <c r="F2885" s="3">
        <v>29508260100877</v>
      </c>
      <c r="G2885" s="2" t="s">
        <v>34</v>
      </c>
      <c r="H2885" s="2" t="s">
        <v>6675</v>
      </c>
      <c r="I2885" s="2" t="s">
        <v>4315</v>
      </c>
      <c r="J2885" s="4">
        <v>43998</v>
      </c>
      <c r="K2885" s="2" t="s">
        <v>8</v>
      </c>
      <c r="L2885" s="2" t="s">
        <v>12</v>
      </c>
      <c r="M2885" s="2" t="s">
        <v>4257</v>
      </c>
      <c r="O2885" s="225">
        <v>0.7</v>
      </c>
      <c r="P2885" s="103">
        <v>18</v>
      </c>
      <c r="Q2885" s="225">
        <v>0.94</v>
      </c>
      <c r="R2885" s="77">
        <v>3</v>
      </c>
      <c r="S2885" s="77">
        <v>2.5</v>
      </c>
      <c r="T2885" s="77">
        <v>2.5</v>
      </c>
      <c r="U2885" s="77">
        <v>2</v>
      </c>
      <c r="V2885" s="77">
        <v>3</v>
      </c>
      <c r="W2885" s="16" t="s">
        <v>171</v>
      </c>
      <c r="X2885" s="2" t="s">
        <v>66</v>
      </c>
      <c r="Y2885" s="27">
        <v>44045</v>
      </c>
      <c r="Z2885" s="16" t="s">
        <v>66</v>
      </c>
      <c r="AA2885" s="7">
        <v>44059</v>
      </c>
    </row>
    <row r="2886" spans="1:28">
      <c r="A2886" s="285"/>
      <c r="C2886" s="25">
        <v>180</v>
      </c>
      <c r="D2886" s="2">
        <v>28131</v>
      </c>
      <c r="E2886" s="2" t="s">
        <v>6663</v>
      </c>
      <c r="F2886" s="3">
        <v>28812158800756</v>
      </c>
      <c r="G2886" s="2" t="s">
        <v>34</v>
      </c>
      <c r="H2886" s="2" t="s">
        <v>6676</v>
      </c>
      <c r="I2886" s="2" t="s">
        <v>4315</v>
      </c>
      <c r="J2886" s="4">
        <v>43998</v>
      </c>
      <c r="K2886" s="2" t="s">
        <v>8</v>
      </c>
      <c r="L2886" s="2" t="s">
        <v>12</v>
      </c>
      <c r="M2886" s="2" t="s">
        <v>4706</v>
      </c>
      <c r="O2886" s="225">
        <v>0.85</v>
      </c>
      <c r="P2886" s="103">
        <v>29</v>
      </c>
      <c r="Q2886" s="225">
        <v>0.86</v>
      </c>
      <c r="R2886" s="77">
        <v>3</v>
      </c>
      <c r="S2886" s="77">
        <v>3</v>
      </c>
      <c r="T2886" s="77">
        <v>2.5</v>
      </c>
      <c r="U2886" s="77">
        <v>2</v>
      </c>
      <c r="V2886" s="77">
        <v>3</v>
      </c>
      <c r="W2886" s="16" t="s">
        <v>170</v>
      </c>
      <c r="Y2886" s="27">
        <v>44025</v>
      </c>
      <c r="Z2886" s="16" t="s">
        <v>66</v>
      </c>
      <c r="AA2886" s="7">
        <v>44067</v>
      </c>
      <c r="AB2886" s="2" t="s">
        <v>61</v>
      </c>
    </row>
    <row r="2887" spans="1:28">
      <c r="A2887" s="285"/>
      <c r="C2887" s="25">
        <v>180</v>
      </c>
      <c r="D2887" s="2">
        <v>28132</v>
      </c>
      <c r="E2887" s="2" t="s">
        <v>6664</v>
      </c>
      <c r="F2887" s="3">
        <v>28606022102088</v>
      </c>
      <c r="G2887" s="2" t="s">
        <v>34</v>
      </c>
      <c r="H2887" s="2" t="s">
        <v>6677</v>
      </c>
      <c r="I2887" s="2" t="s">
        <v>4315</v>
      </c>
      <c r="J2887" s="4">
        <v>43998</v>
      </c>
      <c r="K2887" s="2" t="s">
        <v>8</v>
      </c>
      <c r="L2887" s="2" t="s">
        <v>12</v>
      </c>
      <c r="M2887" s="2" t="s">
        <v>6665</v>
      </c>
      <c r="W2887" s="16" t="s">
        <v>64</v>
      </c>
      <c r="Z2887" s="16" t="s">
        <v>67</v>
      </c>
    </row>
    <row r="2888" spans="1:28">
      <c r="A2888" s="285"/>
      <c r="C2888" s="25">
        <v>180</v>
      </c>
      <c r="D2888" s="2">
        <v>28133</v>
      </c>
      <c r="E2888" s="2" t="s">
        <v>6666</v>
      </c>
      <c r="F2888" s="3">
        <v>29809280101101</v>
      </c>
      <c r="G2888" s="2" t="s">
        <v>5890</v>
      </c>
      <c r="H2888" s="2" t="s">
        <v>6678</v>
      </c>
      <c r="I2888" s="2" t="s">
        <v>4315</v>
      </c>
      <c r="J2888" s="4">
        <v>43998</v>
      </c>
      <c r="K2888" s="2" t="s">
        <v>8</v>
      </c>
      <c r="L2888" s="2" t="s">
        <v>12</v>
      </c>
      <c r="M2888" s="2" t="s">
        <v>5982</v>
      </c>
      <c r="W2888" s="16" t="s">
        <v>64</v>
      </c>
      <c r="Z2888" s="16" t="s">
        <v>67</v>
      </c>
    </row>
    <row r="2889" spans="1:28">
      <c r="A2889" s="285"/>
      <c r="C2889" s="25">
        <v>180</v>
      </c>
      <c r="D2889" s="2">
        <v>28134</v>
      </c>
      <c r="E2889" s="2" t="s">
        <v>6667</v>
      </c>
      <c r="F2889" s="3">
        <v>29406172100894</v>
      </c>
      <c r="G2889" s="2" t="s">
        <v>34</v>
      </c>
      <c r="H2889" s="2" t="s">
        <v>6679</v>
      </c>
      <c r="I2889" s="2" t="s">
        <v>4315</v>
      </c>
      <c r="J2889" s="4">
        <v>43998</v>
      </c>
      <c r="K2889" s="2" t="s">
        <v>8</v>
      </c>
      <c r="L2889" s="2" t="s">
        <v>12</v>
      </c>
      <c r="M2889" s="2" t="s">
        <v>4706</v>
      </c>
      <c r="W2889" s="16" t="s">
        <v>63</v>
      </c>
      <c r="Z2889" s="16" t="s">
        <v>67</v>
      </c>
    </row>
    <row r="2890" spans="1:28">
      <c r="A2890" s="285"/>
      <c r="C2890" s="25">
        <v>180</v>
      </c>
      <c r="D2890" s="2">
        <v>28135</v>
      </c>
      <c r="E2890" s="2" t="s">
        <v>6668</v>
      </c>
      <c r="F2890" s="3">
        <v>28912130103175</v>
      </c>
      <c r="G2890" s="2" t="s">
        <v>34</v>
      </c>
      <c r="H2890" s="2" t="s">
        <v>6680</v>
      </c>
      <c r="I2890" s="2" t="s">
        <v>4315</v>
      </c>
      <c r="J2890" s="4">
        <v>43998</v>
      </c>
      <c r="K2890" s="2" t="s">
        <v>8</v>
      </c>
      <c r="L2890" s="2" t="s">
        <v>12</v>
      </c>
      <c r="M2890" s="2" t="s">
        <v>4706</v>
      </c>
      <c r="O2890" s="225">
        <v>0.85</v>
      </c>
      <c r="P2890" s="103">
        <v>22</v>
      </c>
      <c r="Q2890" s="225">
        <v>0.91</v>
      </c>
      <c r="R2890" s="77">
        <v>3</v>
      </c>
      <c r="S2890" s="77">
        <v>2.5</v>
      </c>
      <c r="T2890" s="77">
        <v>2</v>
      </c>
      <c r="U2890" s="77">
        <v>2</v>
      </c>
      <c r="V2890" s="77">
        <v>3</v>
      </c>
      <c r="W2890" s="16" t="s">
        <v>5714</v>
      </c>
      <c r="X2890" s="2" t="s">
        <v>66</v>
      </c>
      <c r="Y2890" s="7">
        <v>44025</v>
      </c>
      <c r="Z2890" s="16" t="s">
        <v>67</v>
      </c>
    </row>
    <row r="2891" spans="1:28">
      <c r="A2891" s="285"/>
      <c r="C2891" s="25">
        <v>180</v>
      </c>
      <c r="D2891" s="2">
        <v>28136</v>
      </c>
      <c r="E2891" s="2" t="s">
        <v>6669</v>
      </c>
      <c r="F2891" s="3">
        <v>29304170104518</v>
      </c>
      <c r="G2891" s="2" t="s">
        <v>34</v>
      </c>
      <c r="H2891" s="2" t="s">
        <v>6681</v>
      </c>
      <c r="I2891" s="2" t="s">
        <v>4315</v>
      </c>
      <c r="J2891" s="4">
        <v>43998</v>
      </c>
      <c r="K2891" s="2" t="s">
        <v>8</v>
      </c>
      <c r="L2891" s="2" t="s">
        <v>12</v>
      </c>
      <c r="M2891" s="2" t="s">
        <v>4706</v>
      </c>
      <c r="O2891" s="225">
        <v>1</v>
      </c>
      <c r="P2891" s="103">
        <v>25</v>
      </c>
      <c r="Q2891" s="225">
        <v>1</v>
      </c>
      <c r="R2891" s="77">
        <v>3</v>
      </c>
      <c r="S2891" s="77">
        <v>2.5</v>
      </c>
      <c r="T2891" s="77">
        <v>2</v>
      </c>
      <c r="U2891" s="77">
        <v>2</v>
      </c>
      <c r="V2891" s="77">
        <v>3</v>
      </c>
      <c r="W2891" s="16" t="s">
        <v>59</v>
      </c>
      <c r="X2891" s="2" t="s">
        <v>66</v>
      </c>
      <c r="Y2891" s="7">
        <v>44025</v>
      </c>
      <c r="Z2891" s="16" t="s">
        <v>67</v>
      </c>
      <c r="AB2891" s="2" t="s">
        <v>4438</v>
      </c>
    </row>
    <row r="2892" spans="1:28" ht="15.75" thickBot="1">
      <c r="A2892" s="286"/>
      <c r="C2892" s="28">
        <v>180</v>
      </c>
      <c r="D2892" s="28">
        <v>28137</v>
      </c>
      <c r="E2892" s="28" t="s">
        <v>6670</v>
      </c>
      <c r="F2892" s="29">
        <v>28410031700336</v>
      </c>
      <c r="G2892" s="28" t="s">
        <v>34</v>
      </c>
      <c r="H2892" s="28" t="s">
        <v>6682</v>
      </c>
      <c r="I2892" s="28" t="s">
        <v>4315</v>
      </c>
      <c r="J2892" s="30">
        <v>43998</v>
      </c>
      <c r="K2892" s="28" t="s">
        <v>8</v>
      </c>
      <c r="L2892" s="28" t="s">
        <v>12</v>
      </c>
      <c r="M2892" s="28" t="s">
        <v>5982</v>
      </c>
      <c r="N2892" s="28"/>
      <c r="O2892" s="226">
        <v>0.95</v>
      </c>
      <c r="P2892" s="28">
        <v>23</v>
      </c>
      <c r="Q2892" s="226">
        <v>0.95</v>
      </c>
      <c r="R2892" s="37">
        <v>3</v>
      </c>
      <c r="S2892" s="37">
        <v>3</v>
      </c>
      <c r="T2892" s="37">
        <v>2</v>
      </c>
      <c r="U2892" s="37">
        <v>2</v>
      </c>
      <c r="V2892" s="37">
        <v>3</v>
      </c>
      <c r="W2892" s="28" t="s">
        <v>59</v>
      </c>
      <c r="X2892" s="28" t="s">
        <v>66</v>
      </c>
      <c r="Y2892" s="30">
        <v>44025</v>
      </c>
      <c r="Z2892" s="28" t="s">
        <v>67</v>
      </c>
      <c r="AA2892" s="30"/>
      <c r="AB2892" s="28" t="s">
        <v>4438</v>
      </c>
    </row>
    <row r="2893" spans="1:28" ht="15.75" thickTop="1">
      <c r="A2893" s="284" t="s">
        <v>4077</v>
      </c>
      <c r="C2893" s="25">
        <v>181</v>
      </c>
      <c r="D2893" s="25">
        <v>28138</v>
      </c>
      <c r="E2893" s="25" t="s">
        <v>6683</v>
      </c>
      <c r="F2893" s="26">
        <v>30112142100689</v>
      </c>
      <c r="G2893" s="25" t="s">
        <v>5856</v>
      </c>
      <c r="H2893" s="25" t="s">
        <v>6696</v>
      </c>
      <c r="I2893" s="25" t="s">
        <v>4315</v>
      </c>
      <c r="J2893" s="27">
        <v>44004</v>
      </c>
      <c r="K2893" s="25" t="s">
        <v>8</v>
      </c>
      <c r="L2893" s="25" t="s">
        <v>12</v>
      </c>
      <c r="M2893" s="25" t="s">
        <v>6684</v>
      </c>
      <c r="N2893" s="25"/>
      <c r="O2893" s="224">
        <v>0.95</v>
      </c>
      <c r="P2893" s="25">
        <v>24</v>
      </c>
      <c r="Q2893" s="224">
        <v>1</v>
      </c>
      <c r="R2893" s="92">
        <v>3</v>
      </c>
      <c r="S2893" s="92">
        <v>2.5</v>
      </c>
      <c r="T2893" s="92">
        <v>2.5</v>
      </c>
      <c r="U2893" s="92">
        <v>2.5</v>
      </c>
      <c r="V2893" s="92">
        <v>3</v>
      </c>
      <c r="W2893" s="25" t="s">
        <v>4212</v>
      </c>
      <c r="X2893" s="25"/>
      <c r="Y2893" s="27">
        <v>44028</v>
      </c>
      <c r="Z2893" s="25" t="s">
        <v>67</v>
      </c>
      <c r="AA2893" s="27"/>
      <c r="AB2893" s="25" t="s">
        <v>5775</v>
      </c>
    </row>
    <row r="2894" spans="1:28">
      <c r="A2894" s="285"/>
      <c r="C2894" s="25">
        <v>181</v>
      </c>
      <c r="D2894" s="2">
        <v>28139</v>
      </c>
      <c r="E2894" s="2" t="s">
        <v>6685</v>
      </c>
      <c r="F2894" s="3">
        <v>29404280202277</v>
      </c>
      <c r="G2894" s="2" t="s">
        <v>34</v>
      </c>
      <c r="H2894" s="2" t="s">
        <v>6697</v>
      </c>
      <c r="I2894" s="2" t="s">
        <v>4315</v>
      </c>
      <c r="J2894" s="4">
        <v>44004</v>
      </c>
      <c r="K2894" s="2" t="s">
        <v>8</v>
      </c>
      <c r="L2894" s="2" t="s">
        <v>12</v>
      </c>
      <c r="M2894" s="2" t="s">
        <v>6686</v>
      </c>
      <c r="O2894" s="225">
        <v>0.91</v>
      </c>
      <c r="P2894" s="103">
        <v>37</v>
      </c>
      <c r="Q2894" s="225">
        <v>0.85</v>
      </c>
      <c r="R2894" s="77">
        <v>3</v>
      </c>
      <c r="S2894" s="77">
        <v>2.5</v>
      </c>
      <c r="T2894" s="77">
        <v>2</v>
      </c>
      <c r="U2894" s="77">
        <v>2</v>
      </c>
      <c r="V2894" s="77">
        <v>3</v>
      </c>
      <c r="W2894" s="16" t="s">
        <v>62</v>
      </c>
      <c r="X2894" s="2" t="s">
        <v>66</v>
      </c>
      <c r="Y2894" s="7">
        <v>44045</v>
      </c>
      <c r="Z2894" s="16" t="s">
        <v>66</v>
      </c>
      <c r="AA2894" s="7">
        <v>44047</v>
      </c>
      <c r="AB2894" s="2" t="s">
        <v>6780</v>
      </c>
    </row>
    <row r="2895" spans="1:28">
      <c r="A2895" s="285"/>
      <c r="C2895" s="25">
        <v>181</v>
      </c>
      <c r="D2895" s="2">
        <v>28140</v>
      </c>
      <c r="E2895" s="2" t="s">
        <v>6687</v>
      </c>
      <c r="F2895" s="3">
        <v>29703310103314</v>
      </c>
      <c r="G2895" s="2" t="s">
        <v>5890</v>
      </c>
      <c r="H2895" s="2" t="s">
        <v>6698</v>
      </c>
      <c r="I2895" s="2" t="s">
        <v>4315</v>
      </c>
      <c r="J2895" s="4">
        <v>44004</v>
      </c>
      <c r="K2895" s="2" t="s">
        <v>8</v>
      </c>
      <c r="L2895" s="2" t="s">
        <v>12</v>
      </c>
      <c r="M2895" s="2" t="s">
        <v>6688</v>
      </c>
      <c r="O2895" s="225" t="s">
        <v>6737</v>
      </c>
      <c r="P2895" s="103">
        <v>31</v>
      </c>
      <c r="Q2895" s="225">
        <v>0.96</v>
      </c>
      <c r="R2895" s="77">
        <v>3</v>
      </c>
      <c r="S2895" s="77">
        <v>3</v>
      </c>
      <c r="T2895" s="77">
        <v>2</v>
      </c>
      <c r="U2895" s="77">
        <v>2.5</v>
      </c>
      <c r="V2895" s="77">
        <v>3</v>
      </c>
      <c r="W2895" s="16" t="s">
        <v>171</v>
      </c>
      <c r="Y2895" s="7">
        <v>44028</v>
      </c>
      <c r="Z2895" s="16" t="s">
        <v>66</v>
      </c>
      <c r="AA2895" s="7">
        <v>44059</v>
      </c>
    </row>
    <row r="2896" spans="1:28">
      <c r="A2896" s="285"/>
      <c r="C2896" s="25">
        <v>181</v>
      </c>
      <c r="D2896" s="2">
        <v>28141</v>
      </c>
      <c r="E2896" s="2" t="s">
        <v>6689</v>
      </c>
      <c r="F2896" s="3">
        <v>29801242100664</v>
      </c>
      <c r="G2896" s="2" t="s">
        <v>34</v>
      </c>
      <c r="H2896" s="2" t="s">
        <v>6699</v>
      </c>
      <c r="I2896" s="2" t="s">
        <v>4315</v>
      </c>
      <c r="J2896" s="4">
        <v>44004</v>
      </c>
      <c r="K2896" s="2" t="s">
        <v>8</v>
      </c>
      <c r="L2896" s="2" t="s">
        <v>12</v>
      </c>
      <c r="M2896" s="2" t="s">
        <v>6688</v>
      </c>
      <c r="O2896" s="225">
        <v>0.8</v>
      </c>
      <c r="P2896" s="103">
        <v>21</v>
      </c>
      <c r="Q2896" s="225">
        <v>0.85</v>
      </c>
      <c r="R2896" s="77">
        <v>3</v>
      </c>
      <c r="S2896" s="77">
        <v>2.5</v>
      </c>
      <c r="T2896" s="77">
        <v>2</v>
      </c>
      <c r="U2896" s="77">
        <v>2.5</v>
      </c>
      <c r="V2896" s="77">
        <v>3</v>
      </c>
      <c r="W2896" s="16" t="s">
        <v>171</v>
      </c>
      <c r="Y2896" s="7">
        <v>44028</v>
      </c>
      <c r="Z2896" s="16" t="s">
        <v>67</v>
      </c>
      <c r="AB2896" s="2" t="s">
        <v>6986</v>
      </c>
    </row>
    <row r="2897" spans="1:28">
      <c r="A2897" s="285"/>
      <c r="C2897" s="25">
        <v>181</v>
      </c>
      <c r="D2897" s="2">
        <v>28142</v>
      </c>
      <c r="E2897" s="2" t="s">
        <v>6690</v>
      </c>
      <c r="F2897" s="3">
        <v>29904012110419</v>
      </c>
      <c r="G2897" s="2" t="s">
        <v>5890</v>
      </c>
      <c r="H2897" s="2" t="s">
        <v>6700</v>
      </c>
      <c r="I2897" s="2" t="s">
        <v>4315</v>
      </c>
      <c r="J2897" s="4">
        <v>44004</v>
      </c>
      <c r="K2897" s="2" t="s">
        <v>8</v>
      </c>
      <c r="L2897" s="2" t="s">
        <v>12</v>
      </c>
      <c r="M2897" s="2" t="s">
        <v>6688</v>
      </c>
      <c r="O2897" s="225">
        <v>0.96</v>
      </c>
      <c r="P2897" s="103">
        <v>27</v>
      </c>
      <c r="Q2897" s="225">
        <v>0.9</v>
      </c>
      <c r="R2897" s="77">
        <v>3</v>
      </c>
      <c r="S2897" s="77">
        <v>3</v>
      </c>
      <c r="T2897" s="77">
        <v>2</v>
      </c>
      <c r="U2897" s="77">
        <v>2</v>
      </c>
      <c r="V2897" s="77">
        <v>3</v>
      </c>
      <c r="W2897" s="16" t="s">
        <v>59</v>
      </c>
      <c r="X2897" s="2" t="s">
        <v>66</v>
      </c>
      <c r="Y2897" s="7">
        <v>44028</v>
      </c>
      <c r="Z2897" s="16" t="s">
        <v>67</v>
      </c>
    </row>
    <row r="2898" spans="1:28">
      <c r="A2898" s="285"/>
      <c r="C2898" s="25">
        <v>181</v>
      </c>
      <c r="D2898" s="2">
        <v>28143</v>
      </c>
      <c r="E2898" s="2" t="s">
        <v>6691</v>
      </c>
      <c r="F2898" s="3">
        <v>29510010101252</v>
      </c>
      <c r="G2898" s="2" t="s">
        <v>34</v>
      </c>
      <c r="H2898" s="2" t="s">
        <v>6701</v>
      </c>
      <c r="I2898" s="2" t="s">
        <v>4315</v>
      </c>
      <c r="J2898" s="4">
        <v>44004</v>
      </c>
      <c r="K2898" s="2" t="s">
        <v>8</v>
      </c>
      <c r="L2898" s="2" t="s">
        <v>12</v>
      </c>
      <c r="M2898" s="2" t="s">
        <v>6692</v>
      </c>
      <c r="O2898" s="225">
        <v>1</v>
      </c>
      <c r="P2898" s="103">
        <v>19</v>
      </c>
      <c r="Q2898" s="225">
        <v>0.9</v>
      </c>
      <c r="R2898" s="77">
        <v>3</v>
      </c>
      <c r="S2898" s="77">
        <v>2.5</v>
      </c>
      <c r="T2898" s="77">
        <v>2</v>
      </c>
      <c r="U2898" s="77">
        <v>1.5</v>
      </c>
      <c r="V2898" s="77">
        <v>3</v>
      </c>
      <c r="W2898" s="16" t="s">
        <v>62</v>
      </c>
      <c r="Y2898" s="7">
        <v>44028</v>
      </c>
    </row>
    <row r="2899" spans="1:28">
      <c r="A2899" s="285"/>
      <c r="C2899" s="25">
        <v>181</v>
      </c>
      <c r="D2899" s="2">
        <v>28144</v>
      </c>
      <c r="E2899" s="2" t="s">
        <v>6693</v>
      </c>
      <c r="F2899" s="3">
        <v>29506232101199</v>
      </c>
      <c r="G2899" s="2" t="s">
        <v>34</v>
      </c>
      <c r="H2899" s="2" t="s">
        <v>6702</v>
      </c>
      <c r="I2899" s="2" t="s">
        <v>4315</v>
      </c>
      <c r="J2899" s="4">
        <v>44004</v>
      </c>
      <c r="K2899" s="2" t="s">
        <v>8</v>
      </c>
      <c r="L2899" s="2" t="s">
        <v>12</v>
      </c>
      <c r="M2899" s="2" t="s">
        <v>6688</v>
      </c>
      <c r="O2899" s="225">
        <v>0.82</v>
      </c>
      <c r="P2899" s="103">
        <v>23</v>
      </c>
      <c r="Q2899" s="225">
        <v>0.9</v>
      </c>
      <c r="R2899" s="77">
        <v>3</v>
      </c>
      <c r="S2899" s="77">
        <v>3</v>
      </c>
      <c r="T2899" s="77">
        <v>2</v>
      </c>
      <c r="U2899" s="77">
        <v>2</v>
      </c>
      <c r="V2899" s="77">
        <v>3</v>
      </c>
      <c r="W2899" s="16" t="s">
        <v>5714</v>
      </c>
      <c r="X2899" s="2" t="s">
        <v>66</v>
      </c>
      <c r="Y2899" s="7">
        <v>44028</v>
      </c>
      <c r="Z2899" s="16" t="s">
        <v>67</v>
      </c>
    </row>
    <row r="2900" spans="1:28" ht="15.75" thickBot="1">
      <c r="A2900" s="286"/>
      <c r="C2900" s="28">
        <v>181</v>
      </c>
      <c r="D2900" s="28">
        <v>28145</v>
      </c>
      <c r="E2900" s="28" t="s">
        <v>6694</v>
      </c>
      <c r="F2900" s="29">
        <v>30011070202537</v>
      </c>
      <c r="G2900" s="28" t="s">
        <v>5890</v>
      </c>
      <c r="H2900" s="28" t="s">
        <v>6703</v>
      </c>
      <c r="I2900" s="28" t="s">
        <v>4315</v>
      </c>
      <c r="J2900" s="30">
        <v>44004</v>
      </c>
      <c r="K2900" s="28" t="s">
        <v>8</v>
      </c>
      <c r="L2900" s="28" t="s">
        <v>12</v>
      </c>
      <c r="M2900" s="28" t="s">
        <v>6695</v>
      </c>
      <c r="N2900" s="28"/>
      <c r="O2900" s="226">
        <v>1</v>
      </c>
      <c r="P2900" s="28">
        <v>20</v>
      </c>
      <c r="Q2900" s="226">
        <v>0.95</v>
      </c>
      <c r="R2900" s="37">
        <v>3</v>
      </c>
      <c r="S2900" s="37">
        <v>2.5</v>
      </c>
      <c r="T2900" s="37">
        <v>2</v>
      </c>
      <c r="U2900" s="37">
        <v>2.5</v>
      </c>
      <c r="V2900" s="37">
        <v>3</v>
      </c>
      <c r="W2900" s="28" t="s">
        <v>171</v>
      </c>
      <c r="X2900" s="28"/>
      <c r="Y2900" s="30">
        <v>44028</v>
      </c>
      <c r="Z2900" s="28" t="s">
        <v>66</v>
      </c>
      <c r="AA2900" s="30">
        <v>44059</v>
      </c>
      <c r="AB2900" s="28"/>
    </row>
    <row r="2901" spans="1:28" ht="15.75" thickTop="1">
      <c r="A2901" s="284" t="s">
        <v>1249</v>
      </c>
      <c r="C2901" s="25">
        <v>182</v>
      </c>
      <c r="D2901" s="25">
        <v>28146</v>
      </c>
      <c r="E2901" s="25" t="s">
        <v>6704</v>
      </c>
      <c r="F2901" s="26">
        <v>29909060105224</v>
      </c>
      <c r="G2901" s="25" t="s">
        <v>5890</v>
      </c>
      <c r="H2901" s="25" t="s">
        <v>6705</v>
      </c>
      <c r="I2901" s="25" t="s">
        <v>4315</v>
      </c>
      <c r="J2901" s="27">
        <v>44010</v>
      </c>
      <c r="K2901" s="25" t="s">
        <v>8</v>
      </c>
      <c r="L2901" s="25" t="s">
        <v>12</v>
      </c>
      <c r="M2901" s="25" t="s">
        <v>4706</v>
      </c>
      <c r="N2901" s="25"/>
      <c r="O2901" s="224"/>
      <c r="P2901" s="25">
        <v>15</v>
      </c>
      <c r="Q2901" s="224">
        <v>0.05</v>
      </c>
      <c r="R2901" s="77">
        <v>3</v>
      </c>
      <c r="S2901" s="77">
        <v>2.5</v>
      </c>
      <c r="T2901" s="77">
        <v>2.5</v>
      </c>
      <c r="U2901" s="77">
        <v>2.5</v>
      </c>
      <c r="V2901" s="77">
        <v>3</v>
      </c>
      <c r="W2901" s="25" t="s">
        <v>171</v>
      </c>
      <c r="X2901" s="25"/>
      <c r="Y2901" s="27">
        <v>44041</v>
      </c>
      <c r="Z2901" s="25" t="s">
        <v>66</v>
      </c>
      <c r="AA2901" s="27">
        <v>44047</v>
      </c>
      <c r="AB2901" s="25" t="s">
        <v>6783</v>
      </c>
    </row>
    <row r="2902" spans="1:28">
      <c r="A2902" s="285"/>
      <c r="C2902" s="25">
        <v>182</v>
      </c>
      <c r="D2902" s="2">
        <v>28147</v>
      </c>
      <c r="E2902" s="2" t="s">
        <v>6706</v>
      </c>
      <c r="F2902" s="3">
        <v>29812120100525</v>
      </c>
      <c r="G2902" s="2" t="s">
        <v>5890</v>
      </c>
      <c r="H2902" s="2" t="s">
        <v>6707</v>
      </c>
      <c r="I2902" s="2" t="s">
        <v>4315</v>
      </c>
      <c r="J2902" s="4">
        <v>44010</v>
      </c>
      <c r="K2902" s="2" t="s">
        <v>8</v>
      </c>
      <c r="L2902" s="2" t="s">
        <v>12</v>
      </c>
      <c r="M2902" s="2" t="s">
        <v>4706</v>
      </c>
      <c r="P2902" s="103">
        <v>33</v>
      </c>
      <c r="Q2902" s="225">
        <v>0.94</v>
      </c>
      <c r="R2902" s="77">
        <v>3</v>
      </c>
      <c r="S2902" s="77">
        <v>2.5</v>
      </c>
      <c r="T2902" s="77">
        <v>2</v>
      </c>
      <c r="U2902" s="77">
        <v>2.5</v>
      </c>
      <c r="V2902" s="77">
        <v>3</v>
      </c>
      <c r="W2902" s="16" t="s">
        <v>171</v>
      </c>
      <c r="Y2902" s="27">
        <v>44041</v>
      </c>
      <c r="Z2902" s="16" t="s">
        <v>66</v>
      </c>
      <c r="AA2902" s="27">
        <v>44047</v>
      </c>
      <c r="AB2902" s="2" t="s">
        <v>6784</v>
      </c>
    </row>
    <row r="2903" spans="1:28">
      <c r="A2903" s="285"/>
      <c r="C2903" s="25">
        <v>182</v>
      </c>
      <c r="D2903" s="2">
        <v>28148</v>
      </c>
      <c r="E2903" s="2" t="s">
        <v>6708</v>
      </c>
      <c r="F2903" s="3">
        <v>29704198800658</v>
      </c>
      <c r="G2903" s="2" t="s">
        <v>34</v>
      </c>
      <c r="H2903" s="2" t="s">
        <v>6709</v>
      </c>
      <c r="I2903" s="2" t="s">
        <v>4315</v>
      </c>
      <c r="J2903" s="4">
        <v>44010</v>
      </c>
      <c r="K2903" s="2" t="s">
        <v>8</v>
      </c>
      <c r="L2903" s="2" t="s">
        <v>12</v>
      </c>
      <c r="M2903" s="2" t="s">
        <v>4706</v>
      </c>
      <c r="P2903" s="103">
        <v>10</v>
      </c>
      <c r="Q2903" s="225">
        <v>0.81</v>
      </c>
      <c r="R2903" s="77">
        <v>3</v>
      </c>
      <c r="S2903" s="77">
        <v>3</v>
      </c>
      <c r="T2903" s="77">
        <v>2.5</v>
      </c>
      <c r="U2903" s="77">
        <v>2</v>
      </c>
      <c r="V2903" s="77">
        <v>3</v>
      </c>
      <c r="W2903" s="16" t="s">
        <v>4212</v>
      </c>
      <c r="X2903" s="2" t="s">
        <v>66</v>
      </c>
      <c r="Y2903" s="27">
        <v>44073</v>
      </c>
      <c r="Z2903" s="16" t="s">
        <v>66</v>
      </c>
      <c r="AA2903" s="7">
        <v>44087</v>
      </c>
    </row>
    <row r="2904" spans="1:28">
      <c r="A2904" s="285"/>
      <c r="C2904" s="25">
        <v>182</v>
      </c>
      <c r="D2904" s="2">
        <v>28149</v>
      </c>
      <c r="E2904" s="2" t="s">
        <v>6710</v>
      </c>
      <c r="F2904" s="3">
        <v>29509190101885</v>
      </c>
      <c r="G2904" s="2" t="s">
        <v>34</v>
      </c>
      <c r="H2904" s="2" t="s">
        <v>6711</v>
      </c>
      <c r="I2904" s="2" t="s">
        <v>4315</v>
      </c>
      <c r="J2904" s="4">
        <v>44010</v>
      </c>
      <c r="K2904" s="2" t="s">
        <v>8</v>
      </c>
      <c r="L2904" s="2" t="s">
        <v>12</v>
      </c>
      <c r="M2904" s="2" t="s">
        <v>4706</v>
      </c>
      <c r="P2904" s="103">
        <v>15</v>
      </c>
      <c r="Q2904" s="225">
        <v>0</v>
      </c>
      <c r="R2904" s="77">
        <v>3</v>
      </c>
      <c r="S2904" s="77">
        <v>2.5</v>
      </c>
      <c r="T2904" s="77">
        <v>2</v>
      </c>
      <c r="U2904" s="77">
        <v>1.5</v>
      </c>
      <c r="V2904" s="77">
        <v>3</v>
      </c>
      <c r="W2904" s="16" t="s">
        <v>62</v>
      </c>
      <c r="Y2904" s="27">
        <v>44041</v>
      </c>
      <c r="Z2904" s="16" t="s">
        <v>66</v>
      </c>
      <c r="AA2904" s="7">
        <v>44047</v>
      </c>
      <c r="AB2904" s="2" t="s">
        <v>7129</v>
      </c>
    </row>
    <row r="2905" spans="1:28">
      <c r="A2905" s="285"/>
      <c r="C2905" s="25">
        <v>182</v>
      </c>
      <c r="D2905" s="2">
        <v>28150</v>
      </c>
      <c r="E2905" s="2" t="s">
        <v>6712</v>
      </c>
      <c r="F2905" s="3">
        <v>28101012102191</v>
      </c>
      <c r="G2905" s="2" t="s">
        <v>34</v>
      </c>
      <c r="H2905" s="2" t="s">
        <v>6713</v>
      </c>
      <c r="I2905" s="2" t="s">
        <v>4315</v>
      </c>
      <c r="J2905" s="4">
        <v>44010</v>
      </c>
      <c r="K2905" s="2" t="s">
        <v>8</v>
      </c>
      <c r="L2905" s="2" t="s">
        <v>12</v>
      </c>
      <c r="M2905" s="2" t="s">
        <v>4706</v>
      </c>
      <c r="P2905" s="103">
        <v>20</v>
      </c>
      <c r="Q2905" s="225">
        <v>0.95</v>
      </c>
      <c r="R2905" s="77">
        <v>3</v>
      </c>
      <c r="S2905" s="77">
        <v>2.5</v>
      </c>
      <c r="T2905" s="77">
        <v>2</v>
      </c>
      <c r="U2905" s="77">
        <v>2</v>
      </c>
      <c r="V2905" s="77">
        <v>3</v>
      </c>
      <c r="W2905" s="16" t="s">
        <v>62</v>
      </c>
      <c r="Y2905" s="27">
        <v>44041</v>
      </c>
    </row>
    <row r="2906" spans="1:28">
      <c r="A2906" s="285"/>
      <c r="C2906" s="25">
        <v>182</v>
      </c>
      <c r="D2906" s="2">
        <v>28151</v>
      </c>
      <c r="E2906" s="2" t="s">
        <v>6714</v>
      </c>
      <c r="F2906" s="3">
        <v>28701252105551</v>
      </c>
      <c r="G2906" s="2" t="s">
        <v>34</v>
      </c>
      <c r="H2906" s="2" t="s">
        <v>6715</v>
      </c>
      <c r="I2906" s="2" t="s">
        <v>4315</v>
      </c>
      <c r="J2906" s="4">
        <v>44010</v>
      </c>
      <c r="K2906" s="2" t="s">
        <v>8</v>
      </c>
      <c r="L2906" s="2" t="s">
        <v>12</v>
      </c>
      <c r="M2906" s="2" t="s">
        <v>4706</v>
      </c>
      <c r="P2906" s="103">
        <v>32</v>
      </c>
      <c r="Q2906" s="225">
        <v>0.81</v>
      </c>
      <c r="R2906" s="77">
        <v>3</v>
      </c>
      <c r="S2906" s="77">
        <v>2.5</v>
      </c>
      <c r="T2906" s="77">
        <v>2.5</v>
      </c>
      <c r="U2906" s="77">
        <v>2.5</v>
      </c>
      <c r="V2906" s="77">
        <v>3</v>
      </c>
      <c r="W2906" s="16" t="s">
        <v>6620</v>
      </c>
      <c r="Y2906" s="27">
        <v>44041</v>
      </c>
      <c r="Z2906" s="16" t="s">
        <v>66</v>
      </c>
      <c r="AA2906" s="7">
        <v>44047</v>
      </c>
      <c r="AB2906" s="2" t="s">
        <v>6787</v>
      </c>
    </row>
    <row r="2907" spans="1:28">
      <c r="A2907" s="285"/>
      <c r="C2907" s="25">
        <v>182</v>
      </c>
      <c r="D2907" s="2">
        <v>28152</v>
      </c>
      <c r="E2907" s="2" t="s">
        <v>6716</v>
      </c>
      <c r="F2907" s="3">
        <v>30008252103614</v>
      </c>
      <c r="G2907" s="2" t="s">
        <v>5890</v>
      </c>
      <c r="H2907" s="2" t="s">
        <v>6717</v>
      </c>
      <c r="I2907" s="2" t="s">
        <v>4315</v>
      </c>
      <c r="J2907" s="4">
        <v>44010</v>
      </c>
      <c r="K2907" s="2" t="s">
        <v>8</v>
      </c>
      <c r="L2907" s="2" t="s">
        <v>12</v>
      </c>
      <c r="M2907" s="2" t="s">
        <v>109</v>
      </c>
      <c r="P2907" s="103">
        <v>18</v>
      </c>
      <c r="Q2907" s="225">
        <v>0.4</v>
      </c>
      <c r="R2907" s="77">
        <v>3</v>
      </c>
      <c r="S2907" s="77">
        <v>3</v>
      </c>
      <c r="T2907" s="77">
        <v>3</v>
      </c>
      <c r="U2907" s="77">
        <v>3</v>
      </c>
      <c r="V2907" s="77">
        <v>3</v>
      </c>
      <c r="W2907" s="16" t="s">
        <v>6750</v>
      </c>
      <c r="Y2907" s="27">
        <v>44041</v>
      </c>
      <c r="Z2907" s="16" t="s">
        <v>66</v>
      </c>
      <c r="AA2907" s="7">
        <v>44059</v>
      </c>
      <c r="AB2907" s="2" t="s">
        <v>61</v>
      </c>
    </row>
    <row r="2908" spans="1:28">
      <c r="A2908" s="285"/>
      <c r="C2908" s="25">
        <v>182</v>
      </c>
      <c r="D2908" s="2">
        <v>28153</v>
      </c>
      <c r="E2908" s="2" t="s">
        <v>6718</v>
      </c>
      <c r="F2908" s="3">
        <v>29504011100721</v>
      </c>
      <c r="G2908" s="2" t="s">
        <v>34</v>
      </c>
      <c r="H2908" s="2" t="s">
        <v>6719</v>
      </c>
      <c r="I2908" s="2" t="s">
        <v>4315</v>
      </c>
      <c r="J2908" s="4">
        <v>44010</v>
      </c>
      <c r="K2908" s="2" t="s">
        <v>8</v>
      </c>
      <c r="L2908" s="2" t="s">
        <v>12</v>
      </c>
      <c r="P2908" s="103">
        <v>12</v>
      </c>
      <c r="Q2908" s="225">
        <v>0.56000000000000005</v>
      </c>
      <c r="R2908" s="77">
        <v>3</v>
      </c>
      <c r="S2908" s="77">
        <v>2.5</v>
      </c>
      <c r="T2908" s="77">
        <v>2</v>
      </c>
      <c r="U2908" s="77">
        <v>2</v>
      </c>
      <c r="V2908" s="77">
        <v>3</v>
      </c>
      <c r="W2908" s="16" t="s">
        <v>62</v>
      </c>
      <c r="X2908" s="2" t="s">
        <v>66</v>
      </c>
      <c r="Y2908" s="27">
        <v>44073</v>
      </c>
      <c r="Z2908" s="16" t="s">
        <v>66</v>
      </c>
      <c r="AA2908" s="7">
        <v>44089</v>
      </c>
      <c r="AB2908" s="2" t="s">
        <v>6780</v>
      </c>
    </row>
    <row r="2909" spans="1:28">
      <c r="A2909" s="285"/>
      <c r="C2909" s="25">
        <v>182</v>
      </c>
      <c r="D2909" s="2">
        <v>28154</v>
      </c>
      <c r="E2909" s="2" t="s">
        <v>6720</v>
      </c>
      <c r="F2909" s="3">
        <v>29506170101391</v>
      </c>
      <c r="G2909" s="2" t="s">
        <v>34</v>
      </c>
      <c r="H2909" s="2" t="s">
        <v>6721</v>
      </c>
      <c r="I2909" s="2" t="s">
        <v>4315</v>
      </c>
      <c r="J2909" s="4">
        <v>44010</v>
      </c>
      <c r="K2909" s="2" t="s">
        <v>8</v>
      </c>
      <c r="L2909" s="2" t="s">
        <v>12</v>
      </c>
      <c r="M2909" s="2" t="s">
        <v>109</v>
      </c>
      <c r="W2909" s="16" t="s">
        <v>64</v>
      </c>
      <c r="Z2909" s="16" t="s">
        <v>67</v>
      </c>
    </row>
    <row r="2910" spans="1:28">
      <c r="A2910" s="285"/>
      <c r="C2910" s="2">
        <v>182</v>
      </c>
      <c r="D2910" s="2">
        <v>28157</v>
      </c>
      <c r="E2910" s="2" t="s">
        <v>6723</v>
      </c>
      <c r="F2910" s="3">
        <v>29410012117429</v>
      </c>
      <c r="G2910" s="2" t="s">
        <v>34</v>
      </c>
      <c r="H2910" s="2" t="s">
        <v>6724</v>
      </c>
      <c r="I2910" s="2" t="s">
        <v>4315</v>
      </c>
      <c r="J2910" s="4">
        <v>44010</v>
      </c>
      <c r="K2910" s="2" t="s">
        <v>8</v>
      </c>
      <c r="L2910" s="2" t="s">
        <v>12</v>
      </c>
      <c r="P2910" s="103">
        <v>19</v>
      </c>
      <c r="Q2910" s="225">
        <v>0.64</v>
      </c>
      <c r="R2910" s="77">
        <v>3</v>
      </c>
      <c r="S2910" s="77">
        <v>2.5</v>
      </c>
      <c r="T2910" s="77">
        <v>2</v>
      </c>
      <c r="U2910" s="77">
        <v>2.5</v>
      </c>
      <c r="V2910" s="77">
        <v>3</v>
      </c>
      <c r="W2910" s="16" t="s">
        <v>171</v>
      </c>
      <c r="Y2910" s="7">
        <v>44041</v>
      </c>
      <c r="Z2910" s="16" t="s">
        <v>66</v>
      </c>
      <c r="AA2910" s="7">
        <v>44059</v>
      </c>
    </row>
    <row r="2911" spans="1:28">
      <c r="A2911" s="285"/>
      <c r="C2911" s="2">
        <v>182</v>
      </c>
      <c r="D2911" s="2">
        <v>28158</v>
      </c>
      <c r="E2911" s="2" t="s">
        <v>6725</v>
      </c>
      <c r="F2911" s="3">
        <v>29608190102952</v>
      </c>
      <c r="G2911" s="2" t="s">
        <v>34</v>
      </c>
      <c r="H2911" s="2" t="s">
        <v>6726</v>
      </c>
      <c r="I2911" s="2" t="s">
        <v>4315</v>
      </c>
      <c r="J2911" s="4">
        <v>44010</v>
      </c>
      <c r="K2911" s="2" t="s">
        <v>8</v>
      </c>
      <c r="L2911" s="2" t="s">
        <v>12</v>
      </c>
      <c r="M2911" s="2" t="s">
        <v>4706</v>
      </c>
      <c r="P2911" s="103">
        <v>38</v>
      </c>
      <c r="Q2911" s="225">
        <v>0.5</v>
      </c>
      <c r="R2911" s="77">
        <v>3</v>
      </c>
      <c r="S2911" s="77">
        <v>2.5</v>
      </c>
      <c r="T2911" s="77">
        <v>2.5</v>
      </c>
      <c r="U2911" s="77">
        <v>2.5</v>
      </c>
      <c r="V2911" s="77">
        <v>3</v>
      </c>
      <c r="W2911" s="16" t="s">
        <v>171</v>
      </c>
      <c r="Y2911" s="7">
        <v>44041</v>
      </c>
      <c r="Z2911" s="16" t="s">
        <v>66</v>
      </c>
      <c r="AA2911" s="7">
        <v>44059</v>
      </c>
    </row>
    <row r="2912" spans="1:28" ht="15.75" thickBot="1">
      <c r="A2912" s="286"/>
      <c r="C2912" s="28">
        <v>182</v>
      </c>
      <c r="D2912" s="28">
        <v>28159</v>
      </c>
      <c r="E2912" s="28" t="s">
        <v>6727</v>
      </c>
      <c r="F2912" s="29">
        <v>29211071100812</v>
      </c>
      <c r="G2912" s="28" t="s">
        <v>34</v>
      </c>
      <c r="H2912" s="28" t="s">
        <v>6728</v>
      </c>
      <c r="I2912" s="28" t="s">
        <v>4315</v>
      </c>
      <c r="J2912" s="30">
        <v>44010</v>
      </c>
      <c r="K2912" s="28" t="s">
        <v>8</v>
      </c>
      <c r="L2912" s="28" t="s">
        <v>12</v>
      </c>
      <c r="M2912" s="28" t="s">
        <v>4706</v>
      </c>
      <c r="N2912" s="28"/>
      <c r="O2912" s="226"/>
      <c r="P2912" s="28">
        <v>33</v>
      </c>
      <c r="Q2912" s="226">
        <v>0.81</v>
      </c>
      <c r="R2912" s="37">
        <v>3</v>
      </c>
      <c r="S2912" s="37">
        <v>2.5</v>
      </c>
      <c r="T2912" s="37">
        <v>2.5</v>
      </c>
      <c r="U2912" s="37">
        <v>2.5</v>
      </c>
      <c r="V2912" s="37">
        <v>3</v>
      </c>
      <c r="W2912" s="28" t="s">
        <v>6778</v>
      </c>
      <c r="X2912" s="28" t="s">
        <v>66</v>
      </c>
      <c r="Y2912" s="30">
        <v>44047</v>
      </c>
      <c r="Z2912" s="28" t="s">
        <v>66</v>
      </c>
      <c r="AA2912" s="30">
        <v>44059</v>
      </c>
      <c r="AB2912" s="28"/>
    </row>
    <row r="2913" spans="1:28" ht="15.75" thickTop="1">
      <c r="A2913" s="292" t="s">
        <v>4517</v>
      </c>
      <c r="C2913" s="25" t="s">
        <v>6722</v>
      </c>
      <c r="D2913" s="25">
        <v>28155</v>
      </c>
      <c r="E2913" s="25" t="s">
        <v>6730</v>
      </c>
      <c r="F2913" s="26">
        <v>29804020104334</v>
      </c>
      <c r="G2913" s="25" t="s">
        <v>34</v>
      </c>
      <c r="H2913" s="25" t="s">
        <v>6732</v>
      </c>
      <c r="I2913" s="25" t="s">
        <v>4315</v>
      </c>
      <c r="J2913" s="27">
        <v>44010</v>
      </c>
      <c r="K2913" s="25" t="s">
        <v>8</v>
      </c>
      <c r="L2913" s="25" t="s">
        <v>12</v>
      </c>
      <c r="M2913" s="25" t="s">
        <v>6543</v>
      </c>
      <c r="N2913" s="25"/>
      <c r="O2913" s="224"/>
      <c r="P2913" s="25"/>
      <c r="Q2913" s="224"/>
      <c r="R2913" s="36">
        <v>3</v>
      </c>
      <c r="S2913" s="36">
        <v>3</v>
      </c>
      <c r="T2913" s="36">
        <v>2.5</v>
      </c>
      <c r="U2913" s="36">
        <v>3</v>
      </c>
      <c r="V2913" s="36">
        <v>3</v>
      </c>
      <c r="W2913" s="25" t="s">
        <v>502</v>
      </c>
      <c r="X2913" s="25"/>
      <c r="Y2913" s="27">
        <v>44026</v>
      </c>
      <c r="Z2913" s="25" t="s">
        <v>66</v>
      </c>
      <c r="AA2913" s="27">
        <v>44059</v>
      </c>
      <c r="AB2913" s="25" t="s">
        <v>61</v>
      </c>
    </row>
    <row r="2914" spans="1:28" ht="15.75" thickBot="1">
      <c r="A2914" s="293"/>
      <c r="C2914" s="28" t="s">
        <v>6722</v>
      </c>
      <c r="D2914" s="28">
        <v>28156</v>
      </c>
      <c r="E2914" s="28" t="s">
        <v>6731</v>
      </c>
      <c r="F2914" s="29">
        <v>29709090100805</v>
      </c>
      <c r="G2914" s="28" t="s">
        <v>34</v>
      </c>
      <c r="H2914" s="28" t="s">
        <v>6733</v>
      </c>
      <c r="I2914" s="28" t="s">
        <v>4315</v>
      </c>
      <c r="J2914" s="30">
        <v>44010</v>
      </c>
      <c r="K2914" s="28" t="s">
        <v>8</v>
      </c>
      <c r="L2914" s="28" t="s">
        <v>12</v>
      </c>
      <c r="M2914" s="28" t="s">
        <v>6599</v>
      </c>
      <c r="N2914" s="28"/>
      <c r="O2914" s="226"/>
      <c r="P2914" s="28"/>
      <c r="Q2914" s="226"/>
      <c r="R2914" s="37">
        <v>3</v>
      </c>
      <c r="S2914" s="37">
        <v>3</v>
      </c>
      <c r="T2914" s="37">
        <v>2</v>
      </c>
      <c r="U2914" s="37">
        <v>2.5</v>
      </c>
      <c r="V2914" s="37">
        <v>3</v>
      </c>
      <c r="W2914" s="28" t="s">
        <v>170</v>
      </c>
      <c r="X2914" s="28"/>
      <c r="Y2914" s="30">
        <v>44026</v>
      </c>
      <c r="Z2914" s="28" t="s">
        <v>66</v>
      </c>
      <c r="AA2914" s="30">
        <v>44059</v>
      </c>
      <c r="AB2914" s="28" t="s">
        <v>61</v>
      </c>
    </row>
    <row r="2915" spans="1:28" ht="17.25" thickTop="1" thickBot="1">
      <c r="A2915" s="110" t="s">
        <v>3129</v>
      </c>
      <c r="C2915" s="111" t="s">
        <v>6752</v>
      </c>
      <c r="D2915" s="111">
        <v>28520</v>
      </c>
      <c r="E2915" s="111" t="s">
        <v>6751</v>
      </c>
      <c r="F2915" s="112">
        <v>29605180103099</v>
      </c>
      <c r="G2915" s="111" t="s">
        <v>34</v>
      </c>
      <c r="H2915" s="121" t="s">
        <v>6753</v>
      </c>
      <c r="I2915" s="111" t="s">
        <v>4315</v>
      </c>
      <c r="J2915" s="113">
        <v>44031</v>
      </c>
      <c r="K2915" s="111" t="s">
        <v>8</v>
      </c>
      <c r="L2915" s="111" t="s">
        <v>12</v>
      </c>
      <c r="M2915" s="111" t="s">
        <v>6599</v>
      </c>
      <c r="N2915" s="111"/>
      <c r="O2915" s="231"/>
      <c r="P2915" s="111"/>
      <c r="Q2915" s="231"/>
      <c r="R2915" s="114">
        <v>3</v>
      </c>
      <c r="S2915" s="114">
        <v>2.5</v>
      </c>
      <c r="T2915" s="114">
        <v>2.5</v>
      </c>
      <c r="U2915" s="114">
        <v>2</v>
      </c>
      <c r="V2915" s="114">
        <v>3</v>
      </c>
      <c r="W2915" s="111" t="s">
        <v>171</v>
      </c>
      <c r="X2915" s="111"/>
      <c r="Y2915" s="113">
        <v>44045</v>
      </c>
      <c r="Z2915" s="111"/>
      <c r="AA2915" s="113"/>
      <c r="AB2915" s="111"/>
    </row>
    <row r="2916" spans="1:28" ht="15.75" thickTop="1">
      <c r="A2916" s="284" t="s">
        <v>3120</v>
      </c>
      <c r="C2916" s="25">
        <v>183</v>
      </c>
      <c r="D2916" s="25">
        <v>28160</v>
      </c>
      <c r="E2916" s="25" t="s">
        <v>6756</v>
      </c>
      <c r="F2916" s="26">
        <v>29609240100685</v>
      </c>
      <c r="G2916" s="25" t="s">
        <v>34</v>
      </c>
      <c r="H2916" s="25" t="s">
        <v>6768</v>
      </c>
      <c r="I2916" s="25" t="s">
        <v>4315</v>
      </c>
      <c r="J2916" s="27">
        <v>44017</v>
      </c>
      <c r="K2916" s="25" t="s">
        <v>8</v>
      </c>
      <c r="L2916" s="25" t="s">
        <v>12</v>
      </c>
      <c r="M2916" s="25" t="s">
        <v>6599</v>
      </c>
      <c r="N2916" s="25"/>
      <c r="O2916" s="224"/>
      <c r="P2916" s="25">
        <v>18</v>
      </c>
      <c r="Q2916" s="224">
        <v>0.61</v>
      </c>
      <c r="R2916" s="92">
        <v>3</v>
      </c>
      <c r="S2916" s="92">
        <v>3</v>
      </c>
      <c r="T2916" s="92">
        <v>3</v>
      </c>
      <c r="U2916" s="92">
        <v>3</v>
      </c>
      <c r="V2916" s="92">
        <v>3</v>
      </c>
      <c r="W2916" s="25" t="s">
        <v>6750</v>
      </c>
      <c r="X2916" s="25"/>
      <c r="Y2916" s="27">
        <v>44047</v>
      </c>
      <c r="Z2916" s="25" t="s">
        <v>66</v>
      </c>
      <c r="AA2916" s="27">
        <v>44062</v>
      </c>
      <c r="AB2916" s="25" t="s">
        <v>6917</v>
      </c>
    </row>
    <row r="2917" spans="1:28">
      <c r="A2917" s="285"/>
      <c r="C2917" s="25">
        <v>183</v>
      </c>
      <c r="D2917" s="2">
        <v>28161</v>
      </c>
      <c r="E2917" s="2" t="s">
        <v>6757</v>
      </c>
      <c r="F2917" s="3">
        <v>29308112101873</v>
      </c>
      <c r="G2917" s="2" t="s">
        <v>34</v>
      </c>
      <c r="H2917" s="2" t="s">
        <v>6769</v>
      </c>
      <c r="I2917" s="2" t="s">
        <v>4315</v>
      </c>
      <c r="J2917" s="4">
        <v>44017</v>
      </c>
      <c r="K2917" s="2" t="s">
        <v>8</v>
      </c>
      <c r="L2917" s="2" t="s">
        <v>12</v>
      </c>
      <c r="M2917" s="2" t="s">
        <v>6599</v>
      </c>
      <c r="P2917" s="103">
        <v>17</v>
      </c>
      <c r="Q2917" s="225">
        <v>0.94</v>
      </c>
      <c r="R2917" s="77">
        <v>3</v>
      </c>
      <c r="S2917" s="77">
        <v>2</v>
      </c>
      <c r="T2917" s="77">
        <v>1.5</v>
      </c>
      <c r="U2917" s="77">
        <v>1.5</v>
      </c>
      <c r="V2917" s="77">
        <v>3</v>
      </c>
      <c r="W2917" s="16" t="s">
        <v>3818</v>
      </c>
      <c r="Y2917" s="7">
        <v>44047</v>
      </c>
    </row>
    <row r="2918" spans="1:28">
      <c r="A2918" s="285"/>
      <c r="C2918" s="25">
        <v>183</v>
      </c>
      <c r="D2918" s="2">
        <v>28162</v>
      </c>
      <c r="E2918" s="2" t="s">
        <v>6758</v>
      </c>
      <c r="F2918" s="3">
        <v>29506212100757</v>
      </c>
      <c r="G2918" s="2" t="s">
        <v>129</v>
      </c>
      <c r="H2918" s="2" t="s">
        <v>6770</v>
      </c>
      <c r="I2918" s="2" t="s">
        <v>4315</v>
      </c>
      <c r="J2918" s="4">
        <v>44017</v>
      </c>
      <c r="K2918" s="2" t="s">
        <v>8</v>
      </c>
      <c r="L2918" s="2" t="s">
        <v>12</v>
      </c>
      <c r="M2918" s="2" t="s">
        <v>6543</v>
      </c>
      <c r="O2918" s="225">
        <v>0.9</v>
      </c>
      <c r="P2918" s="103">
        <v>23</v>
      </c>
      <c r="Q2918" s="225">
        <v>0.74</v>
      </c>
      <c r="R2918" s="77">
        <v>3</v>
      </c>
      <c r="S2918" s="77">
        <v>2.5</v>
      </c>
      <c r="T2918" s="77">
        <v>2.5</v>
      </c>
      <c r="U2918" s="77">
        <v>2</v>
      </c>
      <c r="V2918" s="77">
        <v>3</v>
      </c>
      <c r="W2918" s="16" t="s">
        <v>4212</v>
      </c>
      <c r="X2918" s="2" t="s">
        <v>66</v>
      </c>
      <c r="Y2918" s="7">
        <v>44073</v>
      </c>
      <c r="Z2918" s="16" t="s">
        <v>66</v>
      </c>
      <c r="AA2918" s="7">
        <v>44087</v>
      </c>
    </row>
    <row r="2919" spans="1:28">
      <c r="A2919" s="285"/>
      <c r="C2919" s="25">
        <v>183</v>
      </c>
      <c r="D2919" s="2">
        <v>28163</v>
      </c>
      <c r="E2919" s="2" t="s">
        <v>6759</v>
      </c>
      <c r="F2919" s="3">
        <v>29709071501866</v>
      </c>
      <c r="G2919" s="2" t="s">
        <v>34</v>
      </c>
      <c r="H2919" s="2" t="s">
        <v>6771</v>
      </c>
      <c r="I2919" s="2" t="s">
        <v>4315</v>
      </c>
      <c r="J2919" s="4">
        <v>44017</v>
      </c>
      <c r="K2919" s="2" t="s">
        <v>8</v>
      </c>
      <c r="L2919" s="2" t="s">
        <v>12</v>
      </c>
      <c r="M2919" s="2" t="s">
        <v>6760</v>
      </c>
      <c r="P2919" s="103">
        <v>77</v>
      </c>
      <c r="Q2919" s="225">
        <v>0.87</v>
      </c>
      <c r="R2919" s="77">
        <v>3</v>
      </c>
      <c r="S2919" s="77">
        <v>3</v>
      </c>
      <c r="T2919" s="77">
        <v>2</v>
      </c>
      <c r="U2919" s="77">
        <v>2.5</v>
      </c>
      <c r="V2919" s="77">
        <v>3</v>
      </c>
      <c r="W2919" s="16" t="s">
        <v>61</v>
      </c>
      <c r="Y2919" s="45">
        <v>44047</v>
      </c>
      <c r="Z2919" s="16" t="s">
        <v>66</v>
      </c>
      <c r="AA2919" s="7">
        <v>44059</v>
      </c>
    </row>
    <row r="2920" spans="1:28">
      <c r="A2920" s="285"/>
      <c r="C2920" s="25">
        <v>183</v>
      </c>
      <c r="D2920" s="2">
        <v>28164</v>
      </c>
      <c r="E2920" s="2" t="s">
        <v>6761</v>
      </c>
      <c r="F2920" s="3">
        <v>29608052103522</v>
      </c>
      <c r="G2920" s="2" t="s">
        <v>34</v>
      </c>
      <c r="H2920" s="2" t="s">
        <v>6772</v>
      </c>
      <c r="I2920" s="2" t="s">
        <v>4315</v>
      </c>
      <c r="J2920" s="4">
        <v>44017</v>
      </c>
      <c r="K2920" s="2" t="s">
        <v>8</v>
      </c>
      <c r="L2920" s="2" t="s">
        <v>12</v>
      </c>
      <c r="M2920" s="2" t="s">
        <v>6599</v>
      </c>
      <c r="P2920" s="103">
        <v>30</v>
      </c>
      <c r="Q2920" s="225">
        <v>0.9</v>
      </c>
      <c r="R2920" s="77">
        <v>3</v>
      </c>
      <c r="S2920" s="77">
        <v>2.5</v>
      </c>
      <c r="T2920" s="77">
        <v>3</v>
      </c>
      <c r="U2920" s="77">
        <v>2.5</v>
      </c>
      <c r="V2920" s="77">
        <v>3</v>
      </c>
      <c r="W2920" s="16" t="s">
        <v>6778</v>
      </c>
      <c r="Y2920" s="45">
        <v>44047</v>
      </c>
      <c r="Z2920" s="16" t="s">
        <v>66</v>
      </c>
      <c r="AA2920" s="7">
        <v>44059</v>
      </c>
      <c r="AB2920" s="2" t="s">
        <v>61</v>
      </c>
    </row>
    <row r="2921" spans="1:28">
      <c r="A2921" s="285"/>
      <c r="C2921" s="25">
        <v>183</v>
      </c>
      <c r="D2921" s="2">
        <v>28165</v>
      </c>
      <c r="E2921" s="2" t="s">
        <v>6762</v>
      </c>
      <c r="F2921" s="3">
        <v>29308130103131</v>
      </c>
      <c r="G2921" s="2" t="s">
        <v>34</v>
      </c>
      <c r="H2921" s="8" t="s">
        <v>6773</v>
      </c>
      <c r="I2921" s="2" t="s">
        <v>4315</v>
      </c>
      <c r="J2921" s="4">
        <v>44017</v>
      </c>
      <c r="K2921" s="2" t="s">
        <v>8</v>
      </c>
      <c r="L2921" s="2" t="s">
        <v>12</v>
      </c>
      <c r="M2921" s="2" t="s">
        <v>4706</v>
      </c>
      <c r="P2921" s="103">
        <v>48</v>
      </c>
      <c r="Q2921" s="225">
        <v>0.85</v>
      </c>
      <c r="R2921" s="77">
        <v>3</v>
      </c>
      <c r="S2921" s="77">
        <v>2.5</v>
      </c>
      <c r="T2921" s="77">
        <v>2</v>
      </c>
      <c r="U2921" s="77">
        <v>2</v>
      </c>
      <c r="V2921" s="77">
        <v>3</v>
      </c>
      <c r="W2921" s="16" t="s">
        <v>62</v>
      </c>
      <c r="X2921" s="2" t="s">
        <v>66</v>
      </c>
      <c r="Y2921" s="45">
        <v>44073</v>
      </c>
      <c r="Z2921" s="16" t="s">
        <v>66</v>
      </c>
      <c r="AA2921" s="7">
        <v>44083</v>
      </c>
      <c r="AB2921" s="2" t="s">
        <v>6255</v>
      </c>
    </row>
    <row r="2922" spans="1:28">
      <c r="A2922" s="285"/>
      <c r="C2922" s="25">
        <v>183</v>
      </c>
      <c r="D2922" s="2">
        <v>28166</v>
      </c>
      <c r="E2922" s="2" t="s">
        <v>6763</v>
      </c>
      <c r="F2922" s="3">
        <v>30110010109692</v>
      </c>
      <c r="G2922" s="2" t="s">
        <v>5856</v>
      </c>
      <c r="H2922" s="2" t="s">
        <v>6774</v>
      </c>
      <c r="I2922" s="2" t="s">
        <v>4315</v>
      </c>
      <c r="J2922" s="4">
        <v>44017</v>
      </c>
      <c r="K2922" s="2" t="s">
        <v>8</v>
      </c>
      <c r="L2922" s="2" t="s">
        <v>12</v>
      </c>
      <c r="M2922" s="2" t="s">
        <v>6764</v>
      </c>
      <c r="P2922" s="103">
        <v>26</v>
      </c>
      <c r="Q2922" s="225">
        <v>0.88</v>
      </c>
      <c r="R2922" s="77">
        <v>3</v>
      </c>
      <c r="S2922" s="77">
        <v>2.5</v>
      </c>
      <c r="T2922" s="77">
        <v>2.5</v>
      </c>
      <c r="U2922" s="77">
        <v>2.5</v>
      </c>
      <c r="V2922" s="77">
        <v>3</v>
      </c>
      <c r="W2922" s="16" t="s">
        <v>171</v>
      </c>
      <c r="Y2922" s="45">
        <v>44047</v>
      </c>
      <c r="Z2922" s="16" t="s">
        <v>66</v>
      </c>
      <c r="AA2922" s="7">
        <v>44066</v>
      </c>
      <c r="AB2922" s="2" t="s">
        <v>502</v>
      </c>
    </row>
    <row r="2923" spans="1:28">
      <c r="A2923" s="285"/>
      <c r="C2923" s="25">
        <v>183</v>
      </c>
      <c r="D2923" s="2">
        <v>28167</v>
      </c>
      <c r="E2923" s="2" t="s">
        <v>6765</v>
      </c>
      <c r="F2923" s="3">
        <v>29203130102449</v>
      </c>
      <c r="G2923" s="2" t="s">
        <v>34</v>
      </c>
      <c r="H2923" s="2" t="s">
        <v>6775</v>
      </c>
      <c r="I2923" s="2" t="s">
        <v>4315</v>
      </c>
      <c r="J2923" s="4">
        <v>44017</v>
      </c>
      <c r="K2923" s="2" t="s">
        <v>8</v>
      </c>
      <c r="L2923" s="2" t="s">
        <v>12</v>
      </c>
      <c r="M2923" s="2" t="s">
        <v>6599</v>
      </c>
      <c r="P2923" s="103">
        <v>14</v>
      </c>
      <c r="Q2923" s="225">
        <v>0.65</v>
      </c>
      <c r="R2923" s="77">
        <v>3</v>
      </c>
      <c r="S2923" s="77">
        <v>3</v>
      </c>
      <c r="T2923" s="77">
        <v>2</v>
      </c>
      <c r="U2923" s="77">
        <v>2.5</v>
      </c>
      <c r="V2923" s="77">
        <v>3</v>
      </c>
      <c r="W2923" s="16" t="s">
        <v>61</v>
      </c>
      <c r="Y2923" s="45">
        <v>44047</v>
      </c>
      <c r="Z2923" s="16" t="s">
        <v>67</v>
      </c>
      <c r="AB2923" s="2" t="s">
        <v>5775</v>
      </c>
    </row>
    <row r="2924" spans="1:28">
      <c r="A2924" s="285"/>
      <c r="C2924" s="25">
        <v>183</v>
      </c>
      <c r="D2924" s="2">
        <v>28168</v>
      </c>
      <c r="E2924" s="2" t="s">
        <v>6766</v>
      </c>
      <c r="F2924" s="3">
        <v>28701200102154</v>
      </c>
      <c r="G2924" s="2" t="s">
        <v>34</v>
      </c>
      <c r="H2924" s="2" t="s">
        <v>6776</v>
      </c>
      <c r="I2924" s="2" t="s">
        <v>4315</v>
      </c>
      <c r="J2924" s="4">
        <v>44017</v>
      </c>
      <c r="K2924" s="2" t="s">
        <v>8</v>
      </c>
      <c r="L2924" s="2" t="s">
        <v>12</v>
      </c>
      <c r="M2924" s="2" t="s">
        <v>6760</v>
      </c>
      <c r="O2924" s="225">
        <v>0.9</v>
      </c>
      <c r="P2924" s="103">
        <v>18</v>
      </c>
      <c r="Q2924" s="225">
        <v>0.88</v>
      </c>
      <c r="R2924" s="77">
        <v>3</v>
      </c>
      <c r="S2924" s="77">
        <v>2.5</v>
      </c>
      <c r="T2924" s="77">
        <v>2</v>
      </c>
      <c r="U2924" s="77">
        <v>2</v>
      </c>
      <c r="V2924" s="77">
        <v>3</v>
      </c>
      <c r="W2924" s="16" t="s">
        <v>62</v>
      </c>
      <c r="Y2924" s="45">
        <v>44047</v>
      </c>
    </row>
    <row r="2925" spans="1:28" ht="15.75" thickBot="1">
      <c r="A2925" s="286"/>
      <c r="C2925" s="28">
        <v>183</v>
      </c>
      <c r="D2925" s="28">
        <v>28169</v>
      </c>
      <c r="E2925" s="28" t="s">
        <v>6767</v>
      </c>
      <c r="F2925" s="29">
        <v>29602230101395</v>
      </c>
      <c r="G2925" s="28" t="s">
        <v>34</v>
      </c>
      <c r="H2925" s="28" t="s">
        <v>6777</v>
      </c>
      <c r="I2925" s="28" t="s">
        <v>4315</v>
      </c>
      <c r="J2925" s="30">
        <v>44017</v>
      </c>
      <c r="K2925" s="28" t="s">
        <v>8</v>
      </c>
      <c r="L2925" s="28" t="s">
        <v>12</v>
      </c>
      <c r="M2925" s="28" t="s">
        <v>6599</v>
      </c>
      <c r="N2925" s="28"/>
      <c r="O2925" s="226">
        <v>0.95</v>
      </c>
      <c r="P2925" s="28">
        <v>25</v>
      </c>
      <c r="Q2925" s="226">
        <v>0.9</v>
      </c>
      <c r="R2925" s="37">
        <v>3</v>
      </c>
      <c r="S2925" s="37">
        <v>2.5</v>
      </c>
      <c r="T2925" s="37">
        <v>2</v>
      </c>
      <c r="U2925" s="37">
        <v>2</v>
      </c>
      <c r="V2925" s="37">
        <v>3</v>
      </c>
      <c r="W2925" s="28" t="s">
        <v>62</v>
      </c>
      <c r="X2925" s="28" t="s">
        <v>66</v>
      </c>
      <c r="Y2925" s="30">
        <v>44073</v>
      </c>
      <c r="Z2925" s="28" t="s">
        <v>66</v>
      </c>
      <c r="AA2925" s="30">
        <v>44083</v>
      </c>
      <c r="AB2925" s="28" t="s">
        <v>6255</v>
      </c>
    </row>
    <row r="2926" spans="1:28" ht="15.75" customHeight="1" thickTop="1">
      <c r="A2926" s="284" t="s">
        <v>5923</v>
      </c>
      <c r="C2926" s="25">
        <v>184</v>
      </c>
      <c r="D2926" s="25">
        <v>28170</v>
      </c>
      <c r="E2926" s="25" t="s">
        <v>6788</v>
      </c>
      <c r="F2926" s="26">
        <v>28703122102099</v>
      </c>
      <c r="G2926" s="25" t="s">
        <v>34</v>
      </c>
      <c r="H2926" s="25" t="s">
        <v>6789</v>
      </c>
      <c r="I2926" s="25" t="s">
        <v>4315</v>
      </c>
      <c r="J2926" s="27">
        <v>44024</v>
      </c>
      <c r="K2926" s="25" t="s">
        <v>8</v>
      </c>
      <c r="L2926" s="25" t="s">
        <v>12</v>
      </c>
      <c r="M2926" s="25" t="s">
        <v>6790</v>
      </c>
      <c r="N2926" s="25"/>
      <c r="O2926" s="224">
        <v>0.95</v>
      </c>
      <c r="P2926" s="25">
        <v>22</v>
      </c>
      <c r="Q2926" s="224">
        <v>0.95</v>
      </c>
      <c r="R2926" s="92">
        <v>3</v>
      </c>
      <c r="S2926" s="92">
        <v>2.5</v>
      </c>
      <c r="T2926" s="92">
        <v>2</v>
      </c>
      <c r="U2926" s="92">
        <v>2.5</v>
      </c>
      <c r="V2926" s="92">
        <v>3</v>
      </c>
      <c r="W2926" s="25" t="s">
        <v>61</v>
      </c>
      <c r="X2926" s="25"/>
      <c r="Y2926" s="27">
        <v>44054</v>
      </c>
      <c r="Z2926" s="25" t="s">
        <v>66</v>
      </c>
      <c r="AA2926" s="27">
        <v>44059</v>
      </c>
      <c r="AB2926" s="25"/>
    </row>
    <row r="2927" spans="1:28">
      <c r="A2927" s="285"/>
      <c r="C2927" s="25">
        <v>184</v>
      </c>
      <c r="D2927" s="2">
        <v>28171</v>
      </c>
      <c r="E2927" s="2" t="s">
        <v>6791</v>
      </c>
      <c r="F2927" s="3">
        <v>29503241800611</v>
      </c>
      <c r="G2927" s="2" t="s">
        <v>34</v>
      </c>
      <c r="H2927" s="2" t="s">
        <v>6792</v>
      </c>
      <c r="I2927" s="2" t="s">
        <v>4315</v>
      </c>
      <c r="J2927" s="4">
        <v>44024</v>
      </c>
      <c r="K2927" s="2" t="s">
        <v>8</v>
      </c>
      <c r="L2927" s="2" t="s">
        <v>12</v>
      </c>
      <c r="M2927" s="2" t="s">
        <v>6599</v>
      </c>
      <c r="O2927" s="225">
        <v>0.95</v>
      </c>
      <c r="P2927" s="103">
        <v>35</v>
      </c>
      <c r="Q2927" s="225">
        <v>0.85</v>
      </c>
      <c r="R2927" s="77">
        <v>3</v>
      </c>
      <c r="S2927" s="77">
        <v>2.5</v>
      </c>
      <c r="T2927" s="77">
        <v>2</v>
      </c>
      <c r="U2927" s="77">
        <v>2.5</v>
      </c>
      <c r="V2927" s="77">
        <v>3</v>
      </c>
      <c r="W2927" s="16" t="s">
        <v>171</v>
      </c>
      <c r="Y2927" s="7">
        <v>44054</v>
      </c>
      <c r="Z2927" s="16" t="s">
        <v>67</v>
      </c>
      <c r="AB2927" s="2" t="s">
        <v>3924</v>
      </c>
    </row>
    <row r="2928" spans="1:28">
      <c r="A2928" s="285"/>
      <c r="C2928" s="25">
        <v>184</v>
      </c>
      <c r="D2928" s="2">
        <v>28172</v>
      </c>
      <c r="E2928" s="2" t="s">
        <v>6793</v>
      </c>
      <c r="F2928" s="3">
        <v>29806200101841</v>
      </c>
      <c r="G2928" s="2" t="s">
        <v>34</v>
      </c>
      <c r="H2928" s="2" t="s">
        <v>6794</v>
      </c>
      <c r="I2928" s="2" t="s">
        <v>4315</v>
      </c>
      <c r="J2928" s="4">
        <v>44024</v>
      </c>
      <c r="K2928" s="2" t="s">
        <v>8</v>
      </c>
      <c r="L2928" s="2" t="s">
        <v>12</v>
      </c>
      <c r="M2928" s="2" t="s">
        <v>5942</v>
      </c>
      <c r="O2928" s="225">
        <v>0.95</v>
      </c>
      <c r="P2928" s="103">
        <v>22</v>
      </c>
      <c r="Q2928" s="225">
        <v>0.95</v>
      </c>
      <c r="R2928" s="77">
        <v>3</v>
      </c>
      <c r="S2928" s="77">
        <v>2.5</v>
      </c>
      <c r="T2928" s="77">
        <v>2</v>
      </c>
      <c r="U2928" s="77">
        <v>2.5</v>
      </c>
      <c r="V2928" s="77">
        <v>3</v>
      </c>
      <c r="W2928" s="16" t="s">
        <v>171</v>
      </c>
      <c r="Y2928" s="7">
        <v>44054</v>
      </c>
      <c r="Z2928" s="16" t="s">
        <v>66</v>
      </c>
      <c r="AA2928" s="7">
        <v>44059</v>
      </c>
    </row>
    <row r="2929" spans="1:28">
      <c r="A2929" s="285"/>
      <c r="C2929" s="25">
        <v>184</v>
      </c>
      <c r="D2929" s="2">
        <v>28173</v>
      </c>
      <c r="E2929" s="2" t="s">
        <v>6795</v>
      </c>
      <c r="F2929" s="3">
        <v>30003192100805</v>
      </c>
      <c r="G2929" s="2" t="s">
        <v>5890</v>
      </c>
      <c r="H2929" s="2" t="s">
        <v>6796</v>
      </c>
      <c r="I2929" s="2" t="s">
        <v>4315</v>
      </c>
      <c r="J2929" s="4">
        <v>44024</v>
      </c>
      <c r="K2929" s="2" t="s">
        <v>8</v>
      </c>
      <c r="L2929" s="2" t="s">
        <v>12</v>
      </c>
      <c r="M2929" s="2" t="s">
        <v>4257</v>
      </c>
      <c r="O2929" s="225">
        <v>0.9</v>
      </c>
      <c r="P2929" s="103">
        <v>32</v>
      </c>
      <c r="Q2929" s="225">
        <v>0.65</v>
      </c>
      <c r="R2929" s="77">
        <v>3</v>
      </c>
      <c r="S2929" s="77">
        <v>2.5</v>
      </c>
      <c r="T2929" s="77">
        <v>3</v>
      </c>
      <c r="U2929" s="77">
        <v>2.5</v>
      </c>
      <c r="V2929" s="77">
        <v>3</v>
      </c>
      <c r="W2929" s="16" t="s">
        <v>6813</v>
      </c>
      <c r="Y2929" s="7">
        <v>44054</v>
      </c>
      <c r="Z2929" s="16" t="s">
        <v>66</v>
      </c>
      <c r="AA2929" s="7">
        <v>44087</v>
      </c>
      <c r="AB2929" s="2" t="s">
        <v>502</v>
      </c>
    </row>
    <row r="2930" spans="1:28">
      <c r="A2930" s="285"/>
      <c r="C2930" s="25">
        <v>184</v>
      </c>
      <c r="D2930" s="2">
        <v>28174</v>
      </c>
      <c r="E2930" s="2" t="s">
        <v>6797</v>
      </c>
      <c r="F2930" s="3">
        <v>29908310103455</v>
      </c>
      <c r="G2930" s="2" t="s">
        <v>5890</v>
      </c>
      <c r="H2930" s="2" t="s">
        <v>6798</v>
      </c>
      <c r="I2930" s="2" t="s">
        <v>4315</v>
      </c>
      <c r="J2930" s="4">
        <v>44024</v>
      </c>
      <c r="K2930" s="2" t="s">
        <v>8</v>
      </c>
      <c r="L2930" s="2" t="s">
        <v>12</v>
      </c>
      <c r="M2930" s="2" t="s">
        <v>6799</v>
      </c>
      <c r="R2930" s="77">
        <v>3</v>
      </c>
      <c r="S2930" s="77">
        <v>2.5</v>
      </c>
      <c r="T2930" s="77">
        <v>2.5</v>
      </c>
      <c r="U2930" s="77">
        <v>2</v>
      </c>
      <c r="V2930" s="77">
        <v>3</v>
      </c>
      <c r="W2930" s="16" t="s">
        <v>4212</v>
      </c>
      <c r="X2930" s="2" t="s">
        <v>66</v>
      </c>
      <c r="Y2930" s="7">
        <v>44073</v>
      </c>
      <c r="Z2930" s="16" t="s">
        <v>66</v>
      </c>
      <c r="AA2930" s="7">
        <v>44087</v>
      </c>
    </row>
    <row r="2931" spans="1:28">
      <c r="A2931" s="285"/>
      <c r="C2931" s="25">
        <v>184</v>
      </c>
      <c r="D2931" s="2">
        <v>28175</v>
      </c>
      <c r="E2931" s="2" t="s">
        <v>6800</v>
      </c>
      <c r="F2931" s="3">
        <v>29705252103336</v>
      </c>
      <c r="G2931" s="2" t="s">
        <v>5890</v>
      </c>
      <c r="H2931" s="2" t="s">
        <v>6801</v>
      </c>
      <c r="I2931" s="2" t="s">
        <v>4315</v>
      </c>
      <c r="J2931" s="4">
        <v>44024</v>
      </c>
      <c r="K2931" s="2" t="s">
        <v>8</v>
      </c>
      <c r="L2931" s="2" t="s">
        <v>12</v>
      </c>
      <c r="M2931" s="2" t="s">
        <v>4257</v>
      </c>
      <c r="O2931" s="225">
        <v>0.8</v>
      </c>
      <c r="P2931" s="103">
        <v>31</v>
      </c>
      <c r="Q2931" s="225">
        <v>1</v>
      </c>
      <c r="R2931" s="77">
        <v>3</v>
      </c>
      <c r="S2931" s="77">
        <v>2.5</v>
      </c>
      <c r="T2931" s="77">
        <v>3</v>
      </c>
      <c r="U2931" s="77">
        <v>2.5</v>
      </c>
      <c r="V2931" s="77">
        <v>3</v>
      </c>
      <c r="W2931" s="16" t="s">
        <v>6813</v>
      </c>
      <c r="Y2931" s="7">
        <v>44054</v>
      </c>
      <c r="Z2931" s="16" t="s">
        <v>66</v>
      </c>
      <c r="AA2931" s="7">
        <v>44087</v>
      </c>
      <c r="AB2931" s="2" t="s">
        <v>502</v>
      </c>
    </row>
    <row r="2932" spans="1:28">
      <c r="A2932" s="285"/>
      <c r="C2932" s="25">
        <v>184</v>
      </c>
      <c r="D2932" s="2">
        <v>28176</v>
      </c>
      <c r="E2932" s="2" t="s">
        <v>6802</v>
      </c>
      <c r="F2932" s="3">
        <v>29103220100645</v>
      </c>
      <c r="G2932" s="2" t="s">
        <v>34</v>
      </c>
      <c r="H2932" s="2" t="s">
        <v>6803</v>
      </c>
      <c r="I2932" s="2" t="s">
        <v>4315</v>
      </c>
      <c r="J2932" s="4">
        <v>44024</v>
      </c>
      <c r="K2932" s="2" t="s">
        <v>8</v>
      </c>
      <c r="L2932" s="2" t="s">
        <v>12</v>
      </c>
      <c r="M2932" s="2" t="s">
        <v>6804</v>
      </c>
      <c r="O2932" s="225">
        <v>0.9</v>
      </c>
      <c r="P2932" s="103">
        <v>26</v>
      </c>
      <c r="Q2932" s="225">
        <v>0.92</v>
      </c>
      <c r="R2932" s="77">
        <v>3</v>
      </c>
      <c r="S2932" s="77">
        <v>2.5</v>
      </c>
      <c r="T2932" s="77">
        <v>2</v>
      </c>
      <c r="U2932" s="77">
        <v>2.5</v>
      </c>
      <c r="V2932" s="77">
        <v>3</v>
      </c>
      <c r="W2932" s="16" t="s">
        <v>171</v>
      </c>
      <c r="Y2932" s="7">
        <v>44054</v>
      </c>
      <c r="Z2932" s="16" t="s">
        <v>66</v>
      </c>
      <c r="AA2932" s="7">
        <v>44059</v>
      </c>
    </row>
    <row r="2933" spans="1:28">
      <c r="A2933" s="285"/>
      <c r="C2933" s="25">
        <v>184</v>
      </c>
      <c r="D2933" s="2">
        <v>28177</v>
      </c>
      <c r="E2933" s="2" t="s">
        <v>6805</v>
      </c>
      <c r="F2933" s="3">
        <v>29011280104915</v>
      </c>
      <c r="G2933" s="2" t="s">
        <v>34</v>
      </c>
      <c r="H2933" s="2" t="s">
        <v>6806</v>
      </c>
      <c r="I2933" s="2" t="s">
        <v>4315</v>
      </c>
      <c r="J2933" s="4">
        <v>44024</v>
      </c>
      <c r="K2933" s="2" t="s">
        <v>8</v>
      </c>
      <c r="L2933" s="2" t="s">
        <v>12</v>
      </c>
      <c r="M2933" s="2" t="s">
        <v>6599</v>
      </c>
      <c r="P2933" s="103">
        <v>29</v>
      </c>
      <c r="Q2933" s="225">
        <v>0.86</v>
      </c>
      <c r="R2933" s="77">
        <v>3</v>
      </c>
      <c r="S2933" s="77">
        <v>2.5</v>
      </c>
      <c r="T2933" s="77">
        <v>2</v>
      </c>
      <c r="U2933" s="77">
        <v>2.5</v>
      </c>
      <c r="V2933" s="77">
        <v>3</v>
      </c>
      <c r="W2933" s="16" t="s">
        <v>171</v>
      </c>
      <c r="Y2933" s="7">
        <v>44054</v>
      </c>
      <c r="Z2933" s="16" t="s">
        <v>67</v>
      </c>
      <c r="AB2933" s="2" t="s">
        <v>3924</v>
      </c>
    </row>
    <row r="2934" spans="1:28">
      <c r="A2934" s="285"/>
      <c r="C2934" s="25">
        <v>184</v>
      </c>
      <c r="D2934" s="2">
        <v>28178</v>
      </c>
      <c r="E2934" s="103" t="s">
        <v>6807</v>
      </c>
      <c r="F2934" s="3">
        <v>29801150104353</v>
      </c>
      <c r="G2934" s="2" t="s">
        <v>4025</v>
      </c>
      <c r="H2934" s="2" t="s">
        <v>6808</v>
      </c>
      <c r="I2934" s="2" t="s">
        <v>4315</v>
      </c>
      <c r="J2934" s="4">
        <v>44024</v>
      </c>
      <c r="K2934" s="2" t="s">
        <v>8</v>
      </c>
      <c r="L2934" s="2" t="s">
        <v>12</v>
      </c>
      <c r="M2934" s="2" t="s">
        <v>5982</v>
      </c>
      <c r="O2934" s="225">
        <v>0.85</v>
      </c>
      <c r="P2934" s="103">
        <v>51</v>
      </c>
      <c r="Q2934" s="225">
        <v>0.98</v>
      </c>
      <c r="R2934" s="77">
        <v>3</v>
      </c>
      <c r="S2934" s="77">
        <v>3</v>
      </c>
      <c r="T2934" s="77">
        <v>3</v>
      </c>
      <c r="U2934" s="77">
        <v>2.5</v>
      </c>
      <c r="V2934" s="77">
        <v>3</v>
      </c>
      <c r="W2934" s="16" t="s">
        <v>6813</v>
      </c>
      <c r="Y2934" s="7">
        <v>44054</v>
      </c>
      <c r="Z2934" s="16" t="s">
        <v>66</v>
      </c>
      <c r="AA2934" s="7">
        <v>44080</v>
      </c>
      <c r="AB2934" s="2" t="s">
        <v>61</v>
      </c>
    </row>
    <row r="2935" spans="1:28">
      <c r="A2935" s="285"/>
      <c r="C2935" s="25">
        <v>184</v>
      </c>
      <c r="D2935" s="2">
        <v>28179</v>
      </c>
      <c r="E2935" s="2" t="s">
        <v>6809</v>
      </c>
      <c r="F2935" s="3">
        <v>29709182103274</v>
      </c>
      <c r="G2935" s="2" t="s">
        <v>34</v>
      </c>
      <c r="H2935" s="2" t="s">
        <v>6810</v>
      </c>
      <c r="I2935" s="2" t="s">
        <v>4315</v>
      </c>
      <c r="J2935" s="4">
        <v>44024</v>
      </c>
      <c r="K2935" s="2" t="s">
        <v>8</v>
      </c>
      <c r="L2935" s="2" t="s">
        <v>12</v>
      </c>
      <c r="M2935" s="2" t="s">
        <v>6599</v>
      </c>
      <c r="P2935" s="103">
        <v>20</v>
      </c>
      <c r="Q2935" s="225">
        <v>0.85</v>
      </c>
      <c r="R2935" s="77">
        <v>3</v>
      </c>
      <c r="S2935" s="77">
        <v>3</v>
      </c>
      <c r="T2935" s="77">
        <v>3</v>
      </c>
      <c r="U2935" s="77">
        <v>2.5</v>
      </c>
      <c r="V2935" s="77">
        <v>3</v>
      </c>
      <c r="W2935" s="16" t="s">
        <v>6813</v>
      </c>
      <c r="Y2935" s="7">
        <v>44054</v>
      </c>
      <c r="Z2935" s="16" t="s">
        <v>66</v>
      </c>
      <c r="AA2935" s="7">
        <v>44066</v>
      </c>
      <c r="AB2935" s="2" t="s">
        <v>502</v>
      </c>
    </row>
    <row r="2936" spans="1:28" ht="15.75" thickBot="1">
      <c r="A2936" s="286"/>
      <c r="C2936" s="28">
        <v>184</v>
      </c>
      <c r="D2936" s="28">
        <v>28507</v>
      </c>
      <c r="E2936" s="28" t="s">
        <v>6811</v>
      </c>
      <c r="F2936" s="29">
        <v>29204211200654</v>
      </c>
      <c r="G2936" s="28" t="s">
        <v>34</v>
      </c>
      <c r="H2936" s="28" t="s">
        <v>6812</v>
      </c>
      <c r="I2936" s="28" t="s">
        <v>4315</v>
      </c>
      <c r="J2936" s="30">
        <v>44024</v>
      </c>
      <c r="K2936" s="28" t="s">
        <v>8</v>
      </c>
      <c r="L2936" s="28" t="s">
        <v>12</v>
      </c>
      <c r="M2936" s="28" t="s">
        <v>4337</v>
      </c>
      <c r="N2936" s="28"/>
      <c r="O2936" s="226">
        <v>0.95</v>
      </c>
      <c r="P2936" s="28">
        <v>26</v>
      </c>
      <c r="Q2936" s="226">
        <v>0.8</v>
      </c>
      <c r="R2936" s="37">
        <v>3</v>
      </c>
      <c r="S2936" s="37">
        <v>2.5</v>
      </c>
      <c r="T2936" s="37">
        <v>2</v>
      </c>
      <c r="U2936" s="37">
        <v>2.5</v>
      </c>
      <c r="V2936" s="37">
        <v>3</v>
      </c>
      <c r="W2936" s="28" t="s">
        <v>171</v>
      </c>
      <c r="X2936" s="28"/>
      <c r="Y2936" s="30">
        <v>44054</v>
      </c>
      <c r="Z2936" s="28" t="s">
        <v>66</v>
      </c>
      <c r="AA2936" s="30">
        <v>44059</v>
      </c>
      <c r="AB2936" s="28"/>
    </row>
    <row r="2937" spans="1:28" ht="15.75" thickTop="1">
      <c r="A2937" s="284" t="s">
        <v>5262</v>
      </c>
      <c r="C2937" s="25">
        <v>185</v>
      </c>
      <c r="D2937" s="25">
        <v>28495</v>
      </c>
      <c r="E2937" s="25" t="s">
        <v>6819</v>
      </c>
      <c r="F2937" s="26">
        <v>29412082800129</v>
      </c>
      <c r="G2937" s="25" t="s">
        <v>34</v>
      </c>
      <c r="H2937" s="25" t="s">
        <v>6820</v>
      </c>
      <c r="I2937" s="25" t="s">
        <v>4315</v>
      </c>
      <c r="J2937" s="27">
        <v>44032</v>
      </c>
      <c r="K2937" s="25" t="s">
        <v>8</v>
      </c>
      <c r="L2937" s="25" t="s">
        <v>12</v>
      </c>
      <c r="M2937" s="25" t="s">
        <v>4706</v>
      </c>
      <c r="N2937" s="25"/>
      <c r="O2937" s="224">
        <v>0.95</v>
      </c>
      <c r="P2937" s="25">
        <v>24</v>
      </c>
      <c r="Q2937" s="224">
        <v>1</v>
      </c>
      <c r="R2937" s="77">
        <v>3</v>
      </c>
      <c r="S2937" s="77">
        <v>2.5</v>
      </c>
      <c r="T2937" s="77">
        <v>2</v>
      </c>
      <c r="U2937" s="77">
        <v>2.5</v>
      </c>
      <c r="V2937" s="77">
        <v>3</v>
      </c>
      <c r="W2937" s="103" t="s">
        <v>171</v>
      </c>
      <c r="X2937" s="25" t="s">
        <v>66</v>
      </c>
      <c r="Y2937" s="27">
        <v>44090</v>
      </c>
      <c r="Z2937" s="25"/>
      <c r="AA2937" s="27"/>
      <c r="AB2937" s="25"/>
    </row>
    <row r="2938" spans="1:28">
      <c r="A2938" s="285"/>
      <c r="C2938" s="25">
        <v>185</v>
      </c>
      <c r="D2938" s="2">
        <v>28496</v>
      </c>
      <c r="E2938" s="2" t="s">
        <v>6821</v>
      </c>
      <c r="F2938" s="3">
        <v>28910318800105</v>
      </c>
      <c r="G2938" s="2" t="s">
        <v>34</v>
      </c>
      <c r="H2938" s="2" t="s">
        <v>6822</v>
      </c>
      <c r="I2938" s="2" t="s">
        <v>4315</v>
      </c>
      <c r="J2938" s="4">
        <v>44032</v>
      </c>
      <c r="K2938" s="2" t="s">
        <v>8</v>
      </c>
      <c r="L2938" s="2" t="s">
        <v>12</v>
      </c>
      <c r="M2938" s="2" t="s">
        <v>6463</v>
      </c>
      <c r="O2938" s="225">
        <v>0.9</v>
      </c>
      <c r="P2938" s="103">
        <v>23</v>
      </c>
      <c r="Q2938" s="225">
        <v>0.91</v>
      </c>
      <c r="R2938" s="77">
        <v>3</v>
      </c>
      <c r="S2938" s="77">
        <v>2.5</v>
      </c>
      <c r="T2938" s="77">
        <v>2</v>
      </c>
      <c r="U2938" s="77">
        <v>2</v>
      </c>
      <c r="V2938" s="77">
        <v>3</v>
      </c>
      <c r="W2938" s="16" t="s">
        <v>62</v>
      </c>
      <c r="Y2938" s="27">
        <v>44059</v>
      </c>
    </row>
    <row r="2939" spans="1:28">
      <c r="A2939" s="285"/>
      <c r="C2939" s="25">
        <v>185</v>
      </c>
      <c r="D2939" s="2">
        <v>28497</v>
      </c>
      <c r="E2939" s="2" t="s">
        <v>6823</v>
      </c>
      <c r="F2939" s="3">
        <v>29608191601499</v>
      </c>
      <c r="G2939" s="2" t="s">
        <v>34</v>
      </c>
      <c r="H2939" s="2" t="s">
        <v>6824</v>
      </c>
      <c r="I2939" s="2" t="s">
        <v>4315</v>
      </c>
      <c r="J2939" s="4">
        <v>44032</v>
      </c>
      <c r="K2939" s="2" t="s">
        <v>8</v>
      </c>
      <c r="L2939" s="2" t="s">
        <v>12</v>
      </c>
      <c r="M2939" s="2" t="s">
        <v>4706</v>
      </c>
      <c r="O2939" s="225">
        <v>0.95</v>
      </c>
      <c r="P2939" s="103">
        <v>20</v>
      </c>
      <c r="Q2939" s="225">
        <v>0.85</v>
      </c>
      <c r="R2939" s="77">
        <v>3</v>
      </c>
      <c r="S2939" s="77">
        <v>2.5</v>
      </c>
      <c r="T2939" s="77">
        <v>2.5</v>
      </c>
      <c r="U2939" s="77">
        <v>2.5</v>
      </c>
      <c r="V2939" s="77">
        <v>3</v>
      </c>
      <c r="W2939" s="16" t="s">
        <v>6750</v>
      </c>
      <c r="Y2939" s="27">
        <v>44059</v>
      </c>
      <c r="Z2939" s="16" t="s">
        <v>66</v>
      </c>
      <c r="AA2939" s="7">
        <v>44087</v>
      </c>
      <c r="AB2939" s="2" t="s">
        <v>502</v>
      </c>
    </row>
    <row r="2940" spans="1:28">
      <c r="A2940" s="285"/>
      <c r="C2940" s="25">
        <v>185</v>
      </c>
      <c r="D2940" s="2">
        <v>28498</v>
      </c>
      <c r="E2940" s="2" t="s">
        <v>6825</v>
      </c>
      <c r="F2940" s="3">
        <v>29608290102895</v>
      </c>
      <c r="G2940" s="2" t="s">
        <v>34</v>
      </c>
      <c r="H2940" s="2" t="s">
        <v>6826</v>
      </c>
      <c r="I2940" s="2" t="s">
        <v>4315</v>
      </c>
      <c r="J2940" s="4">
        <v>44032</v>
      </c>
      <c r="K2940" s="2" t="s">
        <v>8</v>
      </c>
      <c r="L2940" s="2" t="s">
        <v>12</v>
      </c>
      <c r="M2940" s="2" t="s">
        <v>6463</v>
      </c>
      <c r="O2940" s="225">
        <v>0.9</v>
      </c>
      <c r="P2940" s="103">
        <v>26</v>
      </c>
      <c r="Q2940" s="225">
        <v>0.96</v>
      </c>
      <c r="R2940" s="77">
        <v>3</v>
      </c>
      <c r="S2940" s="77">
        <v>2.5</v>
      </c>
      <c r="T2940" s="77">
        <v>2</v>
      </c>
      <c r="U2940" s="77">
        <v>2.5</v>
      </c>
      <c r="V2940" s="77">
        <v>3</v>
      </c>
      <c r="W2940" s="16" t="s">
        <v>171</v>
      </c>
      <c r="Y2940" s="27">
        <v>44059</v>
      </c>
      <c r="Z2940" s="16" t="s">
        <v>66</v>
      </c>
      <c r="AA2940" s="7">
        <v>44080</v>
      </c>
    </row>
    <row r="2941" spans="1:28">
      <c r="A2941" s="285"/>
      <c r="C2941" s="25">
        <v>185</v>
      </c>
      <c r="D2941" s="2">
        <v>28499</v>
      </c>
      <c r="E2941" s="2" t="s">
        <v>6827</v>
      </c>
      <c r="F2941" s="3">
        <v>29703240200627</v>
      </c>
      <c r="G2941" s="2" t="s">
        <v>34</v>
      </c>
      <c r="H2941" s="2" t="s">
        <v>6828</v>
      </c>
      <c r="I2941" s="2" t="s">
        <v>4315</v>
      </c>
      <c r="J2941" s="4">
        <v>44032</v>
      </c>
      <c r="K2941" s="2" t="s">
        <v>8</v>
      </c>
      <c r="L2941" s="2" t="s">
        <v>12</v>
      </c>
      <c r="M2941" s="2" t="s">
        <v>4706</v>
      </c>
      <c r="O2941" s="225">
        <v>0.8</v>
      </c>
      <c r="P2941" s="103">
        <v>28</v>
      </c>
      <c r="Q2941" s="225">
        <v>0.92</v>
      </c>
      <c r="R2941" s="77">
        <v>3</v>
      </c>
      <c r="S2941" s="77">
        <v>2.5</v>
      </c>
      <c r="T2941" s="77">
        <v>2.5</v>
      </c>
      <c r="U2941" s="77">
        <v>2.5</v>
      </c>
      <c r="V2941" s="77">
        <v>3</v>
      </c>
      <c r="W2941" s="16" t="s">
        <v>6844</v>
      </c>
      <c r="Y2941" s="27">
        <v>44059</v>
      </c>
    </row>
    <row r="2942" spans="1:28">
      <c r="A2942" s="285"/>
      <c r="C2942" s="25">
        <v>185</v>
      </c>
      <c r="D2942" s="2">
        <v>28500</v>
      </c>
      <c r="E2942" s="2" t="s">
        <v>6829</v>
      </c>
      <c r="F2942" s="3">
        <v>29908030203012</v>
      </c>
      <c r="G2942" s="2" t="s">
        <v>5890</v>
      </c>
      <c r="H2942" s="2" t="s">
        <v>6830</v>
      </c>
      <c r="I2942" s="2" t="s">
        <v>4315</v>
      </c>
      <c r="J2942" s="4">
        <v>44032</v>
      </c>
      <c r="K2942" s="2" t="s">
        <v>8</v>
      </c>
      <c r="L2942" s="2" t="s">
        <v>12</v>
      </c>
      <c r="M2942" s="2" t="s">
        <v>5982</v>
      </c>
      <c r="O2942" s="225">
        <v>0.85</v>
      </c>
      <c r="P2942" s="103">
        <v>29</v>
      </c>
      <c r="Q2942" s="225">
        <v>1</v>
      </c>
      <c r="R2942" s="77">
        <v>3</v>
      </c>
      <c r="S2942" s="77">
        <v>3</v>
      </c>
      <c r="T2942" s="77">
        <v>2</v>
      </c>
      <c r="U2942" s="77">
        <v>2.5</v>
      </c>
      <c r="V2942" s="77">
        <v>3</v>
      </c>
      <c r="W2942" s="16" t="s">
        <v>171</v>
      </c>
      <c r="Y2942" s="27">
        <v>44059</v>
      </c>
      <c r="Z2942" s="16" t="s">
        <v>66</v>
      </c>
      <c r="AA2942" s="7">
        <v>44080</v>
      </c>
    </row>
    <row r="2943" spans="1:28">
      <c r="A2943" s="285"/>
      <c r="C2943" s="25">
        <v>185</v>
      </c>
      <c r="D2943" s="2">
        <v>28501</v>
      </c>
      <c r="E2943" s="2" t="s">
        <v>6831</v>
      </c>
      <c r="F2943" s="3">
        <v>28909201404278</v>
      </c>
      <c r="G2943" s="2" t="s">
        <v>34</v>
      </c>
      <c r="H2943" s="2" t="s">
        <v>6832</v>
      </c>
      <c r="I2943" s="2" t="s">
        <v>4315</v>
      </c>
      <c r="J2943" s="4">
        <v>44032</v>
      </c>
      <c r="K2943" s="2" t="s">
        <v>8</v>
      </c>
      <c r="L2943" s="2" t="s">
        <v>12</v>
      </c>
      <c r="M2943" s="2" t="s">
        <v>6833</v>
      </c>
      <c r="W2943" s="16" t="s">
        <v>64</v>
      </c>
      <c r="Z2943" s="16" t="s">
        <v>67</v>
      </c>
    </row>
    <row r="2944" spans="1:28">
      <c r="A2944" s="285"/>
      <c r="C2944" s="25">
        <v>185</v>
      </c>
      <c r="D2944" s="2">
        <v>28502</v>
      </c>
      <c r="E2944" s="2" t="s">
        <v>6834</v>
      </c>
      <c r="F2944" s="3">
        <v>29701010121377</v>
      </c>
      <c r="G2944" s="2" t="s">
        <v>5856</v>
      </c>
      <c r="H2944" s="2" t="s">
        <v>6835</v>
      </c>
      <c r="I2944" s="2" t="s">
        <v>4315</v>
      </c>
      <c r="J2944" s="4">
        <v>44032</v>
      </c>
      <c r="K2944" s="2" t="s">
        <v>8</v>
      </c>
      <c r="L2944" s="2" t="s">
        <v>12</v>
      </c>
      <c r="M2944" s="2" t="s">
        <v>5942</v>
      </c>
      <c r="O2944" s="225">
        <v>0.85</v>
      </c>
      <c r="P2944" s="103">
        <v>28</v>
      </c>
      <c r="Q2944" s="225">
        <v>0.75</v>
      </c>
      <c r="R2944" s="77">
        <v>3</v>
      </c>
      <c r="S2944" s="77">
        <v>2.5</v>
      </c>
      <c r="T2944" s="77">
        <v>2</v>
      </c>
      <c r="U2944" s="77">
        <v>2</v>
      </c>
      <c r="V2944" s="77">
        <v>3</v>
      </c>
      <c r="W2944" s="16" t="s">
        <v>62</v>
      </c>
      <c r="Y2944" s="27">
        <v>44059</v>
      </c>
    </row>
    <row r="2945" spans="1:28">
      <c r="A2945" s="285"/>
      <c r="C2945" s="25">
        <v>185</v>
      </c>
      <c r="D2945" s="2">
        <v>28503</v>
      </c>
      <c r="E2945" s="2" t="s">
        <v>6836</v>
      </c>
      <c r="F2945" s="3">
        <v>29409281603579</v>
      </c>
      <c r="G2945" s="2" t="s">
        <v>34</v>
      </c>
      <c r="H2945" s="2" t="s">
        <v>6837</v>
      </c>
      <c r="I2945" s="2" t="s">
        <v>4315</v>
      </c>
      <c r="J2945" s="4">
        <v>44032</v>
      </c>
      <c r="K2945" s="2" t="s">
        <v>8</v>
      </c>
      <c r="L2945" s="2" t="s">
        <v>12</v>
      </c>
      <c r="M2945" s="2" t="s">
        <v>5942</v>
      </c>
      <c r="O2945" s="225">
        <v>0.9</v>
      </c>
      <c r="P2945" s="103">
        <v>16</v>
      </c>
      <c r="Q2945" s="225">
        <v>0.56000000000000005</v>
      </c>
      <c r="R2945" s="77">
        <v>3</v>
      </c>
      <c r="S2945" s="77">
        <v>2.5</v>
      </c>
      <c r="T2945" s="77">
        <v>2</v>
      </c>
      <c r="U2945" s="77">
        <v>2</v>
      </c>
      <c r="V2945" s="77">
        <v>3</v>
      </c>
      <c r="W2945" s="16" t="s">
        <v>62</v>
      </c>
      <c r="X2945" s="2" t="s">
        <v>66</v>
      </c>
      <c r="Y2945" s="27">
        <v>44090</v>
      </c>
    </row>
    <row r="2946" spans="1:28">
      <c r="A2946" s="285"/>
      <c r="C2946" s="25">
        <v>185</v>
      </c>
      <c r="D2946" s="2">
        <v>28504</v>
      </c>
      <c r="E2946" s="2" t="s">
        <v>6838</v>
      </c>
      <c r="F2946" s="3">
        <v>29712021600058</v>
      </c>
      <c r="G2946" s="2" t="s">
        <v>34</v>
      </c>
      <c r="H2946" s="2" t="s">
        <v>6839</v>
      </c>
      <c r="I2946" s="2" t="s">
        <v>4315</v>
      </c>
      <c r="J2946" s="4">
        <v>44032</v>
      </c>
      <c r="K2946" s="2" t="s">
        <v>8</v>
      </c>
      <c r="L2946" s="2" t="s">
        <v>12</v>
      </c>
      <c r="M2946" s="2" t="s">
        <v>4706</v>
      </c>
      <c r="O2946" s="225">
        <v>0.9</v>
      </c>
      <c r="P2946" s="103">
        <v>34</v>
      </c>
      <c r="Q2946" s="225">
        <v>0.94</v>
      </c>
      <c r="R2946" s="77">
        <v>3</v>
      </c>
      <c r="S2946" s="77">
        <v>3</v>
      </c>
      <c r="T2946" s="77">
        <v>2.5</v>
      </c>
      <c r="U2946" s="77">
        <v>3</v>
      </c>
      <c r="V2946" s="77">
        <v>3</v>
      </c>
      <c r="W2946" s="16" t="s">
        <v>6845</v>
      </c>
      <c r="Y2946" s="27">
        <v>44059</v>
      </c>
      <c r="Z2946" s="16" t="s">
        <v>66</v>
      </c>
      <c r="AA2946" s="7">
        <v>44080</v>
      </c>
    </row>
    <row r="2947" spans="1:28">
      <c r="A2947" s="285"/>
      <c r="C2947" s="25">
        <v>185</v>
      </c>
      <c r="D2947" s="2">
        <v>28505</v>
      </c>
      <c r="E2947" s="2" t="s">
        <v>6840</v>
      </c>
      <c r="F2947" s="3">
        <v>28403150203433</v>
      </c>
      <c r="G2947" s="2" t="s">
        <v>34</v>
      </c>
      <c r="H2947" s="2" t="s">
        <v>6841</v>
      </c>
      <c r="I2947" s="2" t="s">
        <v>4315</v>
      </c>
      <c r="J2947" s="4">
        <v>44032</v>
      </c>
      <c r="K2947" s="2" t="s">
        <v>8</v>
      </c>
      <c r="L2947" s="2" t="s">
        <v>12</v>
      </c>
      <c r="M2947" s="2" t="s">
        <v>5942</v>
      </c>
      <c r="O2947" s="225">
        <v>0.8</v>
      </c>
      <c r="P2947" s="103">
        <v>29</v>
      </c>
      <c r="Q2947" s="225">
        <v>1</v>
      </c>
      <c r="R2947" s="77">
        <v>3</v>
      </c>
      <c r="S2947" s="77">
        <v>3</v>
      </c>
      <c r="T2947" s="77">
        <v>2</v>
      </c>
      <c r="U2947" s="77">
        <v>2.5</v>
      </c>
      <c r="V2947" s="77">
        <v>3</v>
      </c>
      <c r="W2947" s="16" t="s">
        <v>61</v>
      </c>
      <c r="Y2947" s="27">
        <v>44059</v>
      </c>
      <c r="Z2947" s="16" t="s">
        <v>66</v>
      </c>
      <c r="AA2947" s="7">
        <v>44080</v>
      </c>
    </row>
    <row r="2948" spans="1:28" ht="15.75" thickBot="1">
      <c r="A2948" s="286"/>
      <c r="C2948" s="28">
        <v>185</v>
      </c>
      <c r="D2948" s="28">
        <v>28506</v>
      </c>
      <c r="E2948" s="28" t="s">
        <v>6842</v>
      </c>
      <c r="F2948" s="29">
        <v>28709251200437</v>
      </c>
      <c r="G2948" s="28" t="s">
        <v>34</v>
      </c>
      <c r="H2948" s="28" t="s">
        <v>6843</v>
      </c>
      <c r="I2948" s="28" t="s">
        <v>4315</v>
      </c>
      <c r="J2948" s="30">
        <v>44032</v>
      </c>
      <c r="K2948" s="28" t="s">
        <v>8</v>
      </c>
      <c r="L2948" s="28" t="s">
        <v>12</v>
      </c>
      <c r="M2948" s="28" t="s">
        <v>5942</v>
      </c>
      <c r="N2948" s="28"/>
      <c r="O2948" s="226"/>
      <c r="P2948" s="28"/>
      <c r="Q2948" s="226"/>
      <c r="R2948" s="28"/>
      <c r="S2948" s="28"/>
      <c r="T2948" s="28"/>
      <c r="U2948" s="28"/>
      <c r="V2948" s="28"/>
      <c r="W2948" s="28" t="s">
        <v>64</v>
      </c>
      <c r="X2948" s="28"/>
      <c r="Y2948" s="30"/>
      <c r="Z2948" s="28" t="s">
        <v>67</v>
      </c>
      <c r="AA2948" s="30"/>
      <c r="AB2948" s="28"/>
    </row>
    <row r="2949" spans="1:28" ht="15.75" thickTop="1">
      <c r="A2949" s="284" t="s">
        <v>4077</v>
      </c>
      <c r="C2949" s="25" t="s">
        <v>6860</v>
      </c>
      <c r="D2949" s="25">
        <v>29018</v>
      </c>
      <c r="E2949" s="25" t="s">
        <v>6846</v>
      </c>
      <c r="F2949" s="26">
        <v>29110158800071</v>
      </c>
      <c r="G2949" s="25" t="s">
        <v>34</v>
      </c>
      <c r="H2949" s="25" t="s">
        <v>6847</v>
      </c>
      <c r="I2949" s="25" t="s">
        <v>4315</v>
      </c>
      <c r="J2949" s="27">
        <v>44035</v>
      </c>
      <c r="K2949" s="25" t="s">
        <v>798</v>
      </c>
      <c r="L2949" s="25" t="s">
        <v>12</v>
      </c>
      <c r="M2949" s="25"/>
      <c r="N2949" s="25"/>
      <c r="O2949" s="224">
        <v>0.8</v>
      </c>
      <c r="P2949" s="25">
        <v>34</v>
      </c>
      <c r="Q2949" s="224">
        <v>0.97</v>
      </c>
      <c r="R2949" s="77">
        <v>3</v>
      </c>
      <c r="S2949" s="77">
        <v>2.5</v>
      </c>
      <c r="T2949" s="77">
        <v>2</v>
      </c>
      <c r="U2949" s="77">
        <v>1.5</v>
      </c>
      <c r="V2949" s="77">
        <v>3</v>
      </c>
      <c r="W2949" s="25" t="s">
        <v>3321</v>
      </c>
      <c r="X2949" s="25"/>
      <c r="Y2949" s="27">
        <v>44060</v>
      </c>
      <c r="Z2949" s="25" t="s">
        <v>66</v>
      </c>
      <c r="AA2949" s="27">
        <v>44061</v>
      </c>
      <c r="AB2949" s="25" t="s">
        <v>6919</v>
      </c>
    </row>
    <row r="2950" spans="1:28">
      <c r="A2950" s="285"/>
      <c r="C2950" s="25" t="s">
        <v>6860</v>
      </c>
      <c r="D2950" s="2">
        <v>29019</v>
      </c>
      <c r="E2950" s="2" t="s">
        <v>6848</v>
      </c>
      <c r="F2950" s="3">
        <v>29403282103679</v>
      </c>
      <c r="G2950" s="2" t="s">
        <v>34</v>
      </c>
      <c r="H2950" s="2" t="s">
        <v>6849</v>
      </c>
      <c r="I2950" s="2" t="s">
        <v>4315</v>
      </c>
      <c r="J2950" s="4">
        <v>44035</v>
      </c>
      <c r="K2950" s="2" t="s">
        <v>798</v>
      </c>
      <c r="L2950" s="2" t="s">
        <v>12</v>
      </c>
      <c r="O2950" s="225">
        <v>0.6</v>
      </c>
      <c r="P2950" s="103">
        <v>16</v>
      </c>
      <c r="Q2950" s="225">
        <v>0.69</v>
      </c>
      <c r="R2950" s="77">
        <v>3</v>
      </c>
      <c r="S2950" s="77">
        <v>2.5</v>
      </c>
      <c r="T2950" s="77">
        <v>2</v>
      </c>
      <c r="U2950" s="77">
        <v>1.5</v>
      </c>
      <c r="V2950" s="77">
        <v>3</v>
      </c>
      <c r="W2950" s="16" t="s">
        <v>3321</v>
      </c>
      <c r="Y2950" s="27">
        <v>44060</v>
      </c>
    </row>
    <row r="2951" spans="1:28">
      <c r="A2951" s="285"/>
      <c r="C2951" s="25" t="s">
        <v>6860</v>
      </c>
      <c r="D2951" s="2">
        <v>29020</v>
      </c>
      <c r="E2951" s="2" t="s">
        <v>6850</v>
      </c>
      <c r="F2951" s="3">
        <v>29509230104165</v>
      </c>
      <c r="G2951" s="2" t="s">
        <v>34</v>
      </c>
      <c r="H2951" s="2" t="s">
        <v>6851</v>
      </c>
      <c r="I2951" s="2" t="s">
        <v>4315</v>
      </c>
      <c r="J2951" s="4">
        <v>44035</v>
      </c>
      <c r="K2951" s="2" t="s">
        <v>798</v>
      </c>
      <c r="L2951" s="2" t="s">
        <v>12</v>
      </c>
      <c r="O2951" s="225">
        <v>0.95</v>
      </c>
      <c r="P2951" s="103">
        <v>22</v>
      </c>
      <c r="Q2951" s="225">
        <v>0.69</v>
      </c>
      <c r="R2951" s="77">
        <v>3</v>
      </c>
      <c r="S2951" s="77">
        <v>2.5</v>
      </c>
      <c r="T2951" s="77">
        <v>2</v>
      </c>
      <c r="U2951" s="77">
        <v>2</v>
      </c>
      <c r="V2951" s="77">
        <v>3</v>
      </c>
      <c r="W2951" s="16" t="s">
        <v>62</v>
      </c>
      <c r="Y2951" s="7">
        <v>44068</v>
      </c>
      <c r="Z2951" s="16" t="s">
        <v>66</v>
      </c>
      <c r="AA2951" s="7">
        <v>44083</v>
      </c>
      <c r="AB2951" s="2" t="s">
        <v>6255</v>
      </c>
    </row>
    <row r="2952" spans="1:28">
      <c r="A2952" s="285"/>
      <c r="C2952" s="25" t="s">
        <v>6860</v>
      </c>
      <c r="D2952" s="2">
        <v>29021</v>
      </c>
      <c r="E2952" s="2" t="s">
        <v>6852</v>
      </c>
      <c r="F2952" s="3">
        <v>29610078800323</v>
      </c>
      <c r="G2952" s="2" t="s">
        <v>34</v>
      </c>
      <c r="H2952" s="2" t="s">
        <v>6853</v>
      </c>
      <c r="I2952" s="2" t="s">
        <v>4315</v>
      </c>
      <c r="J2952" s="4">
        <v>44035</v>
      </c>
      <c r="K2952" s="2" t="s">
        <v>798</v>
      </c>
      <c r="L2952" s="2" t="s">
        <v>12</v>
      </c>
      <c r="O2952" s="225">
        <v>0.65</v>
      </c>
      <c r="P2952" s="103">
        <v>20</v>
      </c>
      <c r="Q2952" s="225">
        <v>0.8</v>
      </c>
      <c r="R2952" s="77">
        <v>3</v>
      </c>
      <c r="S2952" s="77">
        <v>2.5</v>
      </c>
      <c r="T2952" s="77">
        <v>2</v>
      </c>
      <c r="U2952" s="77">
        <v>2</v>
      </c>
      <c r="V2952" s="77">
        <v>3</v>
      </c>
      <c r="W2952" s="16" t="s">
        <v>4970</v>
      </c>
      <c r="Y2952" s="27">
        <v>44060</v>
      </c>
    </row>
    <row r="2953" spans="1:28">
      <c r="A2953" s="285"/>
      <c r="C2953" s="25" t="s">
        <v>6860</v>
      </c>
      <c r="D2953" s="2">
        <v>29022</v>
      </c>
      <c r="E2953" s="2" t="s">
        <v>6854</v>
      </c>
      <c r="F2953" s="3">
        <v>29609230103325</v>
      </c>
      <c r="G2953" s="2" t="s">
        <v>34</v>
      </c>
      <c r="H2953" s="2" t="s">
        <v>6855</v>
      </c>
      <c r="I2953" s="2" t="s">
        <v>4315</v>
      </c>
      <c r="J2953" s="4">
        <v>44035</v>
      </c>
      <c r="K2953" s="2" t="s">
        <v>798</v>
      </c>
      <c r="L2953" s="2" t="s">
        <v>12</v>
      </c>
      <c r="O2953" s="225">
        <v>0.9</v>
      </c>
      <c r="P2953" s="103">
        <v>16</v>
      </c>
      <c r="Q2953" s="225">
        <v>1</v>
      </c>
      <c r="R2953" s="77">
        <v>3</v>
      </c>
      <c r="S2953" s="77">
        <v>3</v>
      </c>
      <c r="T2953" s="77">
        <v>2</v>
      </c>
      <c r="U2953" s="77">
        <v>2</v>
      </c>
      <c r="V2953" s="77">
        <v>3</v>
      </c>
      <c r="W2953" s="16" t="s">
        <v>3244</v>
      </c>
      <c r="Y2953" s="27">
        <v>44060</v>
      </c>
    </row>
    <row r="2954" spans="1:28">
      <c r="A2954" s="285"/>
      <c r="C2954" s="25" t="s">
        <v>6860</v>
      </c>
      <c r="D2954" s="2">
        <v>29023</v>
      </c>
      <c r="E2954" s="2" t="s">
        <v>6856</v>
      </c>
      <c r="F2954" s="3">
        <v>29102100102371</v>
      </c>
      <c r="G2954" s="2" t="s">
        <v>34</v>
      </c>
      <c r="H2954" s="2" t="s">
        <v>6857</v>
      </c>
      <c r="I2954" s="2" t="s">
        <v>4315</v>
      </c>
      <c r="J2954" s="4">
        <v>44035</v>
      </c>
      <c r="K2954" s="2" t="s">
        <v>798</v>
      </c>
      <c r="L2954" s="2" t="s">
        <v>12</v>
      </c>
      <c r="O2954" s="225">
        <v>0.9</v>
      </c>
      <c r="P2954" s="103">
        <v>17</v>
      </c>
      <c r="Q2954" s="225">
        <v>0.59</v>
      </c>
      <c r="R2954" s="77">
        <v>3</v>
      </c>
      <c r="S2954" s="77">
        <v>2.5</v>
      </c>
      <c r="T2954" s="77">
        <v>2</v>
      </c>
      <c r="U2954" s="77">
        <v>1.5</v>
      </c>
      <c r="V2954" s="77">
        <v>3</v>
      </c>
      <c r="W2954" s="16" t="s">
        <v>3321</v>
      </c>
      <c r="Y2954" s="27">
        <v>44060</v>
      </c>
      <c r="Z2954" s="16" t="s">
        <v>66</v>
      </c>
      <c r="AA2954" s="7">
        <v>44061</v>
      </c>
      <c r="AB2954" s="2" t="s">
        <v>6919</v>
      </c>
    </row>
    <row r="2955" spans="1:28" ht="15.75" thickBot="1">
      <c r="A2955" s="286"/>
      <c r="C2955" s="28" t="s">
        <v>6860</v>
      </c>
      <c r="D2955" s="28">
        <v>29024</v>
      </c>
      <c r="E2955" s="28" t="s">
        <v>6858</v>
      </c>
      <c r="F2955" s="29">
        <v>29411210104134</v>
      </c>
      <c r="G2955" s="28" t="s">
        <v>3663</v>
      </c>
      <c r="H2955" s="28" t="s">
        <v>6859</v>
      </c>
      <c r="I2955" s="28" t="s">
        <v>4315</v>
      </c>
      <c r="J2955" s="30">
        <v>44035</v>
      </c>
      <c r="K2955" s="28" t="s">
        <v>798</v>
      </c>
      <c r="L2955" s="28" t="s">
        <v>12</v>
      </c>
      <c r="M2955" s="28"/>
      <c r="N2955" s="28"/>
      <c r="O2955" s="226">
        <v>0.85</v>
      </c>
      <c r="P2955" s="28">
        <v>20</v>
      </c>
      <c r="Q2955" s="226">
        <v>0.9</v>
      </c>
      <c r="R2955" s="37">
        <v>3</v>
      </c>
      <c r="S2955" s="37">
        <v>2.5</v>
      </c>
      <c r="T2955" s="37">
        <v>2</v>
      </c>
      <c r="U2955" s="37">
        <v>1.5</v>
      </c>
      <c r="V2955" s="37">
        <v>3</v>
      </c>
      <c r="W2955" s="28" t="s">
        <v>62</v>
      </c>
      <c r="X2955" s="28"/>
      <c r="Y2955" s="30">
        <v>44060</v>
      </c>
      <c r="Z2955" s="28" t="s">
        <v>66</v>
      </c>
      <c r="AA2955" s="30">
        <v>44061</v>
      </c>
      <c r="AB2955" s="28" t="s">
        <v>6919</v>
      </c>
    </row>
    <row r="2956" spans="1:28" ht="15.75" thickTop="1">
      <c r="A2956" s="284" t="s">
        <v>4517</v>
      </c>
      <c r="C2956" s="25">
        <v>186</v>
      </c>
      <c r="D2956" s="25">
        <v>28508</v>
      </c>
      <c r="E2956" s="25" t="s">
        <v>6862</v>
      </c>
      <c r="F2956" s="26">
        <v>29603231500052</v>
      </c>
      <c r="G2956" s="25" t="s">
        <v>34</v>
      </c>
      <c r="H2956" s="25" t="s">
        <v>6863</v>
      </c>
      <c r="I2956" s="25" t="s">
        <v>4315</v>
      </c>
      <c r="J2956" s="27">
        <v>44038</v>
      </c>
      <c r="K2956" s="25" t="s">
        <v>8</v>
      </c>
      <c r="L2956" s="25" t="s">
        <v>12</v>
      </c>
      <c r="M2956" s="25" t="s">
        <v>5940</v>
      </c>
      <c r="N2956" s="25"/>
      <c r="O2956" s="224">
        <v>0.85</v>
      </c>
      <c r="P2956" s="25">
        <v>27</v>
      </c>
      <c r="Q2956" s="224">
        <v>0.96</v>
      </c>
      <c r="R2956" s="77">
        <v>3</v>
      </c>
      <c r="S2956" s="77">
        <v>2.5</v>
      </c>
      <c r="T2956" s="77">
        <v>2</v>
      </c>
      <c r="U2956" s="77">
        <v>2</v>
      </c>
      <c r="V2956" s="77">
        <v>3</v>
      </c>
      <c r="W2956" s="25" t="s">
        <v>62</v>
      </c>
      <c r="X2956" s="25"/>
      <c r="Y2956" s="27">
        <v>44068</v>
      </c>
      <c r="Z2956" s="25" t="s">
        <v>66</v>
      </c>
      <c r="AA2956" s="27">
        <v>44089</v>
      </c>
      <c r="AB2956" s="25" t="s">
        <v>6780</v>
      </c>
    </row>
    <row r="2957" spans="1:28">
      <c r="A2957" s="285"/>
      <c r="C2957" s="25">
        <v>186</v>
      </c>
      <c r="D2957" s="2">
        <v>28509</v>
      </c>
      <c r="E2957" s="2" t="s">
        <v>6864</v>
      </c>
      <c r="F2957" s="3">
        <v>28603222100579</v>
      </c>
      <c r="G2957" s="2" t="s">
        <v>34</v>
      </c>
      <c r="H2957" s="2" t="s">
        <v>6865</v>
      </c>
      <c r="I2957" s="2" t="s">
        <v>4315</v>
      </c>
      <c r="J2957" s="4">
        <v>44038</v>
      </c>
      <c r="K2957" s="2" t="s">
        <v>8</v>
      </c>
      <c r="L2957" s="2" t="s">
        <v>12</v>
      </c>
      <c r="M2957" s="2" t="s">
        <v>4706</v>
      </c>
      <c r="O2957" s="225">
        <v>0.95</v>
      </c>
      <c r="P2957" s="103">
        <v>22</v>
      </c>
      <c r="Q2957" s="225">
        <v>1</v>
      </c>
      <c r="R2957" s="77">
        <v>3</v>
      </c>
      <c r="S2957" s="77">
        <v>2.5</v>
      </c>
      <c r="T2957" s="77">
        <v>2</v>
      </c>
      <c r="U2957" s="77">
        <v>2.5</v>
      </c>
      <c r="V2957" s="77">
        <v>3</v>
      </c>
      <c r="W2957" s="16" t="s">
        <v>171</v>
      </c>
      <c r="Y2957" s="7">
        <v>44068</v>
      </c>
      <c r="Z2957" s="16" t="s">
        <v>66</v>
      </c>
      <c r="AA2957" s="7">
        <v>44080</v>
      </c>
    </row>
    <row r="2958" spans="1:28">
      <c r="A2958" s="285"/>
      <c r="C2958" s="25">
        <v>186</v>
      </c>
      <c r="D2958" s="2">
        <v>28510</v>
      </c>
      <c r="E2958" s="2" t="s">
        <v>6866</v>
      </c>
      <c r="F2958" s="3">
        <v>29909240103211</v>
      </c>
      <c r="G2958" s="2" t="s">
        <v>5890</v>
      </c>
      <c r="H2958" s="2" t="s">
        <v>6867</v>
      </c>
      <c r="I2958" s="2" t="s">
        <v>4315</v>
      </c>
      <c r="J2958" s="4">
        <v>44038</v>
      </c>
      <c r="K2958" s="2" t="s">
        <v>8</v>
      </c>
      <c r="L2958" s="2" t="s">
        <v>12</v>
      </c>
      <c r="M2958" s="2" t="s">
        <v>4257</v>
      </c>
      <c r="O2958" s="225">
        <v>0.95</v>
      </c>
      <c r="P2958" s="103">
        <v>26</v>
      </c>
      <c r="Q2958" s="225">
        <v>0.8</v>
      </c>
      <c r="R2958" s="77">
        <v>3</v>
      </c>
      <c r="S2958" s="77">
        <v>3</v>
      </c>
      <c r="T2958" s="77">
        <v>2</v>
      </c>
      <c r="U2958" s="77">
        <v>2.5</v>
      </c>
      <c r="V2958" s="77">
        <v>3</v>
      </c>
      <c r="W2958" s="16" t="s">
        <v>61</v>
      </c>
      <c r="X2958" s="2" t="s">
        <v>66</v>
      </c>
      <c r="Y2958" s="7">
        <v>44090</v>
      </c>
      <c r="Z2958" s="16" t="s">
        <v>66</v>
      </c>
      <c r="AA2958" s="7">
        <v>44094</v>
      </c>
    </row>
    <row r="2959" spans="1:28">
      <c r="A2959" s="285"/>
      <c r="C2959" s="25">
        <v>186</v>
      </c>
      <c r="D2959" s="2">
        <v>28512</v>
      </c>
      <c r="E2959" s="2" t="s">
        <v>6868</v>
      </c>
      <c r="F2959" s="3">
        <v>29209192100343</v>
      </c>
      <c r="G2959" s="2" t="s">
        <v>34</v>
      </c>
      <c r="H2959" s="2" t="s">
        <v>6869</v>
      </c>
      <c r="I2959" s="2" t="s">
        <v>4315</v>
      </c>
      <c r="J2959" s="4">
        <v>44038</v>
      </c>
      <c r="K2959" s="2" t="s">
        <v>8</v>
      </c>
      <c r="L2959" s="2" t="s">
        <v>12</v>
      </c>
      <c r="M2959" s="2" t="s">
        <v>5942</v>
      </c>
      <c r="O2959" s="225">
        <v>1</v>
      </c>
      <c r="P2959" s="103">
        <v>20</v>
      </c>
      <c r="Q2959" s="225">
        <v>0.95</v>
      </c>
      <c r="R2959" s="77">
        <v>3</v>
      </c>
      <c r="S2959" s="77">
        <v>2.5</v>
      </c>
      <c r="T2959" s="77">
        <v>2</v>
      </c>
      <c r="U2959" s="77">
        <v>2.5</v>
      </c>
      <c r="V2959" s="77">
        <v>3</v>
      </c>
      <c r="W2959" s="16" t="s">
        <v>171</v>
      </c>
      <c r="Y2959" s="7">
        <v>44068</v>
      </c>
      <c r="Z2959" s="16" t="s">
        <v>66</v>
      </c>
      <c r="AA2959" s="45">
        <v>44080</v>
      </c>
    </row>
    <row r="2960" spans="1:28">
      <c r="A2960" s="285"/>
      <c r="C2960" s="25">
        <v>186</v>
      </c>
      <c r="D2960" s="2">
        <v>28513</v>
      </c>
      <c r="E2960" s="2" t="s">
        <v>6870</v>
      </c>
      <c r="F2960" s="3">
        <v>29506138800351</v>
      </c>
      <c r="G2960" s="2" t="s">
        <v>34</v>
      </c>
      <c r="H2960" s="2" t="s">
        <v>6871</v>
      </c>
      <c r="I2960" s="2" t="s">
        <v>4315</v>
      </c>
      <c r="J2960" s="4">
        <v>44038</v>
      </c>
      <c r="K2960" s="2" t="s">
        <v>8</v>
      </c>
      <c r="L2960" s="2" t="s">
        <v>12</v>
      </c>
      <c r="M2960" s="2" t="s">
        <v>4706</v>
      </c>
      <c r="O2960" s="225">
        <v>0.8</v>
      </c>
      <c r="P2960" s="103">
        <v>23</v>
      </c>
      <c r="Q2960" s="225">
        <v>0.91</v>
      </c>
      <c r="R2960" s="77">
        <v>3</v>
      </c>
      <c r="S2960" s="77">
        <v>2.5</v>
      </c>
      <c r="T2960" s="77">
        <v>2</v>
      </c>
      <c r="U2960" s="77">
        <v>2</v>
      </c>
      <c r="V2960" s="77">
        <v>3</v>
      </c>
      <c r="W2960" s="16" t="s">
        <v>62</v>
      </c>
      <c r="X2960" s="2" t="s">
        <v>66</v>
      </c>
      <c r="Y2960" s="7">
        <v>44090</v>
      </c>
    </row>
    <row r="2961" spans="1:28">
      <c r="A2961" s="285"/>
      <c r="C2961" s="25">
        <v>186</v>
      </c>
      <c r="D2961" s="2">
        <v>28514</v>
      </c>
      <c r="E2961" s="2" t="s">
        <v>6872</v>
      </c>
      <c r="F2961" s="3">
        <v>29612172102047</v>
      </c>
      <c r="G2961" s="2" t="s">
        <v>34</v>
      </c>
      <c r="H2961" s="2" t="s">
        <v>6873</v>
      </c>
      <c r="I2961" s="2" t="s">
        <v>4315</v>
      </c>
      <c r="J2961" s="4">
        <v>44038</v>
      </c>
      <c r="K2961" s="2" t="s">
        <v>8</v>
      </c>
      <c r="L2961" s="2" t="s">
        <v>12</v>
      </c>
      <c r="M2961" s="2" t="s">
        <v>4706</v>
      </c>
      <c r="O2961" s="225">
        <v>0.95</v>
      </c>
      <c r="P2961" s="103">
        <v>21</v>
      </c>
      <c r="Q2961" s="225">
        <v>0.76</v>
      </c>
      <c r="R2961" s="77">
        <v>3</v>
      </c>
      <c r="S2961" s="77">
        <v>3</v>
      </c>
      <c r="T2961" s="77">
        <v>2.5</v>
      </c>
      <c r="U2961" s="77">
        <v>2</v>
      </c>
      <c r="V2961" s="77">
        <v>3</v>
      </c>
      <c r="W2961" s="103" t="s">
        <v>6988</v>
      </c>
      <c r="X2961" s="103" t="s">
        <v>66</v>
      </c>
      <c r="Y2961" s="7">
        <v>44090</v>
      </c>
    </row>
    <row r="2962" spans="1:28">
      <c r="A2962" s="285"/>
      <c r="C2962" s="25">
        <v>186</v>
      </c>
      <c r="D2962" s="2">
        <v>28515</v>
      </c>
      <c r="E2962" s="2" t="s">
        <v>6874</v>
      </c>
      <c r="F2962" s="3">
        <v>29704300101255</v>
      </c>
      <c r="G2962" s="2" t="s">
        <v>34</v>
      </c>
      <c r="H2962" s="2" t="s">
        <v>6875</v>
      </c>
      <c r="I2962" s="2" t="s">
        <v>4315</v>
      </c>
      <c r="J2962" s="4">
        <v>44038</v>
      </c>
      <c r="K2962" s="2" t="s">
        <v>8</v>
      </c>
      <c r="L2962" s="2" t="s">
        <v>12</v>
      </c>
      <c r="M2962" s="2" t="s">
        <v>5942</v>
      </c>
      <c r="O2962" s="225">
        <v>0.85</v>
      </c>
      <c r="P2962" s="103">
        <v>23</v>
      </c>
      <c r="Q2962" s="225">
        <v>0.95</v>
      </c>
      <c r="R2962" s="77">
        <v>3</v>
      </c>
      <c r="S2962" s="77">
        <v>2.5</v>
      </c>
      <c r="T2962" s="77">
        <v>2</v>
      </c>
      <c r="U2962" s="77">
        <v>2.5</v>
      </c>
      <c r="V2962" s="77">
        <v>3</v>
      </c>
      <c r="W2962" s="16" t="s">
        <v>59</v>
      </c>
      <c r="X2962" s="2" t="s">
        <v>66</v>
      </c>
      <c r="Y2962" s="7">
        <v>44068</v>
      </c>
    </row>
    <row r="2963" spans="1:28">
      <c r="A2963" s="285"/>
      <c r="C2963" s="25">
        <v>186</v>
      </c>
      <c r="D2963" s="2">
        <v>28516</v>
      </c>
      <c r="E2963" s="2" t="s">
        <v>6876</v>
      </c>
      <c r="F2963" s="3">
        <v>29402170102967</v>
      </c>
      <c r="G2963" s="2" t="s">
        <v>34</v>
      </c>
      <c r="H2963" s="2" t="s">
        <v>6877</v>
      </c>
      <c r="I2963" s="2" t="s">
        <v>4315</v>
      </c>
      <c r="J2963" s="4">
        <v>44038</v>
      </c>
      <c r="K2963" s="2" t="s">
        <v>8</v>
      </c>
      <c r="L2963" s="2" t="s">
        <v>12</v>
      </c>
      <c r="M2963" s="2" t="s">
        <v>4257</v>
      </c>
      <c r="O2963" s="225">
        <v>0.9</v>
      </c>
      <c r="P2963" s="103">
        <v>18</v>
      </c>
      <c r="Q2963" s="225">
        <v>0.78</v>
      </c>
      <c r="R2963" s="77">
        <v>3</v>
      </c>
      <c r="S2963" s="77">
        <v>2</v>
      </c>
      <c r="T2963" s="77">
        <v>1.5</v>
      </c>
      <c r="U2963" s="77">
        <v>1.5</v>
      </c>
      <c r="V2963" s="77">
        <v>3</v>
      </c>
      <c r="W2963" s="16" t="s">
        <v>3818</v>
      </c>
      <c r="Y2963" s="7">
        <v>44068</v>
      </c>
      <c r="Z2963" s="16" t="s">
        <v>66</v>
      </c>
      <c r="AA2963" s="7">
        <v>44083</v>
      </c>
      <c r="AB2963" s="2" t="s">
        <v>6255</v>
      </c>
    </row>
    <row r="2964" spans="1:28">
      <c r="A2964" s="285"/>
      <c r="C2964" s="25">
        <v>186</v>
      </c>
      <c r="D2964" s="2">
        <v>28517</v>
      </c>
      <c r="E2964" s="2" t="s">
        <v>6878</v>
      </c>
      <c r="F2964" s="3">
        <v>28809190103811</v>
      </c>
      <c r="G2964" s="2" t="s">
        <v>34</v>
      </c>
      <c r="H2964" s="2" t="s">
        <v>6879</v>
      </c>
      <c r="I2964" s="2" t="s">
        <v>4315</v>
      </c>
      <c r="J2964" s="4">
        <v>44038</v>
      </c>
      <c r="K2964" s="2" t="s">
        <v>8</v>
      </c>
      <c r="L2964" s="2" t="s">
        <v>12</v>
      </c>
      <c r="M2964" s="2" t="s">
        <v>5942</v>
      </c>
      <c r="O2964" s="225">
        <v>0.7</v>
      </c>
      <c r="P2964" s="103">
        <v>22</v>
      </c>
      <c r="Q2964" s="225">
        <v>0.91</v>
      </c>
      <c r="R2964" s="77">
        <v>3</v>
      </c>
      <c r="S2964" s="77">
        <v>3</v>
      </c>
      <c r="T2964" s="77">
        <v>1.5</v>
      </c>
      <c r="U2964" s="77">
        <v>1.5</v>
      </c>
      <c r="V2964" s="77">
        <v>3</v>
      </c>
      <c r="W2964" s="16" t="s">
        <v>3818</v>
      </c>
      <c r="Y2964" s="7">
        <v>44068</v>
      </c>
      <c r="Z2964" s="16" t="s">
        <v>66</v>
      </c>
      <c r="AA2964" s="7">
        <v>44089</v>
      </c>
      <c r="AB2964" s="2" t="s">
        <v>6780</v>
      </c>
    </row>
    <row r="2965" spans="1:28">
      <c r="A2965" s="285"/>
      <c r="C2965" s="25">
        <v>186</v>
      </c>
      <c r="D2965" s="2">
        <v>28518</v>
      </c>
      <c r="E2965" s="2" t="s">
        <v>6880</v>
      </c>
      <c r="F2965" s="3">
        <v>29007100100278</v>
      </c>
      <c r="G2965" s="2" t="s">
        <v>34</v>
      </c>
      <c r="H2965" s="2" t="s">
        <v>6881</v>
      </c>
      <c r="I2965" s="2" t="s">
        <v>4315</v>
      </c>
      <c r="J2965" s="4">
        <v>44038</v>
      </c>
      <c r="K2965" s="2" t="s">
        <v>8</v>
      </c>
      <c r="L2965" s="2" t="s">
        <v>12</v>
      </c>
      <c r="M2965" s="2" t="s">
        <v>6764</v>
      </c>
      <c r="O2965" s="225">
        <v>0.8</v>
      </c>
      <c r="P2965" s="103">
        <v>30</v>
      </c>
      <c r="Q2965" s="225">
        <v>0.73</v>
      </c>
      <c r="R2965" s="77">
        <v>3</v>
      </c>
      <c r="S2965" s="77">
        <v>2.5</v>
      </c>
      <c r="T2965" s="77">
        <v>2</v>
      </c>
      <c r="U2965" s="77">
        <v>2</v>
      </c>
      <c r="V2965" s="77">
        <v>3</v>
      </c>
      <c r="W2965" s="16" t="s">
        <v>62</v>
      </c>
      <c r="X2965" s="2" t="s">
        <v>66</v>
      </c>
      <c r="Y2965" s="7">
        <v>44090</v>
      </c>
    </row>
    <row r="2966" spans="1:28">
      <c r="A2966" s="285"/>
      <c r="C2966" s="25">
        <v>186</v>
      </c>
      <c r="D2966" s="2">
        <v>28519</v>
      </c>
      <c r="E2966" s="2" t="s">
        <v>6882</v>
      </c>
      <c r="F2966" s="3">
        <v>28409252102958</v>
      </c>
      <c r="G2966" s="2" t="s">
        <v>34</v>
      </c>
      <c r="H2966" s="2" t="s">
        <v>6883</v>
      </c>
      <c r="I2966" s="2" t="s">
        <v>4315</v>
      </c>
      <c r="J2966" s="4">
        <v>44038</v>
      </c>
      <c r="K2966" s="2" t="s">
        <v>8</v>
      </c>
      <c r="L2966" s="2" t="s">
        <v>12</v>
      </c>
      <c r="M2966" s="2" t="s">
        <v>6412</v>
      </c>
      <c r="O2966" s="225">
        <v>1</v>
      </c>
      <c r="P2966" s="103">
        <v>23</v>
      </c>
      <c r="Q2966" s="225">
        <v>0.91</v>
      </c>
      <c r="R2966" s="77">
        <v>3</v>
      </c>
      <c r="S2966" s="77">
        <v>2.5</v>
      </c>
      <c r="T2966" s="77">
        <v>2</v>
      </c>
      <c r="U2966" s="77">
        <v>2</v>
      </c>
      <c r="V2966" s="77">
        <v>3</v>
      </c>
      <c r="W2966" s="16" t="s">
        <v>62</v>
      </c>
      <c r="X2966" s="2" t="s">
        <v>66</v>
      </c>
      <c r="Y2966" s="7">
        <v>44090</v>
      </c>
    </row>
    <row r="2967" spans="1:28" ht="15.75" thickBot="1">
      <c r="A2967" s="286"/>
      <c r="C2967" s="28">
        <v>186</v>
      </c>
      <c r="D2967" s="28">
        <v>28521</v>
      </c>
      <c r="E2967" s="28" t="s">
        <v>6884</v>
      </c>
      <c r="F2967" s="29">
        <v>29308152106282</v>
      </c>
      <c r="G2967" s="28" t="s">
        <v>34</v>
      </c>
      <c r="H2967" s="28" t="s">
        <v>6885</v>
      </c>
      <c r="I2967" s="28" t="s">
        <v>4315</v>
      </c>
      <c r="J2967" s="30">
        <v>44038</v>
      </c>
      <c r="K2967" s="28" t="s">
        <v>8</v>
      </c>
      <c r="L2967" s="28" t="s">
        <v>12</v>
      </c>
      <c r="M2967" s="28" t="s">
        <v>4706</v>
      </c>
      <c r="N2967" s="28"/>
      <c r="O2967" s="226">
        <v>0.95</v>
      </c>
      <c r="P2967" s="28">
        <v>21</v>
      </c>
      <c r="Q2967" s="226">
        <v>0.9</v>
      </c>
      <c r="R2967" s="37">
        <v>3</v>
      </c>
      <c r="S2967" s="37">
        <v>3</v>
      </c>
      <c r="T2967" s="37">
        <v>3</v>
      </c>
      <c r="U2967" s="37">
        <v>3</v>
      </c>
      <c r="V2967" s="37">
        <v>3</v>
      </c>
      <c r="W2967" s="28" t="s">
        <v>502</v>
      </c>
      <c r="X2967" s="28"/>
      <c r="Y2967" s="30">
        <v>44068</v>
      </c>
      <c r="Z2967" s="28" t="s">
        <v>66</v>
      </c>
      <c r="AA2967" s="30">
        <v>44075</v>
      </c>
      <c r="AB2967" s="28" t="s">
        <v>6917</v>
      </c>
    </row>
    <row r="2968" spans="1:28" ht="15.75" thickTop="1">
      <c r="A2968" s="284" t="s">
        <v>1249</v>
      </c>
      <c r="C2968" s="25">
        <v>187</v>
      </c>
      <c r="D2968" s="25">
        <v>28522</v>
      </c>
      <c r="E2968" s="25" t="s">
        <v>6886</v>
      </c>
      <c r="F2968" s="26">
        <v>29405151300617</v>
      </c>
      <c r="G2968" s="25" t="s">
        <v>34</v>
      </c>
      <c r="H2968" s="34" t="s">
        <v>6897</v>
      </c>
      <c r="I2968" s="25" t="s">
        <v>4315</v>
      </c>
      <c r="J2968" s="27">
        <v>44040</v>
      </c>
      <c r="K2968" s="25" t="s">
        <v>8</v>
      </c>
      <c r="L2968" s="25" t="s">
        <v>12</v>
      </c>
      <c r="M2968" s="25" t="s">
        <v>4257</v>
      </c>
      <c r="N2968" s="25"/>
      <c r="O2968" s="224">
        <v>0.8</v>
      </c>
      <c r="P2968" s="25">
        <v>21</v>
      </c>
      <c r="Q2968" s="224">
        <v>0.77</v>
      </c>
      <c r="R2968" s="77">
        <v>3</v>
      </c>
      <c r="S2968" s="77">
        <v>2.5</v>
      </c>
      <c r="T2968" s="77">
        <v>2</v>
      </c>
      <c r="U2968" s="77">
        <v>2.5</v>
      </c>
      <c r="V2968" s="77">
        <v>3</v>
      </c>
      <c r="W2968" s="25" t="s">
        <v>171</v>
      </c>
      <c r="X2968" s="25"/>
      <c r="Y2968" s="27">
        <v>44070</v>
      </c>
      <c r="Z2968" s="25" t="s">
        <v>66</v>
      </c>
      <c r="AA2968" s="27">
        <v>44080</v>
      </c>
      <c r="AB2968" s="25"/>
    </row>
    <row r="2969" spans="1:28">
      <c r="A2969" s="285"/>
      <c r="C2969" s="25">
        <v>187</v>
      </c>
      <c r="D2969" s="2">
        <v>28523</v>
      </c>
      <c r="E2969" s="2" t="s">
        <v>6887</v>
      </c>
      <c r="F2969" s="3">
        <v>29605252603105</v>
      </c>
      <c r="G2969" s="2" t="s">
        <v>34</v>
      </c>
      <c r="H2969" s="8" t="s">
        <v>6898</v>
      </c>
      <c r="I2969" s="2" t="s">
        <v>4315</v>
      </c>
      <c r="J2969" s="4">
        <v>44040</v>
      </c>
      <c r="K2969" s="2" t="s">
        <v>8</v>
      </c>
      <c r="L2969" s="2" t="s">
        <v>12</v>
      </c>
      <c r="M2969" s="2" t="s">
        <v>4257</v>
      </c>
      <c r="O2969" s="225">
        <v>0.8</v>
      </c>
      <c r="P2969" s="103">
        <v>22</v>
      </c>
      <c r="Q2969" s="225">
        <v>0.95</v>
      </c>
      <c r="R2969" s="77">
        <v>3</v>
      </c>
      <c r="S2969" s="77">
        <v>2.5</v>
      </c>
      <c r="T2969" s="77">
        <v>2</v>
      </c>
      <c r="U2969" s="77">
        <v>2.5</v>
      </c>
      <c r="V2969" s="77">
        <v>3</v>
      </c>
      <c r="W2969" s="16" t="s">
        <v>171</v>
      </c>
      <c r="Y2969" s="27">
        <v>44070</v>
      </c>
      <c r="Z2969" s="16" t="s">
        <v>66</v>
      </c>
      <c r="AA2969" s="7">
        <v>44080</v>
      </c>
    </row>
    <row r="2970" spans="1:28">
      <c r="A2970" s="285"/>
      <c r="C2970" s="25">
        <v>187</v>
      </c>
      <c r="D2970" s="2">
        <v>28524</v>
      </c>
      <c r="E2970" s="2" t="s">
        <v>6888</v>
      </c>
      <c r="F2970" s="3">
        <v>29210010104452</v>
      </c>
      <c r="G2970" s="2" t="s">
        <v>34</v>
      </c>
      <c r="H2970" s="8" t="s">
        <v>6899</v>
      </c>
      <c r="I2970" s="2" t="s">
        <v>4315</v>
      </c>
      <c r="J2970" s="4">
        <v>44040</v>
      </c>
      <c r="K2970" s="2" t="s">
        <v>8</v>
      </c>
      <c r="L2970" s="2" t="s">
        <v>12</v>
      </c>
      <c r="M2970" s="2" t="s">
        <v>4257</v>
      </c>
      <c r="W2970" s="16" t="s">
        <v>64</v>
      </c>
    </row>
    <row r="2971" spans="1:28">
      <c r="A2971" s="285"/>
      <c r="C2971" s="25">
        <v>187</v>
      </c>
      <c r="D2971" s="2">
        <v>28525</v>
      </c>
      <c r="E2971" s="2" t="s">
        <v>6889</v>
      </c>
      <c r="F2971" s="3">
        <v>29607080101482</v>
      </c>
      <c r="G2971" s="2" t="s">
        <v>34</v>
      </c>
      <c r="H2971" s="2" t="s">
        <v>6900</v>
      </c>
      <c r="I2971" s="2" t="s">
        <v>4315</v>
      </c>
      <c r="J2971" s="4">
        <v>44040</v>
      </c>
      <c r="K2971" s="2" t="s">
        <v>8</v>
      </c>
      <c r="L2971" s="2" t="s">
        <v>12</v>
      </c>
      <c r="M2971" s="2" t="s">
        <v>6833</v>
      </c>
      <c r="O2971" s="225">
        <v>1</v>
      </c>
      <c r="P2971" s="103">
        <v>20</v>
      </c>
      <c r="Q2971" s="225">
        <v>0.65</v>
      </c>
      <c r="R2971" s="77">
        <v>3</v>
      </c>
      <c r="S2971" s="77">
        <v>2.5</v>
      </c>
      <c r="T2971" s="77">
        <v>2.5</v>
      </c>
      <c r="U2971" s="77">
        <v>2.5</v>
      </c>
      <c r="V2971" s="77">
        <v>3</v>
      </c>
      <c r="W2971" s="16" t="s">
        <v>6989</v>
      </c>
      <c r="X2971" s="2" t="s">
        <v>66</v>
      </c>
      <c r="Y2971" s="27">
        <v>44090</v>
      </c>
    </row>
    <row r="2972" spans="1:28">
      <c r="A2972" s="285"/>
      <c r="C2972" s="25">
        <v>187</v>
      </c>
      <c r="D2972" s="2">
        <v>28526</v>
      </c>
      <c r="E2972" s="2" t="s">
        <v>6890</v>
      </c>
      <c r="F2972" s="3">
        <v>300002220102847</v>
      </c>
      <c r="G2972" s="2" t="s">
        <v>34</v>
      </c>
      <c r="H2972" s="2" t="s">
        <v>6901</v>
      </c>
      <c r="I2972" s="2" t="s">
        <v>4315</v>
      </c>
      <c r="J2972" s="4">
        <v>44040</v>
      </c>
      <c r="K2972" s="2" t="s">
        <v>8</v>
      </c>
      <c r="L2972" s="2" t="s">
        <v>12</v>
      </c>
      <c r="M2972" s="2" t="s">
        <v>4257</v>
      </c>
      <c r="O2972" s="225">
        <v>0.95</v>
      </c>
      <c r="P2972" s="103">
        <v>18</v>
      </c>
      <c r="Q2972" s="225">
        <v>0.83</v>
      </c>
      <c r="R2972" s="77">
        <v>3</v>
      </c>
      <c r="S2972" s="77">
        <v>2.5</v>
      </c>
      <c r="T2972" s="77">
        <v>1.5</v>
      </c>
      <c r="U2972" s="77">
        <v>2</v>
      </c>
      <c r="V2972" s="77">
        <v>3</v>
      </c>
      <c r="W2972" s="16" t="s">
        <v>3321</v>
      </c>
      <c r="Y2972" s="27">
        <v>44070</v>
      </c>
    </row>
    <row r="2973" spans="1:28">
      <c r="A2973" s="285"/>
      <c r="C2973" s="25">
        <v>187</v>
      </c>
      <c r="D2973" s="2">
        <v>28527</v>
      </c>
      <c r="E2973" s="2" t="s">
        <v>6891</v>
      </c>
      <c r="F2973" s="3">
        <v>29507162100501</v>
      </c>
      <c r="G2973" s="2" t="s">
        <v>34</v>
      </c>
      <c r="H2973" s="2" t="s">
        <v>6902</v>
      </c>
      <c r="I2973" s="2" t="s">
        <v>4315</v>
      </c>
      <c r="J2973" s="4">
        <v>44040</v>
      </c>
      <c r="K2973" s="2" t="s">
        <v>8</v>
      </c>
      <c r="L2973" s="2" t="s">
        <v>12</v>
      </c>
      <c r="M2973" s="2" t="s">
        <v>4706</v>
      </c>
      <c r="O2973" s="225">
        <v>0.85</v>
      </c>
      <c r="P2973" s="103">
        <v>28</v>
      </c>
      <c r="Q2973" s="225">
        <v>1</v>
      </c>
      <c r="R2973" s="77">
        <v>3</v>
      </c>
      <c r="S2973" s="77">
        <v>2.5</v>
      </c>
      <c r="T2973" s="77">
        <v>3</v>
      </c>
      <c r="U2973" s="77">
        <v>2.5</v>
      </c>
      <c r="V2973" s="77">
        <v>3</v>
      </c>
      <c r="W2973" s="16" t="s">
        <v>502</v>
      </c>
      <c r="Y2973" s="27">
        <v>44070</v>
      </c>
      <c r="Z2973" s="16" t="s">
        <v>66</v>
      </c>
      <c r="AA2973" s="7">
        <v>44087</v>
      </c>
    </row>
    <row r="2974" spans="1:28">
      <c r="A2974" s="285"/>
      <c r="C2974" s="25">
        <v>187</v>
      </c>
      <c r="D2974" s="2">
        <v>28528</v>
      </c>
      <c r="E2974" s="2" t="s">
        <v>6892</v>
      </c>
      <c r="F2974" s="3">
        <v>29806190103581</v>
      </c>
      <c r="G2974" s="2" t="s">
        <v>34</v>
      </c>
      <c r="H2974" s="2" t="s">
        <v>6903</v>
      </c>
      <c r="I2974" s="2" t="s">
        <v>4315</v>
      </c>
      <c r="J2974" s="4">
        <v>44040</v>
      </c>
      <c r="K2974" s="2" t="s">
        <v>8</v>
      </c>
      <c r="L2974" s="2" t="s">
        <v>12</v>
      </c>
      <c r="M2974" s="2" t="s">
        <v>6893</v>
      </c>
      <c r="O2974" s="225">
        <v>0.85</v>
      </c>
      <c r="P2974" s="103">
        <v>34</v>
      </c>
      <c r="Q2974" s="225">
        <v>0.94</v>
      </c>
      <c r="R2974" s="77">
        <v>3</v>
      </c>
      <c r="S2974" s="77">
        <v>3</v>
      </c>
      <c r="T2974" s="77">
        <v>2</v>
      </c>
      <c r="U2974" s="77">
        <v>2</v>
      </c>
      <c r="V2974" s="77">
        <v>3</v>
      </c>
      <c r="W2974" s="16" t="s">
        <v>171</v>
      </c>
      <c r="X2974" s="2" t="s">
        <v>66</v>
      </c>
      <c r="Y2974" s="45">
        <v>44090</v>
      </c>
      <c r="Z2974" s="16" t="s">
        <v>66</v>
      </c>
      <c r="AA2974" s="7">
        <v>44094</v>
      </c>
    </row>
    <row r="2975" spans="1:28">
      <c r="A2975" s="285"/>
      <c r="C2975" s="25">
        <v>187</v>
      </c>
      <c r="D2975" s="2">
        <v>28529</v>
      </c>
      <c r="E2975" s="2" t="s">
        <v>6894</v>
      </c>
      <c r="F2975" s="3">
        <v>29202280100171</v>
      </c>
      <c r="G2975" s="2" t="s">
        <v>34</v>
      </c>
      <c r="H2975" s="2" t="s">
        <v>6904</v>
      </c>
      <c r="I2975" s="2" t="s">
        <v>4315</v>
      </c>
      <c r="J2975" s="4">
        <v>44040</v>
      </c>
      <c r="K2975" s="2" t="s">
        <v>8</v>
      </c>
      <c r="L2975" s="2" t="s">
        <v>12</v>
      </c>
      <c r="M2975" s="2" t="s">
        <v>6463</v>
      </c>
      <c r="O2975" s="225">
        <v>0.8</v>
      </c>
      <c r="P2975" s="103">
        <v>25</v>
      </c>
      <c r="Q2975" s="225">
        <v>0.75</v>
      </c>
      <c r="R2975" s="77">
        <v>3</v>
      </c>
      <c r="S2975" s="77">
        <v>2.5</v>
      </c>
      <c r="T2975" s="77">
        <v>2</v>
      </c>
      <c r="U2975" s="77">
        <v>2</v>
      </c>
      <c r="V2975" s="77">
        <v>3</v>
      </c>
      <c r="W2975" s="103" t="s">
        <v>62</v>
      </c>
      <c r="X2975" s="2" t="s">
        <v>66</v>
      </c>
      <c r="Y2975" s="27">
        <v>44090</v>
      </c>
    </row>
    <row r="2976" spans="1:28">
      <c r="A2976" s="285"/>
      <c r="C2976" s="25">
        <v>187</v>
      </c>
      <c r="D2976" s="2">
        <v>28530</v>
      </c>
      <c r="E2976" s="2" t="s">
        <v>6895</v>
      </c>
      <c r="F2976" s="3">
        <v>29812210104414</v>
      </c>
      <c r="G2976" s="2" t="s">
        <v>34</v>
      </c>
      <c r="H2976" s="2" t="s">
        <v>6905</v>
      </c>
      <c r="I2976" s="2" t="s">
        <v>4315</v>
      </c>
      <c r="J2976" s="4">
        <v>44040</v>
      </c>
      <c r="K2976" s="2" t="s">
        <v>8</v>
      </c>
      <c r="L2976" s="2" t="s">
        <v>12</v>
      </c>
      <c r="M2976" s="2" t="s">
        <v>6893</v>
      </c>
      <c r="O2976" s="225">
        <v>0.85</v>
      </c>
      <c r="P2976" s="103">
        <v>32</v>
      </c>
      <c r="Q2976" s="225">
        <v>0.63</v>
      </c>
      <c r="R2976" s="77">
        <v>3</v>
      </c>
      <c r="S2976" s="77">
        <v>2.5</v>
      </c>
      <c r="T2976" s="77">
        <v>2</v>
      </c>
      <c r="U2976" s="77">
        <v>2.5</v>
      </c>
      <c r="V2976" s="77">
        <v>3</v>
      </c>
      <c r="W2976" s="103" t="s">
        <v>171</v>
      </c>
      <c r="X2976" s="2" t="s">
        <v>66</v>
      </c>
      <c r="Y2976" s="27">
        <v>44090</v>
      </c>
      <c r="Z2976" s="16" t="s">
        <v>66</v>
      </c>
      <c r="AA2976" s="7">
        <v>44094</v>
      </c>
    </row>
    <row r="2977" spans="1:28">
      <c r="A2977" s="285"/>
      <c r="C2977" s="25">
        <v>187</v>
      </c>
      <c r="D2977" s="2">
        <v>28531</v>
      </c>
      <c r="E2977" s="2" t="s">
        <v>6908</v>
      </c>
      <c r="F2977" s="3">
        <v>29509011404897</v>
      </c>
      <c r="G2977" s="2" t="s">
        <v>34</v>
      </c>
      <c r="H2977" s="2" t="s">
        <v>6906</v>
      </c>
      <c r="I2977" s="2" t="s">
        <v>4315</v>
      </c>
      <c r="J2977" s="4">
        <v>44040</v>
      </c>
      <c r="K2977" s="2" t="s">
        <v>8</v>
      </c>
      <c r="L2977" s="2" t="s">
        <v>12</v>
      </c>
      <c r="M2977" s="2" t="s">
        <v>5940</v>
      </c>
      <c r="O2977" s="225">
        <v>0.8</v>
      </c>
      <c r="P2977" s="103">
        <v>14</v>
      </c>
      <c r="Q2977" s="225">
        <v>0.85</v>
      </c>
      <c r="R2977" s="77">
        <v>3</v>
      </c>
      <c r="S2977" s="77">
        <v>2.5</v>
      </c>
      <c r="T2977" s="77">
        <v>2</v>
      </c>
      <c r="U2977" s="77">
        <v>2</v>
      </c>
      <c r="V2977" s="77">
        <v>3</v>
      </c>
      <c r="W2977" s="16" t="s">
        <v>62</v>
      </c>
      <c r="Y2977" s="27">
        <v>44070</v>
      </c>
      <c r="Z2977" s="16" t="s">
        <v>66</v>
      </c>
      <c r="AA2977" s="7">
        <v>44089</v>
      </c>
      <c r="AB2977" s="2" t="s">
        <v>6780</v>
      </c>
    </row>
    <row r="2978" spans="1:28">
      <c r="A2978" s="285"/>
      <c r="C2978" s="25">
        <v>187</v>
      </c>
      <c r="D2978" s="2">
        <v>28532</v>
      </c>
      <c r="E2978" s="2" t="s">
        <v>6896</v>
      </c>
      <c r="F2978" s="3">
        <v>29306250102578</v>
      </c>
      <c r="G2978" s="2" t="s">
        <v>34</v>
      </c>
      <c r="H2978" s="2" t="s">
        <v>6907</v>
      </c>
      <c r="I2978" s="2" t="s">
        <v>4315</v>
      </c>
      <c r="J2978" s="4">
        <v>44040</v>
      </c>
      <c r="K2978" s="2" t="s">
        <v>8</v>
      </c>
      <c r="L2978" s="2" t="s">
        <v>12</v>
      </c>
      <c r="M2978" s="2" t="s">
        <v>6463</v>
      </c>
      <c r="O2978" s="225">
        <v>0.7</v>
      </c>
      <c r="P2978" s="103">
        <v>28</v>
      </c>
      <c r="Q2978" s="225">
        <v>0.82</v>
      </c>
      <c r="R2978" s="77">
        <v>3</v>
      </c>
      <c r="S2978" s="77">
        <v>2.5</v>
      </c>
      <c r="T2978" s="77">
        <v>2</v>
      </c>
      <c r="U2978" s="77">
        <v>1.5</v>
      </c>
      <c r="V2978" s="77">
        <v>3</v>
      </c>
      <c r="W2978" s="16" t="s">
        <v>3321</v>
      </c>
      <c r="Y2978" s="27">
        <v>44070</v>
      </c>
      <c r="Z2978" s="16" t="s">
        <v>66</v>
      </c>
      <c r="AA2978" s="7">
        <v>44083</v>
      </c>
      <c r="AB2978" s="2" t="s">
        <v>6255</v>
      </c>
    </row>
    <row r="2979" spans="1:28">
      <c r="A2979" s="285"/>
      <c r="C2979" s="25">
        <v>187</v>
      </c>
      <c r="D2979" s="2">
        <v>29055</v>
      </c>
      <c r="E2979" s="2" t="s">
        <v>6909</v>
      </c>
      <c r="F2979" s="3">
        <v>29811130100527</v>
      </c>
      <c r="G2979" s="2" t="s">
        <v>34</v>
      </c>
      <c r="H2979" s="2" t="s">
        <v>6910</v>
      </c>
      <c r="I2979" s="2" t="s">
        <v>4315</v>
      </c>
      <c r="J2979" s="4">
        <v>44040</v>
      </c>
      <c r="K2979" s="2" t="s">
        <v>8</v>
      </c>
      <c r="L2979" s="2" t="s">
        <v>12</v>
      </c>
      <c r="M2979" s="2" t="s">
        <v>6463</v>
      </c>
      <c r="O2979" s="225">
        <v>0.9</v>
      </c>
      <c r="P2979" s="103">
        <v>21</v>
      </c>
      <c r="Q2979" s="225">
        <v>1</v>
      </c>
      <c r="R2979" s="77">
        <v>3</v>
      </c>
      <c r="S2979" s="77">
        <v>2.5</v>
      </c>
      <c r="T2979" s="77">
        <v>2</v>
      </c>
      <c r="U2979" s="77">
        <v>2.5</v>
      </c>
      <c r="V2979" s="77">
        <v>3</v>
      </c>
      <c r="W2979" s="16" t="s">
        <v>61</v>
      </c>
      <c r="Y2979" s="27">
        <v>44070</v>
      </c>
      <c r="Z2979" s="16" t="s">
        <v>66</v>
      </c>
      <c r="AA2979" s="7">
        <v>44080</v>
      </c>
    </row>
    <row r="2980" spans="1:28">
      <c r="A2980" s="285"/>
      <c r="C2980" s="25">
        <v>187</v>
      </c>
      <c r="D2980" s="2">
        <v>29056</v>
      </c>
      <c r="E2980" s="2" t="s">
        <v>6911</v>
      </c>
      <c r="F2980" s="3">
        <v>29511100101347</v>
      </c>
      <c r="G2980" s="2" t="s">
        <v>34</v>
      </c>
      <c r="H2980" s="2" t="s">
        <v>6912</v>
      </c>
      <c r="I2980" s="2" t="s">
        <v>4315</v>
      </c>
      <c r="J2980" s="4">
        <v>44040</v>
      </c>
      <c r="K2980" s="2" t="s">
        <v>8</v>
      </c>
      <c r="L2980" s="2" t="s">
        <v>12</v>
      </c>
      <c r="M2980" s="2" t="s">
        <v>3890</v>
      </c>
      <c r="O2980" s="225">
        <v>0.8</v>
      </c>
      <c r="P2980" s="103">
        <v>22</v>
      </c>
      <c r="Q2980" s="225">
        <v>1</v>
      </c>
      <c r="R2980" s="77">
        <v>3</v>
      </c>
      <c r="S2980" s="77">
        <v>2.5</v>
      </c>
      <c r="T2980" s="77">
        <v>2</v>
      </c>
      <c r="U2980" s="77">
        <v>2</v>
      </c>
      <c r="V2980" s="77">
        <v>3</v>
      </c>
      <c r="W2980" s="16" t="s">
        <v>62</v>
      </c>
      <c r="Y2980" s="27">
        <v>44070</v>
      </c>
    </row>
    <row r="2981" spans="1:28" ht="15.75" thickBot="1">
      <c r="A2981" s="286"/>
      <c r="C2981" s="28">
        <v>187</v>
      </c>
      <c r="D2981" s="28">
        <v>29057</v>
      </c>
      <c r="E2981" s="28" t="s">
        <v>6913</v>
      </c>
      <c r="F2981" s="29">
        <v>28706162102279</v>
      </c>
      <c r="G2981" s="28" t="s">
        <v>34</v>
      </c>
      <c r="H2981" s="28" t="s">
        <v>6914</v>
      </c>
      <c r="I2981" s="28" t="s">
        <v>4315</v>
      </c>
      <c r="J2981" s="30">
        <v>44040</v>
      </c>
      <c r="K2981" s="28" t="s">
        <v>8</v>
      </c>
      <c r="L2981" s="28" t="s">
        <v>12</v>
      </c>
      <c r="M2981" s="28" t="s">
        <v>4706</v>
      </c>
      <c r="N2981" s="28"/>
      <c r="O2981" s="226">
        <v>0.9</v>
      </c>
      <c r="P2981" s="28">
        <v>27</v>
      </c>
      <c r="Q2981" s="226">
        <v>0.78</v>
      </c>
      <c r="R2981" s="37">
        <v>3</v>
      </c>
      <c r="S2981" s="37">
        <v>3</v>
      </c>
      <c r="T2981" s="37">
        <v>2.5</v>
      </c>
      <c r="U2981" s="37">
        <v>2.5</v>
      </c>
      <c r="V2981" s="37">
        <v>3</v>
      </c>
      <c r="W2981" s="28" t="s">
        <v>6621</v>
      </c>
      <c r="X2981" s="28"/>
      <c r="Y2981" s="237">
        <v>44070</v>
      </c>
      <c r="Z2981" s="28"/>
      <c r="AA2981" s="30"/>
      <c r="AB2981" s="28"/>
    </row>
    <row r="2982" spans="1:28" ht="15.75" thickTop="1">
      <c r="A2982" s="287" t="s">
        <v>3120</v>
      </c>
      <c r="C2982" s="25" t="s">
        <v>6755</v>
      </c>
      <c r="D2982" s="25">
        <v>29037</v>
      </c>
      <c r="E2982" s="25" t="s">
        <v>6927</v>
      </c>
      <c r="F2982" s="26">
        <v>29511090101157</v>
      </c>
      <c r="G2982" s="25" t="s">
        <v>34</v>
      </c>
      <c r="H2982" s="34" t="s">
        <v>6814</v>
      </c>
      <c r="I2982" s="25" t="s">
        <v>4315</v>
      </c>
      <c r="J2982" s="27">
        <v>44055</v>
      </c>
      <c r="K2982" s="25" t="s">
        <v>8</v>
      </c>
      <c r="L2982" s="25" t="s">
        <v>12</v>
      </c>
      <c r="M2982" s="25" t="s">
        <v>6599</v>
      </c>
      <c r="N2982" s="25"/>
      <c r="O2982" s="241">
        <v>0.9</v>
      </c>
      <c r="P2982" s="242">
        <v>8</v>
      </c>
      <c r="Q2982" s="241">
        <v>1</v>
      </c>
      <c r="R2982" s="92">
        <v>3</v>
      </c>
      <c r="S2982" s="92">
        <v>3</v>
      </c>
      <c r="T2982" s="92">
        <v>2.5</v>
      </c>
      <c r="U2982" s="92">
        <v>2</v>
      </c>
      <c r="V2982" s="92">
        <v>3</v>
      </c>
      <c r="W2982" s="25" t="s">
        <v>502</v>
      </c>
      <c r="X2982" s="25"/>
      <c r="Y2982" s="27">
        <v>44073</v>
      </c>
      <c r="Z2982" s="25" t="s">
        <v>66</v>
      </c>
      <c r="AA2982" s="27">
        <v>44087</v>
      </c>
      <c r="AB2982" s="25"/>
    </row>
    <row r="2983" spans="1:28" ht="15.75" thickBot="1">
      <c r="A2983" s="288"/>
      <c r="C2983" s="28" t="s">
        <v>6755</v>
      </c>
      <c r="D2983" s="28">
        <v>29038</v>
      </c>
      <c r="E2983" s="28" t="s">
        <v>6928</v>
      </c>
      <c r="F2983" s="29">
        <v>29709170100822</v>
      </c>
      <c r="G2983" s="28" t="s">
        <v>34</v>
      </c>
      <c r="H2983" s="78" t="s">
        <v>6815</v>
      </c>
      <c r="I2983" s="28" t="s">
        <v>4315</v>
      </c>
      <c r="J2983" s="30">
        <v>44055</v>
      </c>
      <c r="K2983" s="28" t="s">
        <v>8</v>
      </c>
      <c r="L2983" s="28" t="s">
        <v>12</v>
      </c>
      <c r="M2983" s="28" t="s">
        <v>5942</v>
      </c>
      <c r="N2983" s="28"/>
      <c r="O2983" s="226">
        <v>1</v>
      </c>
      <c r="P2983" s="28">
        <v>20</v>
      </c>
      <c r="Q2983" s="226">
        <v>1</v>
      </c>
      <c r="R2983" s="37">
        <v>3</v>
      </c>
      <c r="S2983" s="37">
        <v>3</v>
      </c>
      <c r="T2983" s="37">
        <v>2.5</v>
      </c>
      <c r="U2983" s="37">
        <v>2.5</v>
      </c>
      <c r="V2983" s="37">
        <v>3</v>
      </c>
      <c r="W2983" s="28" t="s">
        <v>502</v>
      </c>
      <c r="X2983" s="28"/>
      <c r="Y2983" s="30">
        <v>44073</v>
      </c>
      <c r="Z2983" s="28" t="s">
        <v>66</v>
      </c>
      <c r="AA2983" s="30">
        <v>44087</v>
      </c>
      <c r="AB2983" s="28"/>
    </row>
    <row r="2984" spans="1:28" ht="15.75" thickTop="1">
      <c r="A2984" s="289" t="s">
        <v>5924</v>
      </c>
      <c r="C2984" s="25">
        <v>188</v>
      </c>
      <c r="D2984" s="25">
        <v>28533</v>
      </c>
      <c r="E2984" s="25" t="s">
        <v>6929</v>
      </c>
      <c r="F2984" s="26">
        <v>29308052103341</v>
      </c>
      <c r="G2984" s="25" t="s">
        <v>34</v>
      </c>
      <c r="H2984" s="25" t="s">
        <v>6930</v>
      </c>
      <c r="I2984" s="25" t="s">
        <v>4315</v>
      </c>
      <c r="J2984" s="27">
        <v>44047</v>
      </c>
      <c r="K2984" s="25" t="s">
        <v>8</v>
      </c>
      <c r="L2984" s="25" t="s">
        <v>12</v>
      </c>
      <c r="M2984" s="25" t="s">
        <v>6599</v>
      </c>
      <c r="N2984" s="25"/>
      <c r="O2984" s="224">
        <v>0.9</v>
      </c>
      <c r="P2984" s="25">
        <v>15</v>
      </c>
      <c r="Q2984" s="224">
        <v>0.74</v>
      </c>
      <c r="R2984" s="77">
        <v>3</v>
      </c>
      <c r="S2984" s="77">
        <v>2.5</v>
      </c>
      <c r="T2984" s="77">
        <v>2.5</v>
      </c>
      <c r="U2984" s="77">
        <v>2</v>
      </c>
      <c r="V2984" s="77">
        <v>3</v>
      </c>
      <c r="W2984" s="25" t="s">
        <v>59</v>
      </c>
      <c r="X2984" s="25" t="s">
        <v>66</v>
      </c>
      <c r="Y2984" s="27">
        <v>44074</v>
      </c>
      <c r="Z2984" s="25"/>
      <c r="AA2984" s="27"/>
      <c r="AB2984" s="25"/>
    </row>
    <row r="2985" spans="1:28">
      <c r="A2985" s="290"/>
      <c r="C2985" s="25">
        <v>188</v>
      </c>
      <c r="D2985" s="2">
        <v>28534</v>
      </c>
      <c r="E2985" s="2" t="s">
        <v>6931</v>
      </c>
      <c r="F2985" s="3">
        <v>29804110104961</v>
      </c>
      <c r="G2985" s="2" t="s">
        <v>34</v>
      </c>
      <c r="H2985" s="2" t="s">
        <v>6932</v>
      </c>
      <c r="I2985" s="2" t="s">
        <v>4315</v>
      </c>
      <c r="J2985" s="4">
        <v>44047</v>
      </c>
      <c r="K2985" s="2" t="s">
        <v>8</v>
      </c>
      <c r="L2985" s="2" t="s">
        <v>12</v>
      </c>
      <c r="M2985" s="2" t="s">
        <v>5942</v>
      </c>
      <c r="O2985" s="225">
        <v>1</v>
      </c>
      <c r="P2985" s="103">
        <v>22</v>
      </c>
      <c r="Q2985" s="225">
        <v>0.77</v>
      </c>
      <c r="R2985" s="77">
        <v>3</v>
      </c>
      <c r="S2985" s="77">
        <v>3</v>
      </c>
      <c r="T2985" s="77">
        <v>2.5</v>
      </c>
      <c r="U2985" s="77">
        <v>2.5</v>
      </c>
      <c r="V2985" s="77">
        <v>3</v>
      </c>
      <c r="W2985" s="16" t="s">
        <v>502</v>
      </c>
      <c r="Y2985" s="27">
        <v>44074</v>
      </c>
    </row>
    <row r="2986" spans="1:28">
      <c r="A2986" s="290"/>
      <c r="C2986" s="25">
        <v>188</v>
      </c>
      <c r="D2986" s="2">
        <v>28535</v>
      </c>
      <c r="E2986" s="2" t="s">
        <v>6933</v>
      </c>
      <c r="F2986" s="238">
        <v>29603101604221</v>
      </c>
      <c r="G2986" s="2" t="s">
        <v>34</v>
      </c>
      <c r="H2986" s="2" t="s">
        <v>6934</v>
      </c>
      <c r="I2986" s="2" t="s">
        <v>4315</v>
      </c>
      <c r="J2986" s="4">
        <v>44047</v>
      </c>
      <c r="K2986" s="2" t="s">
        <v>8</v>
      </c>
      <c r="L2986" s="2" t="s">
        <v>12</v>
      </c>
      <c r="M2986" s="2" t="s">
        <v>4257</v>
      </c>
      <c r="O2986" s="225">
        <v>0.8</v>
      </c>
      <c r="P2986" s="103">
        <v>21</v>
      </c>
      <c r="Q2986" s="225">
        <v>0.9</v>
      </c>
      <c r="R2986" s="77">
        <v>3</v>
      </c>
      <c r="S2986" s="77">
        <v>3</v>
      </c>
      <c r="T2986" s="77">
        <v>2</v>
      </c>
      <c r="U2986" s="77">
        <v>2</v>
      </c>
      <c r="V2986" s="77">
        <v>3</v>
      </c>
      <c r="W2986" s="16" t="s">
        <v>59</v>
      </c>
      <c r="X2986" s="2" t="s">
        <v>66</v>
      </c>
      <c r="Y2986" s="27">
        <v>44074</v>
      </c>
    </row>
    <row r="2987" spans="1:28">
      <c r="A2987" s="290"/>
      <c r="C2987" s="25">
        <v>188</v>
      </c>
      <c r="D2987" s="2">
        <v>28536</v>
      </c>
      <c r="E2987" s="2" t="s">
        <v>6935</v>
      </c>
      <c r="F2987" s="3">
        <v>29806290102948</v>
      </c>
      <c r="G2987" s="2" t="s">
        <v>34</v>
      </c>
      <c r="H2987" s="2" t="s">
        <v>6936</v>
      </c>
      <c r="I2987" s="2" t="s">
        <v>4315</v>
      </c>
      <c r="J2987" s="4">
        <v>44047</v>
      </c>
      <c r="K2987" s="2" t="s">
        <v>8</v>
      </c>
      <c r="L2987" s="2" t="s">
        <v>12</v>
      </c>
      <c r="M2987" s="2" t="s">
        <v>4257</v>
      </c>
      <c r="O2987" s="225">
        <v>0.75</v>
      </c>
      <c r="P2987" s="103">
        <v>27</v>
      </c>
      <c r="Q2987" s="225">
        <v>0.85</v>
      </c>
      <c r="R2987" s="77">
        <v>3</v>
      </c>
      <c r="S2987" s="77">
        <v>2.5</v>
      </c>
      <c r="T2987" s="77">
        <v>2</v>
      </c>
      <c r="U2987" s="77">
        <v>2</v>
      </c>
      <c r="V2987" s="77">
        <v>3</v>
      </c>
      <c r="W2987" s="16" t="s">
        <v>5714</v>
      </c>
      <c r="X2987" s="2" t="s">
        <v>66</v>
      </c>
      <c r="Y2987" s="27">
        <v>44074</v>
      </c>
    </row>
    <row r="2988" spans="1:28">
      <c r="A2988" s="290"/>
      <c r="C2988" s="25">
        <v>188</v>
      </c>
      <c r="D2988" s="2">
        <v>28537</v>
      </c>
      <c r="E2988" s="2" t="s">
        <v>6937</v>
      </c>
      <c r="F2988" s="3">
        <v>29606140100069</v>
      </c>
      <c r="G2988" s="2" t="s">
        <v>34</v>
      </c>
      <c r="H2988" s="2" t="s">
        <v>6938</v>
      </c>
      <c r="I2988" s="2" t="s">
        <v>4315</v>
      </c>
      <c r="J2988" s="4">
        <v>44047</v>
      </c>
      <c r="K2988" s="2" t="s">
        <v>8</v>
      </c>
      <c r="L2988" s="2" t="s">
        <v>12</v>
      </c>
      <c r="M2988" s="2" t="s">
        <v>6939</v>
      </c>
      <c r="O2988" s="225">
        <v>0.95</v>
      </c>
      <c r="P2988" s="103">
        <v>19</v>
      </c>
      <c r="Q2988" s="225">
        <v>0.84</v>
      </c>
      <c r="R2988" s="77">
        <v>3</v>
      </c>
      <c r="S2988" s="77">
        <v>2.5</v>
      </c>
      <c r="T2988" s="77">
        <v>2</v>
      </c>
      <c r="U2988" s="77">
        <v>2</v>
      </c>
      <c r="V2988" s="77">
        <v>3</v>
      </c>
      <c r="W2988" s="16" t="s">
        <v>62</v>
      </c>
      <c r="Y2988" s="27">
        <v>44074</v>
      </c>
    </row>
    <row r="2989" spans="1:28">
      <c r="A2989" s="290"/>
      <c r="C2989" s="25">
        <v>188</v>
      </c>
      <c r="D2989" s="2">
        <v>28538</v>
      </c>
      <c r="E2989" s="2" t="s">
        <v>6940</v>
      </c>
      <c r="F2989" s="3">
        <v>29810011414061</v>
      </c>
      <c r="G2989" s="2" t="s">
        <v>34</v>
      </c>
      <c r="H2989" s="2" t="s">
        <v>6941</v>
      </c>
      <c r="I2989" s="2" t="s">
        <v>4315</v>
      </c>
      <c r="J2989" s="4">
        <v>44047</v>
      </c>
      <c r="K2989" s="2" t="s">
        <v>8</v>
      </c>
      <c r="L2989" s="2" t="s">
        <v>12</v>
      </c>
      <c r="M2989" s="2" t="s">
        <v>5940</v>
      </c>
      <c r="O2989" s="225">
        <v>0.8</v>
      </c>
      <c r="P2989" s="103">
        <v>21</v>
      </c>
      <c r="Q2989" s="225">
        <v>0.76</v>
      </c>
      <c r="R2989" s="77">
        <v>3</v>
      </c>
      <c r="S2989" s="77">
        <v>2.5</v>
      </c>
      <c r="T2989" s="77">
        <v>2.5</v>
      </c>
      <c r="U2989" s="77">
        <v>2</v>
      </c>
      <c r="V2989" s="77">
        <v>3</v>
      </c>
      <c r="W2989" s="16" t="s">
        <v>59</v>
      </c>
      <c r="X2989" s="2" t="s">
        <v>66</v>
      </c>
      <c r="Y2989" s="27">
        <v>44074</v>
      </c>
    </row>
    <row r="2990" spans="1:28">
      <c r="A2990" s="290"/>
      <c r="C2990" s="25">
        <v>188</v>
      </c>
      <c r="D2990" s="2">
        <v>28539</v>
      </c>
      <c r="E2990" s="2" t="s">
        <v>6942</v>
      </c>
      <c r="F2990" s="3">
        <v>28909231900636</v>
      </c>
      <c r="G2990" s="2" t="s">
        <v>34</v>
      </c>
      <c r="H2990" s="2" t="s">
        <v>6943</v>
      </c>
      <c r="I2990" s="2" t="s">
        <v>4315</v>
      </c>
      <c r="J2990" s="4">
        <v>44047</v>
      </c>
      <c r="K2990" s="2" t="s">
        <v>8</v>
      </c>
      <c r="L2990" s="2" t="s">
        <v>12</v>
      </c>
      <c r="M2990" s="2" t="s">
        <v>5940</v>
      </c>
      <c r="O2990" s="225">
        <v>0.95</v>
      </c>
      <c r="P2990" s="103">
        <v>21</v>
      </c>
      <c r="Q2990" s="225">
        <v>0.81</v>
      </c>
      <c r="R2990" s="77">
        <v>3</v>
      </c>
      <c r="S2990" s="77">
        <v>3</v>
      </c>
      <c r="T2990" s="77">
        <v>2</v>
      </c>
      <c r="U2990" s="77">
        <v>2.5</v>
      </c>
      <c r="V2990" s="77">
        <v>3</v>
      </c>
      <c r="W2990" s="16" t="s">
        <v>61</v>
      </c>
      <c r="Y2990" s="27">
        <v>44074</v>
      </c>
      <c r="Z2990" s="16" t="s">
        <v>66</v>
      </c>
      <c r="AA2990" s="7">
        <v>44087</v>
      </c>
      <c r="AB2990" s="2" t="s">
        <v>502</v>
      </c>
    </row>
    <row r="2991" spans="1:28">
      <c r="A2991" s="290"/>
      <c r="C2991" s="25">
        <v>188</v>
      </c>
      <c r="D2991" s="2">
        <v>28540</v>
      </c>
      <c r="E2991" s="2" t="s">
        <v>6944</v>
      </c>
      <c r="F2991" s="3">
        <v>29506140102768</v>
      </c>
      <c r="G2991" s="2" t="s">
        <v>34</v>
      </c>
      <c r="H2991" s="2" t="s">
        <v>6945</v>
      </c>
      <c r="I2991" s="2" t="s">
        <v>4315</v>
      </c>
      <c r="J2991" s="4">
        <v>44047</v>
      </c>
      <c r="K2991" s="2" t="s">
        <v>8</v>
      </c>
      <c r="L2991" s="2" t="s">
        <v>12</v>
      </c>
      <c r="M2991" s="2" t="s">
        <v>5940</v>
      </c>
      <c r="O2991" s="225">
        <v>0.75</v>
      </c>
      <c r="P2991" s="103">
        <v>17</v>
      </c>
      <c r="Q2991" s="225">
        <v>1</v>
      </c>
      <c r="W2991" s="16" t="s">
        <v>64</v>
      </c>
      <c r="Z2991" s="16" t="s">
        <v>67</v>
      </c>
    </row>
    <row r="2992" spans="1:28">
      <c r="A2992" s="290"/>
      <c r="C2992" s="25">
        <v>188</v>
      </c>
      <c r="D2992" s="2">
        <v>28541</v>
      </c>
      <c r="E2992" s="2" t="s">
        <v>6946</v>
      </c>
      <c r="F2992" s="3">
        <v>29701010301685</v>
      </c>
      <c r="G2992" s="2" t="s">
        <v>34</v>
      </c>
      <c r="H2992" s="2" t="s">
        <v>6947</v>
      </c>
      <c r="I2992" s="2" t="s">
        <v>4315</v>
      </c>
      <c r="J2992" s="4">
        <v>44047</v>
      </c>
      <c r="K2992" s="2" t="s">
        <v>8</v>
      </c>
      <c r="L2992" s="2" t="s">
        <v>12</v>
      </c>
      <c r="M2992" s="2" t="s">
        <v>6599</v>
      </c>
      <c r="O2992" s="225">
        <v>0.8</v>
      </c>
      <c r="P2992" s="103">
        <v>20</v>
      </c>
      <c r="Q2992" s="225">
        <v>0.9</v>
      </c>
      <c r="R2992" s="77">
        <v>3</v>
      </c>
      <c r="S2992" s="77">
        <v>2.5</v>
      </c>
      <c r="T2992" s="77">
        <v>2</v>
      </c>
      <c r="U2992" s="77">
        <v>2</v>
      </c>
      <c r="V2992" s="77">
        <v>3</v>
      </c>
      <c r="W2992" s="16" t="s">
        <v>62</v>
      </c>
      <c r="Y2992" s="27">
        <v>44074</v>
      </c>
    </row>
    <row r="2993" spans="1:28">
      <c r="A2993" s="290"/>
      <c r="C2993" s="25">
        <v>188</v>
      </c>
      <c r="D2993" s="2">
        <v>28542</v>
      </c>
      <c r="E2993" s="2" t="s">
        <v>6948</v>
      </c>
      <c r="F2993" s="3">
        <v>29605050300097</v>
      </c>
      <c r="G2993" s="2" t="s">
        <v>34</v>
      </c>
      <c r="H2993" s="2" t="s">
        <v>6949</v>
      </c>
      <c r="I2993" s="2" t="s">
        <v>4315</v>
      </c>
      <c r="J2993" s="4">
        <v>44047</v>
      </c>
      <c r="K2993" s="2" t="s">
        <v>8</v>
      </c>
      <c r="L2993" s="2" t="s">
        <v>12</v>
      </c>
      <c r="M2993" s="2" t="s">
        <v>6599</v>
      </c>
      <c r="P2993" s="103">
        <v>23</v>
      </c>
      <c r="Q2993" s="225">
        <v>0.87</v>
      </c>
      <c r="R2993" s="77">
        <v>3</v>
      </c>
      <c r="S2993" s="77">
        <v>3</v>
      </c>
      <c r="T2993" s="77">
        <v>2</v>
      </c>
      <c r="U2993" s="77">
        <v>2.5</v>
      </c>
      <c r="V2993" s="77">
        <v>3</v>
      </c>
      <c r="W2993" s="16" t="s">
        <v>61</v>
      </c>
      <c r="Y2993" s="27">
        <v>44074</v>
      </c>
      <c r="Z2993" s="16" t="s">
        <v>66</v>
      </c>
      <c r="AA2993" s="7">
        <v>44080</v>
      </c>
    </row>
    <row r="2994" spans="1:28">
      <c r="A2994" s="290"/>
      <c r="C2994" s="25">
        <v>188</v>
      </c>
      <c r="D2994" s="2">
        <v>28543</v>
      </c>
      <c r="E2994" s="2" t="s">
        <v>6950</v>
      </c>
      <c r="F2994" s="3">
        <v>29605201301325</v>
      </c>
      <c r="G2994" s="2" t="s">
        <v>34</v>
      </c>
      <c r="H2994" s="2" t="s">
        <v>6951</v>
      </c>
      <c r="I2994" s="2" t="s">
        <v>4315</v>
      </c>
      <c r="J2994" s="4">
        <v>44047</v>
      </c>
      <c r="K2994" s="2" t="s">
        <v>8</v>
      </c>
      <c r="L2994" s="2" t="s">
        <v>12</v>
      </c>
      <c r="M2994" s="2" t="s">
        <v>5942</v>
      </c>
      <c r="O2994" s="225">
        <v>0.9</v>
      </c>
      <c r="P2994" s="103">
        <v>13</v>
      </c>
      <c r="Q2994" s="225">
        <v>0.61</v>
      </c>
      <c r="R2994" s="77">
        <v>3</v>
      </c>
      <c r="S2994" s="77">
        <v>2.5</v>
      </c>
      <c r="T2994" s="77">
        <v>1.5</v>
      </c>
      <c r="U2994" s="77">
        <v>2</v>
      </c>
      <c r="V2994" s="77">
        <v>3</v>
      </c>
      <c r="W2994" s="16" t="s">
        <v>62</v>
      </c>
      <c r="Y2994" s="27">
        <v>44074</v>
      </c>
      <c r="Z2994" s="16" t="s">
        <v>66</v>
      </c>
      <c r="AA2994" s="7">
        <v>44089</v>
      </c>
      <c r="AB2994" s="2" t="s">
        <v>6780</v>
      </c>
    </row>
    <row r="2995" spans="1:28" ht="15.75" thickBot="1">
      <c r="A2995" s="291"/>
      <c r="C2995" s="28">
        <v>188</v>
      </c>
      <c r="D2995" s="28">
        <v>28544</v>
      </c>
      <c r="E2995" s="28" t="s">
        <v>6952</v>
      </c>
      <c r="F2995" s="29">
        <v>29705032103611</v>
      </c>
      <c r="G2995" s="28" t="s">
        <v>34</v>
      </c>
      <c r="H2995" s="28" t="s">
        <v>6953</v>
      </c>
      <c r="I2995" s="28" t="s">
        <v>4315</v>
      </c>
      <c r="J2995" s="30">
        <v>44047</v>
      </c>
      <c r="K2995" s="28" t="s">
        <v>8</v>
      </c>
      <c r="L2995" s="28" t="s">
        <v>12</v>
      </c>
      <c r="M2995" s="28" t="s">
        <v>6954</v>
      </c>
      <c r="N2995" s="28"/>
      <c r="O2995" s="226"/>
      <c r="P2995" s="28"/>
      <c r="Q2995" s="226"/>
      <c r="R2995" s="28"/>
      <c r="S2995" s="28"/>
      <c r="T2995" s="28"/>
      <c r="U2995" s="28"/>
      <c r="V2995" s="28"/>
      <c r="W2995" s="28" t="s">
        <v>64</v>
      </c>
      <c r="X2995" s="28"/>
      <c r="Y2995" s="30"/>
      <c r="Z2995" s="28" t="s">
        <v>67</v>
      </c>
      <c r="AA2995" s="30"/>
      <c r="AB2995" s="28"/>
    </row>
    <row r="2996" spans="1:28" ht="15.75" thickTop="1">
      <c r="A2996" s="284" t="s">
        <v>5923</v>
      </c>
      <c r="C2996" s="25">
        <v>189</v>
      </c>
      <c r="D2996" s="25">
        <v>29025</v>
      </c>
      <c r="E2996" s="25" t="s">
        <v>6955</v>
      </c>
      <c r="F2996" s="26">
        <v>29810012112875</v>
      </c>
      <c r="G2996" s="25" t="s">
        <v>34</v>
      </c>
      <c r="H2996" s="25" t="s">
        <v>6956</v>
      </c>
      <c r="I2996" s="25" t="s">
        <v>4315</v>
      </c>
      <c r="J2996" s="27">
        <v>44055</v>
      </c>
      <c r="K2996" s="25" t="s">
        <v>8</v>
      </c>
      <c r="L2996" s="25" t="s">
        <v>12</v>
      </c>
      <c r="M2996" s="25" t="s">
        <v>6957</v>
      </c>
      <c r="N2996" s="25"/>
      <c r="O2996" s="224">
        <v>0.9</v>
      </c>
      <c r="P2996" s="25">
        <v>19</v>
      </c>
      <c r="Q2996" s="224">
        <v>0.94</v>
      </c>
      <c r="R2996" s="77">
        <v>3</v>
      </c>
      <c r="S2996" s="77">
        <v>2.5</v>
      </c>
      <c r="T2996" s="77">
        <v>2</v>
      </c>
      <c r="U2996" s="77">
        <v>2</v>
      </c>
      <c r="V2996" s="77">
        <v>3</v>
      </c>
      <c r="W2996" s="25" t="s">
        <v>59</v>
      </c>
      <c r="X2996" s="25" t="s">
        <v>66</v>
      </c>
      <c r="Y2996" s="27">
        <v>44081</v>
      </c>
      <c r="Z2996" s="25"/>
      <c r="AA2996" s="27"/>
      <c r="AB2996" s="25"/>
    </row>
    <row r="2997" spans="1:28">
      <c r="A2997" s="285"/>
      <c r="C2997" s="25">
        <v>189</v>
      </c>
      <c r="D2997" s="2">
        <v>29026</v>
      </c>
      <c r="E2997" s="2" t="s">
        <v>6958</v>
      </c>
      <c r="F2997" s="3">
        <v>30103202103012</v>
      </c>
      <c r="G2997" s="2" t="s">
        <v>5856</v>
      </c>
      <c r="H2997" s="2" t="s">
        <v>6959</v>
      </c>
      <c r="I2997" s="2" t="s">
        <v>4315</v>
      </c>
      <c r="J2997" s="4">
        <v>44055</v>
      </c>
      <c r="K2997" s="2" t="s">
        <v>8</v>
      </c>
      <c r="L2997" s="2" t="s">
        <v>12</v>
      </c>
      <c r="M2997" s="2" t="s">
        <v>5942</v>
      </c>
      <c r="O2997" s="225">
        <v>0.95</v>
      </c>
      <c r="P2997" s="103">
        <v>35</v>
      </c>
      <c r="Q2997" s="225">
        <v>0.91</v>
      </c>
      <c r="R2997" s="77">
        <v>3</v>
      </c>
      <c r="S2997" s="77">
        <v>3</v>
      </c>
      <c r="T2997" s="77">
        <v>2</v>
      </c>
      <c r="U2997" s="77">
        <v>2.5</v>
      </c>
      <c r="V2997" s="77">
        <v>3</v>
      </c>
      <c r="W2997" s="16" t="s">
        <v>61</v>
      </c>
      <c r="Y2997" s="27">
        <v>44081</v>
      </c>
      <c r="Z2997" s="16" t="s">
        <v>66</v>
      </c>
      <c r="AA2997" s="7">
        <v>44094</v>
      </c>
    </row>
    <row r="2998" spans="1:28">
      <c r="A2998" s="285"/>
      <c r="C2998" s="25">
        <v>189</v>
      </c>
      <c r="D2998" s="2">
        <v>29027</v>
      </c>
      <c r="E2998" s="2" t="s">
        <v>6960</v>
      </c>
      <c r="F2998" s="3">
        <v>29509261402091</v>
      </c>
      <c r="G2998" s="2" t="s">
        <v>34</v>
      </c>
      <c r="H2998" s="2" t="s">
        <v>6961</v>
      </c>
      <c r="I2998" s="2" t="s">
        <v>4315</v>
      </c>
      <c r="J2998" s="4">
        <v>44055</v>
      </c>
      <c r="K2998" s="2" t="s">
        <v>8</v>
      </c>
      <c r="L2998" s="2" t="s">
        <v>12</v>
      </c>
      <c r="M2998" s="2" t="s">
        <v>5942</v>
      </c>
      <c r="W2998" s="16" t="s">
        <v>64</v>
      </c>
      <c r="Z2998" s="16" t="s">
        <v>67</v>
      </c>
    </row>
    <row r="2999" spans="1:28">
      <c r="A2999" s="285"/>
      <c r="C2999" s="25">
        <v>189</v>
      </c>
      <c r="D2999" s="2">
        <v>29028</v>
      </c>
      <c r="E2999" s="2" t="s">
        <v>6962</v>
      </c>
      <c r="F2999" s="3">
        <v>29804170104219</v>
      </c>
      <c r="G2999" s="2" t="s">
        <v>34</v>
      </c>
      <c r="H2999" s="2" t="s">
        <v>6963</v>
      </c>
      <c r="I2999" s="2" t="s">
        <v>4315</v>
      </c>
      <c r="J2999" s="4">
        <v>44055</v>
      </c>
      <c r="K2999" s="2" t="s">
        <v>8</v>
      </c>
      <c r="L2999" s="2" t="s">
        <v>12</v>
      </c>
      <c r="M2999" s="2" t="s">
        <v>6957</v>
      </c>
      <c r="O2999" s="225">
        <v>0.85</v>
      </c>
      <c r="P2999" s="103">
        <v>15</v>
      </c>
      <c r="Q2999" s="225">
        <v>0.67</v>
      </c>
      <c r="R2999" s="77">
        <v>3</v>
      </c>
      <c r="S2999" s="77">
        <v>2.5</v>
      </c>
      <c r="T2999" s="77">
        <v>2</v>
      </c>
      <c r="U2999" s="77">
        <v>2</v>
      </c>
      <c r="V2999" s="77">
        <v>3</v>
      </c>
      <c r="W2999" s="16" t="s">
        <v>5714</v>
      </c>
      <c r="X2999" s="2" t="s">
        <v>66</v>
      </c>
      <c r="Y2999" s="27">
        <v>44081</v>
      </c>
    </row>
    <row r="3000" spans="1:28">
      <c r="A3000" s="285"/>
      <c r="C3000" s="25">
        <v>189</v>
      </c>
      <c r="D3000" s="2">
        <v>29029</v>
      </c>
      <c r="E3000" s="2" t="s">
        <v>6964</v>
      </c>
      <c r="F3000" s="3">
        <v>29011171602891</v>
      </c>
      <c r="G3000" s="2" t="s">
        <v>34</v>
      </c>
      <c r="H3000" s="2" t="s">
        <v>6965</v>
      </c>
      <c r="I3000" s="2" t="s">
        <v>4315</v>
      </c>
      <c r="J3000" s="4">
        <v>44055</v>
      </c>
      <c r="K3000" s="2" t="s">
        <v>8</v>
      </c>
      <c r="L3000" s="2" t="s">
        <v>12</v>
      </c>
      <c r="M3000" s="2" t="s">
        <v>6599</v>
      </c>
      <c r="O3000" s="225">
        <v>0.9</v>
      </c>
      <c r="P3000" s="103">
        <v>20</v>
      </c>
      <c r="Q3000" s="225">
        <v>0.85</v>
      </c>
      <c r="R3000" s="77">
        <v>3</v>
      </c>
      <c r="S3000" s="77">
        <v>2.5</v>
      </c>
      <c r="T3000" s="77">
        <v>2</v>
      </c>
      <c r="U3000" s="77">
        <v>2</v>
      </c>
      <c r="V3000" s="77">
        <v>3</v>
      </c>
      <c r="W3000" s="16" t="s">
        <v>62</v>
      </c>
      <c r="Y3000" s="27">
        <v>44081</v>
      </c>
    </row>
    <row r="3001" spans="1:28">
      <c r="A3001" s="285"/>
      <c r="C3001" s="25">
        <v>189</v>
      </c>
      <c r="D3001" s="2">
        <v>29030</v>
      </c>
      <c r="E3001" s="2" t="s">
        <v>6979</v>
      </c>
      <c r="F3001" s="3">
        <v>29309010111153</v>
      </c>
      <c r="G3001" s="2" t="s">
        <v>34</v>
      </c>
      <c r="H3001" s="2" t="s">
        <v>6966</v>
      </c>
      <c r="I3001" s="2" t="s">
        <v>4315</v>
      </c>
      <c r="J3001" s="4">
        <v>44055</v>
      </c>
      <c r="K3001" s="2" t="s">
        <v>8</v>
      </c>
      <c r="L3001" s="2" t="s">
        <v>12</v>
      </c>
      <c r="M3001" s="2" t="s">
        <v>6599</v>
      </c>
      <c r="O3001" s="225">
        <v>0.95</v>
      </c>
      <c r="P3001" s="103">
        <v>20</v>
      </c>
      <c r="Q3001" s="225">
        <v>0.95</v>
      </c>
      <c r="R3001" s="77">
        <v>3</v>
      </c>
      <c r="S3001" s="77">
        <v>3</v>
      </c>
      <c r="T3001" s="77">
        <v>2.5</v>
      </c>
      <c r="U3001" s="77">
        <v>2.5</v>
      </c>
      <c r="V3001" s="77">
        <v>3</v>
      </c>
      <c r="W3001" s="16" t="s">
        <v>502</v>
      </c>
      <c r="Y3001" s="27">
        <v>44081</v>
      </c>
      <c r="Z3001" s="16" t="s">
        <v>66</v>
      </c>
      <c r="AA3001" s="7">
        <v>44087</v>
      </c>
    </row>
    <row r="3002" spans="1:28">
      <c r="A3002" s="285"/>
      <c r="C3002" s="25">
        <v>189</v>
      </c>
      <c r="D3002" s="2">
        <v>29031</v>
      </c>
      <c r="E3002" s="2" t="s">
        <v>6967</v>
      </c>
      <c r="F3002" s="3">
        <v>29103062500355</v>
      </c>
      <c r="G3002" s="2" t="s">
        <v>34</v>
      </c>
      <c r="H3002" s="2" t="s">
        <v>6968</v>
      </c>
      <c r="I3002" s="2" t="s">
        <v>4315</v>
      </c>
      <c r="J3002" s="4">
        <v>44055</v>
      </c>
      <c r="K3002" s="2" t="s">
        <v>8</v>
      </c>
      <c r="L3002" s="2" t="s">
        <v>12</v>
      </c>
      <c r="M3002" s="2" t="s">
        <v>6957</v>
      </c>
      <c r="O3002" s="225">
        <v>0.8</v>
      </c>
      <c r="P3002" s="103">
        <v>24</v>
      </c>
      <c r="Q3002" s="225">
        <v>0.9</v>
      </c>
      <c r="R3002" s="77">
        <v>3</v>
      </c>
      <c r="S3002" s="77">
        <v>2.5</v>
      </c>
      <c r="T3002" s="77">
        <v>2</v>
      </c>
      <c r="U3002" s="77">
        <v>2</v>
      </c>
      <c r="V3002" s="77">
        <v>3</v>
      </c>
      <c r="W3002" s="16" t="s">
        <v>62</v>
      </c>
      <c r="Y3002" s="27">
        <v>44081</v>
      </c>
    </row>
    <row r="3003" spans="1:28">
      <c r="A3003" s="285"/>
      <c r="C3003" s="25">
        <v>189</v>
      </c>
      <c r="D3003" s="2">
        <v>29032</v>
      </c>
      <c r="E3003" s="2" t="s">
        <v>6969</v>
      </c>
      <c r="F3003" s="3">
        <v>29409050103361</v>
      </c>
      <c r="G3003" s="2" t="s">
        <v>5856</v>
      </c>
      <c r="H3003" s="2" t="s">
        <v>6970</v>
      </c>
      <c r="I3003" s="2" t="s">
        <v>4315</v>
      </c>
      <c r="J3003" s="4">
        <v>44055</v>
      </c>
      <c r="K3003" s="2" t="s">
        <v>8</v>
      </c>
      <c r="L3003" s="2" t="s">
        <v>12</v>
      </c>
      <c r="M3003" s="2" t="s">
        <v>5940</v>
      </c>
      <c r="O3003" s="225">
        <v>0.9</v>
      </c>
      <c r="P3003" s="103">
        <v>27</v>
      </c>
      <c r="Q3003" s="225">
        <v>0.96</v>
      </c>
      <c r="R3003" s="77">
        <v>3</v>
      </c>
      <c r="S3003" s="77">
        <v>2.5</v>
      </c>
      <c r="T3003" s="77">
        <v>2.5</v>
      </c>
      <c r="U3003" s="77">
        <v>2</v>
      </c>
      <c r="V3003" s="77">
        <v>3</v>
      </c>
      <c r="W3003" s="16" t="s">
        <v>502</v>
      </c>
      <c r="Y3003" s="27">
        <v>44081</v>
      </c>
      <c r="Z3003" s="16" t="s">
        <v>66</v>
      </c>
      <c r="AA3003" s="7">
        <v>44087</v>
      </c>
    </row>
    <row r="3004" spans="1:28">
      <c r="A3004" s="285"/>
      <c r="C3004" s="25">
        <v>189</v>
      </c>
      <c r="D3004" s="2">
        <v>29033</v>
      </c>
      <c r="E3004" s="2" t="s">
        <v>6971</v>
      </c>
      <c r="F3004" s="3">
        <v>29712040103952</v>
      </c>
      <c r="G3004" s="2" t="s">
        <v>34</v>
      </c>
      <c r="H3004" s="2" t="s">
        <v>6972</v>
      </c>
      <c r="I3004" s="2" t="s">
        <v>4315</v>
      </c>
      <c r="J3004" s="4">
        <v>44055</v>
      </c>
      <c r="K3004" s="2" t="s">
        <v>8</v>
      </c>
      <c r="L3004" s="2" t="s">
        <v>12</v>
      </c>
      <c r="M3004" s="2" t="s">
        <v>5940</v>
      </c>
      <c r="O3004" s="225">
        <v>0.85</v>
      </c>
      <c r="P3004" s="103">
        <v>46</v>
      </c>
      <c r="Q3004" s="225">
        <v>1</v>
      </c>
      <c r="R3004" s="77">
        <v>3</v>
      </c>
      <c r="S3004" s="77">
        <v>2.5</v>
      </c>
      <c r="T3004" s="77">
        <v>1.5</v>
      </c>
      <c r="U3004" s="77">
        <v>2</v>
      </c>
      <c r="V3004" s="77">
        <v>3</v>
      </c>
      <c r="W3004" s="16" t="s">
        <v>3321</v>
      </c>
      <c r="Y3004" s="27">
        <v>44081</v>
      </c>
    </row>
    <row r="3005" spans="1:28">
      <c r="A3005" s="285"/>
      <c r="C3005" s="25">
        <v>189</v>
      </c>
      <c r="D3005" s="2">
        <v>29034</v>
      </c>
      <c r="E3005" s="2" t="s">
        <v>6973</v>
      </c>
      <c r="F3005" s="3">
        <v>29509201503191</v>
      </c>
      <c r="G3005" s="2" t="s">
        <v>34</v>
      </c>
      <c r="H3005" s="2" t="s">
        <v>6974</v>
      </c>
      <c r="I3005" s="2" t="s">
        <v>4315</v>
      </c>
      <c r="J3005" s="4">
        <v>44055</v>
      </c>
      <c r="K3005" s="2" t="s">
        <v>8</v>
      </c>
      <c r="L3005" s="2" t="s">
        <v>12</v>
      </c>
      <c r="M3005" s="2" t="s">
        <v>4257</v>
      </c>
      <c r="O3005" s="225">
        <v>1</v>
      </c>
      <c r="P3005" s="103">
        <v>17</v>
      </c>
      <c r="Q3005" s="225">
        <v>0.7</v>
      </c>
      <c r="R3005" s="77">
        <v>3</v>
      </c>
      <c r="S3005" s="77">
        <v>2.5</v>
      </c>
      <c r="T3005" s="77">
        <v>2</v>
      </c>
      <c r="U3005" s="77">
        <v>2</v>
      </c>
      <c r="V3005" s="77">
        <v>3</v>
      </c>
      <c r="W3005" s="16" t="s">
        <v>62</v>
      </c>
      <c r="Y3005" s="27">
        <v>44081</v>
      </c>
    </row>
    <row r="3006" spans="1:28">
      <c r="A3006" s="285"/>
      <c r="C3006" s="25">
        <v>189</v>
      </c>
      <c r="D3006" s="2">
        <v>29035</v>
      </c>
      <c r="E3006" s="2" t="s">
        <v>6975</v>
      </c>
      <c r="F3006" s="3">
        <v>29702242103371</v>
      </c>
      <c r="G3006" s="2" t="s">
        <v>34</v>
      </c>
      <c r="H3006" s="2" t="s">
        <v>6976</v>
      </c>
      <c r="I3006" s="2" t="s">
        <v>4315</v>
      </c>
      <c r="J3006" s="4">
        <v>44055</v>
      </c>
      <c r="K3006" s="2" t="s">
        <v>8</v>
      </c>
      <c r="L3006" s="2" t="s">
        <v>12</v>
      </c>
      <c r="M3006" s="2" t="s">
        <v>6957</v>
      </c>
      <c r="O3006" s="225">
        <v>0.85</v>
      </c>
      <c r="P3006" s="103">
        <v>21</v>
      </c>
      <c r="Q3006" s="225">
        <v>0.85</v>
      </c>
      <c r="R3006" s="77">
        <v>3</v>
      </c>
      <c r="S3006" s="77">
        <v>2.5</v>
      </c>
      <c r="T3006" s="77">
        <v>2</v>
      </c>
      <c r="U3006" s="77">
        <v>2</v>
      </c>
      <c r="V3006" s="77">
        <v>3</v>
      </c>
      <c r="W3006" s="16" t="s">
        <v>5714</v>
      </c>
      <c r="X3006" s="2" t="s">
        <v>66</v>
      </c>
      <c r="Y3006" s="27">
        <v>44081</v>
      </c>
    </row>
    <row r="3007" spans="1:28" ht="15.75" thickBot="1">
      <c r="A3007" s="286"/>
      <c r="C3007" s="28">
        <v>189</v>
      </c>
      <c r="D3007" s="28">
        <v>29036</v>
      </c>
      <c r="E3007" s="28" t="s">
        <v>6977</v>
      </c>
      <c r="F3007" s="29">
        <v>29205050102386</v>
      </c>
      <c r="G3007" s="28" t="s">
        <v>34</v>
      </c>
      <c r="H3007" s="28" t="s">
        <v>6978</v>
      </c>
      <c r="I3007" s="28" t="s">
        <v>4315</v>
      </c>
      <c r="J3007" s="30">
        <v>44055</v>
      </c>
      <c r="K3007" s="28" t="s">
        <v>8</v>
      </c>
      <c r="L3007" s="28" t="s">
        <v>12</v>
      </c>
      <c r="M3007" s="28" t="s">
        <v>6599</v>
      </c>
      <c r="N3007" s="28"/>
      <c r="O3007" s="226">
        <v>0.9</v>
      </c>
      <c r="P3007" s="28">
        <v>22</v>
      </c>
      <c r="Q3007" s="226">
        <v>0.62</v>
      </c>
      <c r="R3007" s="37">
        <v>3</v>
      </c>
      <c r="S3007" s="37">
        <v>2.5</v>
      </c>
      <c r="T3007" s="37">
        <v>2</v>
      </c>
      <c r="U3007" s="37">
        <v>2</v>
      </c>
      <c r="V3007" s="37">
        <v>3</v>
      </c>
      <c r="W3007" s="28" t="s">
        <v>59</v>
      </c>
      <c r="X3007" s="28" t="s">
        <v>66</v>
      </c>
      <c r="Y3007" s="30">
        <v>44081</v>
      </c>
      <c r="Z3007" s="28"/>
      <c r="AA3007" s="30"/>
      <c r="AB3007" s="28"/>
    </row>
    <row r="3008" spans="1:28" ht="15.75" thickTop="1">
      <c r="A3008" s="284" t="s">
        <v>5262</v>
      </c>
      <c r="C3008" s="25">
        <v>190</v>
      </c>
      <c r="D3008" s="25">
        <v>29039</v>
      </c>
      <c r="E3008" s="25" t="s">
        <v>7013</v>
      </c>
      <c r="F3008" s="26">
        <v>29009258800431</v>
      </c>
      <c r="G3008" s="25" t="s">
        <v>34</v>
      </c>
      <c r="H3008" s="25" t="s">
        <v>7014</v>
      </c>
      <c r="I3008" s="25" t="s">
        <v>4315</v>
      </c>
      <c r="J3008" s="27">
        <v>44066</v>
      </c>
      <c r="K3008" s="25" t="s">
        <v>8</v>
      </c>
      <c r="L3008" s="25" t="s">
        <v>12</v>
      </c>
      <c r="M3008" s="25" t="s">
        <v>6599</v>
      </c>
      <c r="N3008" s="25"/>
      <c r="O3008" s="224">
        <v>1</v>
      </c>
      <c r="P3008" s="25">
        <v>21</v>
      </c>
      <c r="Q3008" s="224">
        <v>1</v>
      </c>
      <c r="R3008" s="77">
        <v>3</v>
      </c>
      <c r="S3008" s="77">
        <v>2.5</v>
      </c>
      <c r="T3008" s="77">
        <v>2.5</v>
      </c>
      <c r="U3008" s="77">
        <v>2.5</v>
      </c>
      <c r="V3008" s="77">
        <v>3</v>
      </c>
      <c r="W3008" s="25" t="s">
        <v>170</v>
      </c>
      <c r="X3008" s="25"/>
      <c r="Y3008" s="27">
        <v>44094</v>
      </c>
      <c r="Z3008" s="25"/>
      <c r="AA3008" s="27"/>
      <c r="AB3008" s="25"/>
    </row>
    <row r="3009" spans="1:28">
      <c r="A3009" s="285"/>
      <c r="C3009" s="25">
        <v>190</v>
      </c>
      <c r="D3009" s="2">
        <v>29040</v>
      </c>
      <c r="E3009" s="2" t="s">
        <v>7015</v>
      </c>
      <c r="F3009" s="3">
        <v>29410030100045</v>
      </c>
      <c r="G3009" s="2" t="s">
        <v>34</v>
      </c>
      <c r="H3009" s="2" t="s">
        <v>7016</v>
      </c>
      <c r="I3009" s="2" t="s">
        <v>4315</v>
      </c>
      <c r="J3009" s="4">
        <v>44066</v>
      </c>
      <c r="K3009" s="2" t="s">
        <v>8</v>
      </c>
      <c r="L3009" s="2" t="s">
        <v>12</v>
      </c>
      <c r="M3009" s="2" t="s">
        <v>4257</v>
      </c>
      <c r="O3009" s="225">
        <v>1</v>
      </c>
      <c r="P3009" s="103">
        <v>21</v>
      </c>
      <c r="Q3009" s="225">
        <v>0.85</v>
      </c>
      <c r="R3009" s="77">
        <v>3</v>
      </c>
      <c r="S3009" s="77">
        <v>2</v>
      </c>
      <c r="T3009" s="77">
        <v>2</v>
      </c>
      <c r="U3009" s="77">
        <v>2.5</v>
      </c>
      <c r="V3009" s="77">
        <v>3</v>
      </c>
      <c r="W3009" s="16" t="s">
        <v>5714</v>
      </c>
      <c r="X3009" s="2" t="s">
        <v>66</v>
      </c>
      <c r="Y3009" s="27">
        <v>44094</v>
      </c>
    </row>
    <row r="3010" spans="1:28">
      <c r="A3010" s="285"/>
      <c r="C3010" s="25">
        <v>190</v>
      </c>
      <c r="D3010" s="2">
        <v>29041</v>
      </c>
      <c r="E3010" s="2" t="s">
        <v>7017</v>
      </c>
      <c r="F3010" s="3">
        <v>29510212700425</v>
      </c>
      <c r="G3010" s="2" t="s">
        <v>34</v>
      </c>
      <c r="H3010" s="2" t="s">
        <v>7018</v>
      </c>
      <c r="I3010" s="2" t="s">
        <v>4315</v>
      </c>
      <c r="J3010" s="4">
        <v>44066</v>
      </c>
      <c r="K3010" s="2" t="s">
        <v>8</v>
      </c>
      <c r="L3010" s="2" t="s">
        <v>12</v>
      </c>
      <c r="M3010" s="2" t="s">
        <v>6957</v>
      </c>
      <c r="W3010" s="16" t="s">
        <v>64</v>
      </c>
      <c r="Z3010" s="16" t="s">
        <v>67</v>
      </c>
    </row>
    <row r="3011" spans="1:28">
      <c r="A3011" s="285"/>
      <c r="C3011" s="25">
        <v>190</v>
      </c>
      <c r="D3011" s="2">
        <v>29042</v>
      </c>
      <c r="E3011" s="2" t="s">
        <v>7019</v>
      </c>
      <c r="F3011" s="3">
        <v>29810012114886</v>
      </c>
      <c r="G3011" s="2" t="s">
        <v>34</v>
      </c>
      <c r="H3011" s="2" t="s">
        <v>7020</v>
      </c>
      <c r="I3011" s="2" t="s">
        <v>4315</v>
      </c>
      <c r="J3011" s="4">
        <v>44066</v>
      </c>
      <c r="K3011" s="2" t="s">
        <v>8</v>
      </c>
      <c r="L3011" s="2" t="s">
        <v>12</v>
      </c>
      <c r="M3011" s="2" t="s">
        <v>6599</v>
      </c>
      <c r="O3011" s="225">
        <v>0.75</v>
      </c>
      <c r="P3011" s="103">
        <v>21</v>
      </c>
      <c r="Q3011" s="225">
        <v>0.8</v>
      </c>
      <c r="R3011" s="77">
        <v>3</v>
      </c>
      <c r="S3011" s="77">
        <v>2.5</v>
      </c>
      <c r="T3011" s="77">
        <v>2</v>
      </c>
      <c r="U3011" s="77">
        <v>2</v>
      </c>
      <c r="V3011" s="77">
        <v>3</v>
      </c>
      <c r="W3011" s="16" t="s">
        <v>5714</v>
      </c>
      <c r="X3011" s="2" t="s">
        <v>66</v>
      </c>
      <c r="Y3011" s="27">
        <v>44094</v>
      </c>
    </row>
    <row r="3012" spans="1:28">
      <c r="A3012" s="285"/>
      <c r="C3012" s="25">
        <v>190</v>
      </c>
      <c r="D3012" s="2">
        <v>29043</v>
      </c>
      <c r="E3012" s="2" t="s">
        <v>7021</v>
      </c>
      <c r="F3012" s="3">
        <v>29503191200668</v>
      </c>
      <c r="G3012" s="2" t="s">
        <v>4025</v>
      </c>
      <c r="H3012" s="2" t="s">
        <v>7022</v>
      </c>
      <c r="I3012" s="2" t="s">
        <v>4315</v>
      </c>
      <c r="J3012" s="4">
        <v>44066</v>
      </c>
      <c r="K3012" s="2" t="s">
        <v>8</v>
      </c>
      <c r="L3012" s="2" t="s">
        <v>12</v>
      </c>
      <c r="M3012" s="2" t="s">
        <v>6957</v>
      </c>
      <c r="O3012" s="225">
        <v>0.9</v>
      </c>
      <c r="P3012" s="103">
        <v>20</v>
      </c>
      <c r="Q3012" s="225">
        <v>0.7</v>
      </c>
      <c r="R3012" s="77">
        <v>3</v>
      </c>
      <c r="S3012" s="77">
        <v>2.5</v>
      </c>
      <c r="T3012" s="77">
        <v>2</v>
      </c>
      <c r="U3012" s="77">
        <v>2</v>
      </c>
      <c r="V3012" s="77">
        <v>3</v>
      </c>
      <c r="W3012" s="16" t="s">
        <v>62</v>
      </c>
      <c r="Y3012" s="27">
        <v>44094</v>
      </c>
    </row>
    <row r="3013" spans="1:28">
      <c r="A3013" s="285"/>
      <c r="C3013" s="25">
        <v>190</v>
      </c>
      <c r="D3013" s="2">
        <v>29044</v>
      </c>
      <c r="E3013" s="2" t="s">
        <v>7023</v>
      </c>
      <c r="F3013" s="3">
        <v>29709210100341</v>
      </c>
      <c r="G3013" s="2" t="s">
        <v>34</v>
      </c>
      <c r="H3013" s="2" t="s">
        <v>7024</v>
      </c>
      <c r="I3013" s="2" t="s">
        <v>4315</v>
      </c>
      <c r="J3013" s="4">
        <v>44066</v>
      </c>
      <c r="K3013" s="2" t="s">
        <v>8</v>
      </c>
      <c r="L3013" s="2" t="s">
        <v>12</v>
      </c>
      <c r="M3013" s="2" t="s">
        <v>6552</v>
      </c>
      <c r="O3013" s="225">
        <v>0.9</v>
      </c>
      <c r="P3013" s="103">
        <v>33</v>
      </c>
      <c r="Q3013" s="225">
        <v>0.91</v>
      </c>
      <c r="R3013" s="77">
        <v>3</v>
      </c>
      <c r="S3013" s="77">
        <v>2.5</v>
      </c>
      <c r="T3013" s="77">
        <v>2</v>
      </c>
      <c r="U3013" s="77">
        <v>2.5</v>
      </c>
      <c r="V3013" s="77">
        <v>3</v>
      </c>
      <c r="W3013" s="16" t="s">
        <v>171</v>
      </c>
      <c r="Y3013" s="27">
        <v>44094</v>
      </c>
    </row>
    <row r="3014" spans="1:28">
      <c r="A3014" s="285"/>
      <c r="C3014" s="25">
        <v>190</v>
      </c>
      <c r="D3014" s="2">
        <v>29045</v>
      </c>
      <c r="E3014" s="2" t="s">
        <v>7025</v>
      </c>
      <c r="F3014" s="3">
        <v>29901302100507</v>
      </c>
      <c r="G3014" s="2" t="s">
        <v>4025</v>
      </c>
      <c r="H3014" s="2" t="s">
        <v>7026</v>
      </c>
      <c r="I3014" s="2" t="s">
        <v>4315</v>
      </c>
      <c r="J3014" s="4">
        <v>44066</v>
      </c>
      <c r="K3014" s="2" t="s">
        <v>8</v>
      </c>
      <c r="L3014" s="2" t="s">
        <v>12</v>
      </c>
      <c r="M3014" s="2" t="s">
        <v>4257</v>
      </c>
      <c r="O3014" s="225">
        <v>0.7</v>
      </c>
      <c r="P3014" s="103">
        <v>37</v>
      </c>
      <c r="Q3014" s="225">
        <v>1</v>
      </c>
      <c r="R3014" s="77">
        <v>3</v>
      </c>
      <c r="S3014" s="77">
        <v>2.5</v>
      </c>
      <c r="T3014" s="77">
        <v>2</v>
      </c>
      <c r="U3014" s="77">
        <v>2</v>
      </c>
      <c r="V3014" s="77">
        <v>3</v>
      </c>
      <c r="W3014" s="16" t="s">
        <v>62</v>
      </c>
      <c r="Y3014" s="27">
        <v>44094</v>
      </c>
    </row>
    <row r="3015" spans="1:28">
      <c r="A3015" s="285"/>
      <c r="C3015" s="25">
        <v>190</v>
      </c>
      <c r="D3015" s="2">
        <v>29046</v>
      </c>
      <c r="E3015" s="2" t="s">
        <v>7027</v>
      </c>
      <c r="F3015" s="3">
        <v>29412040102855</v>
      </c>
      <c r="G3015" s="2" t="s">
        <v>34</v>
      </c>
      <c r="H3015" s="2" t="s">
        <v>7028</v>
      </c>
      <c r="I3015" s="2" t="s">
        <v>4315</v>
      </c>
      <c r="J3015" s="4">
        <v>44066</v>
      </c>
      <c r="K3015" s="2" t="s">
        <v>8</v>
      </c>
      <c r="L3015" s="2" t="s">
        <v>12</v>
      </c>
      <c r="M3015" s="2" t="s">
        <v>5940</v>
      </c>
      <c r="O3015" s="225">
        <v>0.85</v>
      </c>
      <c r="P3015" s="103">
        <v>38</v>
      </c>
      <c r="Q3015" s="225">
        <v>1</v>
      </c>
      <c r="R3015" s="77">
        <v>3</v>
      </c>
      <c r="S3015" s="77">
        <v>2.5</v>
      </c>
      <c r="T3015" s="77">
        <v>2</v>
      </c>
      <c r="U3015" s="77">
        <v>2</v>
      </c>
      <c r="V3015" s="77">
        <v>3</v>
      </c>
      <c r="W3015" s="16" t="s">
        <v>5714</v>
      </c>
      <c r="X3015" s="2" t="s">
        <v>66</v>
      </c>
      <c r="Y3015" s="27">
        <v>44094</v>
      </c>
    </row>
    <row r="3016" spans="1:28">
      <c r="A3016" s="285"/>
      <c r="C3016" s="25">
        <v>190</v>
      </c>
      <c r="D3016" s="2">
        <v>29047</v>
      </c>
      <c r="E3016" s="2" t="s">
        <v>7029</v>
      </c>
      <c r="F3016" s="3">
        <v>29409181900401</v>
      </c>
      <c r="G3016" s="2" t="s">
        <v>34</v>
      </c>
      <c r="H3016" s="2" t="s">
        <v>7030</v>
      </c>
      <c r="I3016" s="2" t="s">
        <v>4315</v>
      </c>
      <c r="J3016" s="4">
        <v>44066</v>
      </c>
      <c r="K3016" s="2" t="s">
        <v>8</v>
      </c>
      <c r="L3016" s="2" t="s">
        <v>12</v>
      </c>
      <c r="M3016" s="2" t="s">
        <v>7031</v>
      </c>
      <c r="O3016" s="225">
        <v>0.95</v>
      </c>
      <c r="P3016" s="103">
        <v>18</v>
      </c>
      <c r="Q3016" s="225">
        <v>0.94</v>
      </c>
      <c r="R3016" s="77">
        <v>3</v>
      </c>
      <c r="S3016" s="77">
        <v>2.5</v>
      </c>
      <c r="T3016" s="77">
        <v>2</v>
      </c>
      <c r="U3016" s="77">
        <v>2</v>
      </c>
      <c r="V3016" s="77">
        <v>3</v>
      </c>
      <c r="W3016" s="16" t="s">
        <v>62</v>
      </c>
      <c r="Y3016" s="27">
        <v>44094</v>
      </c>
    </row>
    <row r="3017" spans="1:28">
      <c r="A3017" s="285"/>
      <c r="C3017" s="25">
        <v>190</v>
      </c>
      <c r="D3017" s="2">
        <v>29048</v>
      </c>
      <c r="E3017" s="2" t="s">
        <v>7032</v>
      </c>
      <c r="F3017" s="3">
        <v>29803142100708</v>
      </c>
      <c r="G3017" s="2" t="s">
        <v>34</v>
      </c>
      <c r="H3017" s="2" t="s">
        <v>7033</v>
      </c>
      <c r="I3017" s="2" t="s">
        <v>4315</v>
      </c>
      <c r="J3017" s="4">
        <v>44066</v>
      </c>
      <c r="K3017" s="2" t="s">
        <v>8</v>
      </c>
      <c r="L3017" s="2" t="s">
        <v>12</v>
      </c>
      <c r="M3017" s="2" t="s">
        <v>5982</v>
      </c>
      <c r="O3017" s="225">
        <v>0.9</v>
      </c>
      <c r="P3017" s="103">
        <v>20</v>
      </c>
      <c r="Q3017" s="225">
        <v>0.95</v>
      </c>
      <c r="R3017" s="77">
        <v>3</v>
      </c>
      <c r="S3017" s="77">
        <v>2.5</v>
      </c>
      <c r="T3017" s="77">
        <v>2</v>
      </c>
      <c r="U3017" s="77">
        <v>2.5</v>
      </c>
      <c r="V3017" s="77">
        <v>3</v>
      </c>
      <c r="W3017" s="16" t="s">
        <v>61</v>
      </c>
      <c r="Y3017" s="27">
        <v>44094</v>
      </c>
    </row>
    <row r="3018" spans="1:28">
      <c r="A3018" s="285"/>
      <c r="C3018" s="25">
        <v>190</v>
      </c>
      <c r="D3018" s="2">
        <v>29049</v>
      </c>
      <c r="E3018" s="2" t="s">
        <v>7034</v>
      </c>
      <c r="F3018" s="3">
        <v>29509051402706</v>
      </c>
      <c r="G3018" s="2" t="s">
        <v>34</v>
      </c>
      <c r="H3018" s="2" t="s">
        <v>7035</v>
      </c>
      <c r="I3018" s="2" t="s">
        <v>4315</v>
      </c>
      <c r="J3018" s="4">
        <v>44066</v>
      </c>
      <c r="K3018" s="2" t="s">
        <v>8</v>
      </c>
      <c r="L3018" s="2" t="s">
        <v>12</v>
      </c>
      <c r="M3018" s="2" t="s">
        <v>4257</v>
      </c>
      <c r="O3018" s="225">
        <v>0.95</v>
      </c>
      <c r="P3018" s="103">
        <v>23</v>
      </c>
      <c r="Q3018" s="225">
        <v>1</v>
      </c>
      <c r="R3018" s="77">
        <v>3</v>
      </c>
      <c r="S3018" s="77">
        <v>3</v>
      </c>
      <c r="T3018" s="77">
        <v>2</v>
      </c>
      <c r="U3018" s="77">
        <v>2</v>
      </c>
      <c r="V3018" s="77">
        <v>3</v>
      </c>
      <c r="W3018" s="16" t="s">
        <v>62</v>
      </c>
      <c r="Y3018" s="27">
        <v>44094</v>
      </c>
    </row>
    <row r="3019" spans="1:28">
      <c r="A3019" s="285"/>
      <c r="C3019" s="25">
        <v>190</v>
      </c>
      <c r="D3019" s="2">
        <v>29050</v>
      </c>
      <c r="E3019" s="2" t="s">
        <v>7036</v>
      </c>
      <c r="F3019" s="3">
        <v>29211020102705</v>
      </c>
      <c r="G3019" s="2" t="s">
        <v>34</v>
      </c>
      <c r="H3019" s="2" t="s">
        <v>7037</v>
      </c>
      <c r="I3019" s="2" t="s">
        <v>4315</v>
      </c>
      <c r="J3019" s="4">
        <v>44066</v>
      </c>
      <c r="K3019" s="2" t="s">
        <v>8</v>
      </c>
      <c r="L3019" s="2" t="s">
        <v>12</v>
      </c>
      <c r="M3019" s="103" t="s">
        <v>6833</v>
      </c>
      <c r="R3019" s="77">
        <v>3</v>
      </c>
      <c r="S3019" s="77">
        <v>2.5</v>
      </c>
      <c r="T3019" s="77">
        <v>2</v>
      </c>
      <c r="U3019" s="77">
        <v>2</v>
      </c>
      <c r="V3019" s="77">
        <v>3</v>
      </c>
      <c r="W3019" s="16" t="s">
        <v>59</v>
      </c>
      <c r="X3019" s="2" t="s">
        <v>66</v>
      </c>
      <c r="Y3019" s="27">
        <v>44094</v>
      </c>
    </row>
    <row r="3020" spans="1:28">
      <c r="A3020" s="285"/>
      <c r="C3020" s="25">
        <v>190</v>
      </c>
      <c r="D3020" s="2">
        <v>29051</v>
      </c>
      <c r="E3020" s="2" t="s">
        <v>7038</v>
      </c>
      <c r="F3020" s="3">
        <v>29101012510365</v>
      </c>
      <c r="G3020" s="2" t="s">
        <v>34</v>
      </c>
      <c r="H3020" s="2" t="s">
        <v>7039</v>
      </c>
      <c r="I3020" s="2" t="s">
        <v>4315</v>
      </c>
      <c r="J3020" s="4">
        <v>44066</v>
      </c>
      <c r="K3020" s="2" t="s">
        <v>8</v>
      </c>
      <c r="L3020" s="2" t="s">
        <v>12</v>
      </c>
      <c r="M3020" s="103" t="s">
        <v>6833</v>
      </c>
      <c r="R3020" s="77">
        <v>3</v>
      </c>
      <c r="S3020" s="77">
        <v>2.5</v>
      </c>
      <c r="T3020" s="77">
        <v>2</v>
      </c>
      <c r="U3020" s="77">
        <v>1.5</v>
      </c>
      <c r="V3020" s="77">
        <v>3</v>
      </c>
      <c r="W3020" s="16" t="s">
        <v>3321</v>
      </c>
      <c r="Y3020" s="27">
        <v>44094</v>
      </c>
    </row>
    <row r="3021" spans="1:28">
      <c r="A3021" s="285"/>
      <c r="C3021" s="25">
        <v>190</v>
      </c>
      <c r="D3021" s="2">
        <v>29052</v>
      </c>
      <c r="E3021" s="2" t="s">
        <v>7040</v>
      </c>
      <c r="F3021" s="3">
        <v>29203112101567</v>
      </c>
      <c r="G3021" s="2" t="s">
        <v>34</v>
      </c>
      <c r="H3021" s="2" t="s">
        <v>7041</v>
      </c>
      <c r="I3021" s="2" t="s">
        <v>4315</v>
      </c>
      <c r="J3021" s="4">
        <v>44066</v>
      </c>
      <c r="K3021" s="2" t="s">
        <v>8</v>
      </c>
      <c r="L3021" s="2" t="s">
        <v>12</v>
      </c>
      <c r="M3021" s="2" t="s">
        <v>7042</v>
      </c>
      <c r="O3021" s="225">
        <v>0.85</v>
      </c>
      <c r="P3021" s="103">
        <v>22</v>
      </c>
      <c r="Q3021" s="225">
        <v>0.95</v>
      </c>
    </row>
    <row r="3022" spans="1:28">
      <c r="A3022" s="285"/>
      <c r="C3022" s="25">
        <v>190</v>
      </c>
      <c r="D3022" s="2">
        <v>29053</v>
      </c>
      <c r="E3022" s="2" t="s">
        <v>7043</v>
      </c>
      <c r="F3022" s="3">
        <v>29707242103152</v>
      </c>
      <c r="G3022" s="2" t="s">
        <v>34</v>
      </c>
      <c r="H3022" s="2" t="s">
        <v>7044</v>
      </c>
      <c r="I3022" s="2" t="s">
        <v>4315</v>
      </c>
      <c r="J3022" s="4">
        <v>44066</v>
      </c>
      <c r="K3022" s="2" t="s">
        <v>8</v>
      </c>
      <c r="L3022" s="2" t="s">
        <v>12</v>
      </c>
      <c r="M3022" s="2" t="s">
        <v>6833</v>
      </c>
      <c r="R3022" s="77">
        <v>3</v>
      </c>
      <c r="S3022" s="77">
        <v>2.5</v>
      </c>
      <c r="T3022" s="77">
        <v>2</v>
      </c>
      <c r="U3022" s="77">
        <v>2.5</v>
      </c>
      <c r="V3022" s="77">
        <v>3</v>
      </c>
      <c r="W3022" s="16" t="s">
        <v>171</v>
      </c>
      <c r="Y3022" s="27">
        <v>44094</v>
      </c>
    </row>
    <row r="3023" spans="1:28" ht="15.75" thickBot="1">
      <c r="A3023" s="286"/>
      <c r="C3023" s="28">
        <v>190</v>
      </c>
      <c r="D3023" s="28">
        <v>29054</v>
      </c>
      <c r="E3023" s="28" t="s">
        <v>7045</v>
      </c>
      <c r="F3023" s="29">
        <v>29001190101971</v>
      </c>
      <c r="G3023" s="28" t="s">
        <v>34</v>
      </c>
      <c r="H3023" s="28" t="s">
        <v>7046</v>
      </c>
      <c r="I3023" s="28" t="s">
        <v>4315</v>
      </c>
      <c r="J3023" s="30">
        <v>44066</v>
      </c>
      <c r="K3023" s="28" t="s">
        <v>8</v>
      </c>
      <c r="L3023" s="28" t="s">
        <v>12</v>
      </c>
      <c r="M3023" s="28" t="s">
        <v>7042</v>
      </c>
      <c r="N3023" s="28"/>
      <c r="O3023" s="226"/>
      <c r="P3023" s="28"/>
      <c r="Q3023" s="226"/>
      <c r="R3023" s="28"/>
      <c r="S3023" s="28"/>
      <c r="T3023" s="28"/>
      <c r="U3023" s="28"/>
      <c r="V3023" s="28"/>
      <c r="W3023" s="28" t="s">
        <v>64</v>
      </c>
      <c r="X3023" s="28"/>
      <c r="Y3023" s="30"/>
      <c r="Z3023" s="28" t="s">
        <v>67</v>
      </c>
      <c r="AA3023" s="30"/>
      <c r="AB3023" s="28"/>
    </row>
    <row r="3024" spans="1:28" ht="15.75" thickTop="1">
      <c r="A3024" s="284" t="s">
        <v>4077</v>
      </c>
      <c r="C3024" s="25">
        <v>191</v>
      </c>
      <c r="D3024" s="25">
        <v>29058</v>
      </c>
      <c r="E3024" s="25" t="s">
        <v>7047</v>
      </c>
      <c r="F3024" s="26">
        <v>28408151900296</v>
      </c>
      <c r="G3024" s="25" t="s">
        <v>34</v>
      </c>
      <c r="H3024" s="25" t="s">
        <v>7048</v>
      </c>
      <c r="I3024" s="25" t="s">
        <v>4315</v>
      </c>
      <c r="J3024" s="27">
        <v>44069</v>
      </c>
      <c r="K3024" s="25" t="s">
        <v>8</v>
      </c>
      <c r="L3024" s="25" t="s">
        <v>12</v>
      </c>
      <c r="M3024" s="25" t="s">
        <v>109</v>
      </c>
      <c r="N3024" s="25"/>
      <c r="O3024" s="224">
        <v>0.95</v>
      </c>
      <c r="P3024" s="25">
        <v>19</v>
      </c>
      <c r="Q3024" s="224">
        <v>0.94</v>
      </c>
      <c r="R3024" s="77">
        <v>3</v>
      </c>
      <c r="S3024" s="77">
        <v>2.5</v>
      </c>
      <c r="T3024" s="77">
        <v>2</v>
      </c>
      <c r="U3024" s="77">
        <v>2.5</v>
      </c>
      <c r="V3024" s="77">
        <v>3</v>
      </c>
      <c r="W3024" s="25" t="s">
        <v>171</v>
      </c>
      <c r="X3024" s="25"/>
      <c r="Y3024" s="27">
        <v>44096</v>
      </c>
      <c r="Z3024" s="25"/>
      <c r="AA3024" s="27"/>
      <c r="AB3024" s="25"/>
    </row>
    <row r="3025" spans="1:28">
      <c r="A3025" s="285"/>
      <c r="C3025" s="25">
        <v>191</v>
      </c>
      <c r="D3025" s="2">
        <v>29059</v>
      </c>
      <c r="E3025" s="2" t="s">
        <v>7049</v>
      </c>
      <c r="F3025" s="3">
        <v>29802010103302</v>
      </c>
      <c r="G3025" s="2" t="s">
        <v>34</v>
      </c>
      <c r="H3025" s="2" t="s">
        <v>7050</v>
      </c>
      <c r="I3025" s="2" t="s">
        <v>4315</v>
      </c>
      <c r="J3025" s="4">
        <v>44069</v>
      </c>
      <c r="K3025" s="2" t="s">
        <v>8</v>
      </c>
      <c r="L3025" s="2" t="s">
        <v>12</v>
      </c>
      <c r="M3025" s="2" t="s">
        <v>5942</v>
      </c>
      <c r="O3025" s="225">
        <v>1</v>
      </c>
      <c r="P3025" s="103">
        <v>24</v>
      </c>
      <c r="Q3025" s="225">
        <v>0.67</v>
      </c>
      <c r="R3025" s="77">
        <v>3</v>
      </c>
      <c r="S3025" s="77">
        <v>2</v>
      </c>
      <c r="T3025" s="77">
        <v>2</v>
      </c>
      <c r="U3025" s="77">
        <v>2</v>
      </c>
      <c r="V3025" s="77">
        <v>3</v>
      </c>
      <c r="W3025" s="16" t="s">
        <v>5714</v>
      </c>
      <c r="X3025" s="2" t="s">
        <v>66</v>
      </c>
      <c r="Y3025" s="27">
        <v>44096</v>
      </c>
    </row>
    <row r="3026" spans="1:28">
      <c r="A3026" s="285"/>
      <c r="C3026" s="25">
        <v>191</v>
      </c>
      <c r="D3026" s="2">
        <v>29060</v>
      </c>
      <c r="E3026" s="2" t="s">
        <v>7051</v>
      </c>
      <c r="F3026" s="3">
        <v>29811202100241</v>
      </c>
      <c r="G3026" s="2" t="s">
        <v>34</v>
      </c>
      <c r="H3026" s="2" t="s">
        <v>7052</v>
      </c>
      <c r="I3026" s="2" t="s">
        <v>4315</v>
      </c>
      <c r="J3026" s="4">
        <v>44069</v>
      </c>
      <c r="K3026" s="2" t="s">
        <v>8</v>
      </c>
      <c r="L3026" s="2" t="s">
        <v>12</v>
      </c>
      <c r="M3026" s="2" t="s">
        <v>6463</v>
      </c>
      <c r="O3026" s="225">
        <v>0.9</v>
      </c>
      <c r="P3026" s="103">
        <v>23</v>
      </c>
      <c r="Q3026" s="225">
        <v>0.83</v>
      </c>
      <c r="R3026" s="77">
        <v>3</v>
      </c>
      <c r="S3026" s="77">
        <v>3</v>
      </c>
      <c r="T3026" s="77">
        <v>2</v>
      </c>
      <c r="U3026" s="77">
        <v>3</v>
      </c>
      <c r="V3026" s="77">
        <v>3</v>
      </c>
      <c r="W3026" s="16" t="s">
        <v>61</v>
      </c>
      <c r="Y3026" s="27">
        <v>44096</v>
      </c>
    </row>
    <row r="3027" spans="1:28">
      <c r="A3027" s="285"/>
      <c r="C3027" s="25">
        <v>191</v>
      </c>
      <c r="D3027" s="2">
        <v>29061</v>
      </c>
      <c r="E3027" s="2" t="s">
        <v>7053</v>
      </c>
      <c r="F3027" s="3">
        <v>29812100105849</v>
      </c>
      <c r="G3027" s="2" t="s">
        <v>34</v>
      </c>
      <c r="H3027" s="2" t="s">
        <v>7054</v>
      </c>
      <c r="I3027" s="2" t="s">
        <v>4315</v>
      </c>
      <c r="J3027" s="4">
        <v>44069</v>
      </c>
      <c r="K3027" s="2" t="s">
        <v>8</v>
      </c>
      <c r="L3027" s="2" t="s">
        <v>12</v>
      </c>
      <c r="M3027" s="2" t="s">
        <v>7055</v>
      </c>
      <c r="O3027" s="225">
        <v>0.65</v>
      </c>
      <c r="P3027" s="103">
        <v>28</v>
      </c>
      <c r="Q3027" s="225">
        <v>0.96</v>
      </c>
      <c r="R3027" s="77">
        <v>3</v>
      </c>
      <c r="S3027" s="77">
        <v>2.5</v>
      </c>
      <c r="T3027" s="77">
        <v>2.5</v>
      </c>
      <c r="U3027" s="77">
        <v>2</v>
      </c>
      <c r="V3027" s="77">
        <v>3</v>
      </c>
      <c r="W3027" s="16" t="s">
        <v>59</v>
      </c>
      <c r="X3027" s="2" t="s">
        <v>66</v>
      </c>
      <c r="Y3027" s="27">
        <v>44096</v>
      </c>
    </row>
    <row r="3028" spans="1:28">
      <c r="A3028" s="285"/>
      <c r="C3028" s="25">
        <v>191</v>
      </c>
      <c r="D3028" s="2">
        <v>29062</v>
      </c>
      <c r="E3028" s="2" t="s">
        <v>7056</v>
      </c>
      <c r="F3028" s="3">
        <v>29805160104021</v>
      </c>
      <c r="G3028" s="2" t="s">
        <v>34</v>
      </c>
      <c r="H3028" s="2" t="s">
        <v>7057</v>
      </c>
      <c r="I3028" s="2" t="s">
        <v>4315</v>
      </c>
      <c r="J3028" s="4">
        <v>44069</v>
      </c>
      <c r="K3028" s="2" t="s">
        <v>8</v>
      </c>
      <c r="L3028" s="2" t="s">
        <v>12</v>
      </c>
      <c r="M3028" s="2" t="s">
        <v>6957</v>
      </c>
      <c r="O3028" s="225">
        <v>0.9</v>
      </c>
      <c r="P3028" s="103">
        <v>23</v>
      </c>
      <c r="Q3028" s="225">
        <v>0.91</v>
      </c>
      <c r="R3028" s="77">
        <v>3</v>
      </c>
      <c r="S3028" s="77">
        <v>2</v>
      </c>
      <c r="T3028" s="77">
        <v>2</v>
      </c>
      <c r="U3028" s="77">
        <v>1.5</v>
      </c>
      <c r="V3028" s="77">
        <v>3</v>
      </c>
      <c r="W3028" s="16" t="s">
        <v>3321</v>
      </c>
      <c r="Y3028" s="27">
        <v>44096</v>
      </c>
    </row>
    <row r="3029" spans="1:28">
      <c r="A3029" s="285"/>
      <c r="C3029" s="25">
        <v>191</v>
      </c>
      <c r="D3029" s="2">
        <v>29063</v>
      </c>
      <c r="E3029" s="2" t="s">
        <v>7058</v>
      </c>
      <c r="F3029" s="3">
        <v>29807120105965</v>
      </c>
      <c r="G3029" s="2" t="s">
        <v>34</v>
      </c>
      <c r="H3029" s="2" t="s">
        <v>7059</v>
      </c>
      <c r="I3029" s="2" t="s">
        <v>4315</v>
      </c>
      <c r="J3029" s="4">
        <v>44069</v>
      </c>
      <c r="K3029" s="2" t="s">
        <v>8</v>
      </c>
      <c r="L3029" s="2" t="s">
        <v>12</v>
      </c>
      <c r="M3029" s="2" t="s">
        <v>7060</v>
      </c>
      <c r="O3029" s="225">
        <v>0.85</v>
      </c>
      <c r="P3029" s="103">
        <v>26</v>
      </c>
      <c r="Q3029" s="225">
        <v>0.81</v>
      </c>
      <c r="R3029" s="77">
        <v>3</v>
      </c>
      <c r="S3029" s="77">
        <v>2.5</v>
      </c>
      <c r="T3029" s="77">
        <v>2</v>
      </c>
      <c r="U3029" s="77">
        <v>2</v>
      </c>
      <c r="V3029" s="77">
        <v>3</v>
      </c>
      <c r="W3029" s="16" t="s">
        <v>62</v>
      </c>
      <c r="Y3029" s="27">
        <v>44096</v>
      </c>
    </row>
    <row r="3030" spans="1:28">
      <c r="A3030" s="285"/>
      <c r="C3030" s="25">
        <v>191</v>
      </c>
      <c r="D3030" s="2">
        <v>29064</v>
      </c>
      <c r="E3030" s="2" t="s">
        <v>7061</v>
      </c>
      <c r="F3030" s="3">
        <v>29505260103222</v>
      </c>
      <c r="G3030" s="2" t="s">
        <v>34</v>
      </c>
      <c r="H3030" s="2" t="s">
        <v>7062</v>
      </c>
      <c r="I3030" s="2" t="s">
        <v>4315</v>
      </c>
      <c r="J3030" s="4">
        <v>44069</v>
      </c>
      <c r="K3030" s="2" t="s">
        <v>8</v>
      </c>
      <c r="L3030" s="2" t="s">
        <v>12</v>
      </c>
      <c r="M3030" s="2" t="s">
        <v>7063</v>
      </c>
      <c r="O3030" s="225">
        <v>0.8</v>
      </c>
      <c r="P3030" s="103">
        <v>21</v>
      </c>
      <c r="Q3030" s="225">
        <v>0.9</v>
      </c>
      <c r="R3030" s="77">
        <v>3</v>
      </c>
      <c r="S3030" s="77">
        <v>2.5</v>
      </c>
      <c r="T3030" s="77">
        <v>2</v>
      </c>
      <c r="U3030" s="77">
        <v>2</v>
      </c>
      <c r="V3030" s="77">
        <v>3</v>
      </c>
      <c r="W3030" s="16" t="s">
        <v>59</v>
      </c>
      <c r="X3030" s="2" t="s">
        <v>66</v>
      </c>
      <c r="Y3030" s="27">
        <v>44096</v>
      </c>
    </row>
    <row r="3031" spans="1:28">
      <c r="A3031" s="285"/>
      <c r="C3031" s="25">
        <v>191</v>
      </c>
      <c r="D3031" s="2">
        <v>29065</v>
      </c>
      <c r="E3031" s="2" t="s">
        <v>7064</v>
      </c>
      <c r="F3031" s="3">
        <v>29703270103057</v>
      </c>
      <c r="G3031" s="2" t="s">
        <v>34</v>
      </c>
      <c r="H3031" s="2" t="s">
        <v>7065</v>
      </c>
      <c r="I3031" s="2" t="s">
        <v>4315</v>
      </c>
      <c r="J3031" s="4">
        <v>44069</v>
      </c>
      <c r="K3031" s="2" t="s">
        <v>8</v>
      </c>
      <c r="L3031" s="2" t="s">
        <v>12</v>
      </c>
      <c r="M3031" s="2" t="s">
        <v>7066</v>
      </c>
      <c r="O3031" s="225">
        <v>0.8</v>
      </c>
      <c r="P3031" s="103">
        <v>17</v>
      </c>
      <c r="Q3031" s="225">
        <v>0.96</v>
      </c>
      <c r="R3031" s="77">
        <v>3</v>
      </c>
      <c r="S3031" s="77">
        <v>3</v>
      </c>
      <c r="T3031" s="77">
        <v>2.5</v>
      </c>
      <c r="U3031" s="77">
        <v>2</v>
      </c>
      <c r="V3031" s="77">
        <v>3</v>
      </c>
      <c r="W3031" s="16" t="s">
        <v>59</v>
      </c>
      <c r="X3031" s="2" t="s">
        <v>66</v>
      </c>
      <c r="Y3031" s="27">
        <v>44096</v>
      </c>
    </row>
    <row r="3032" spans="1:28">
      <c r="A3032" s="285"/>
      <c r="C3032" s="25">
        <v>191</v>
      </c>
      <c r="D3032" s="2">
        <v>29066</v>
      </c>
      <c r="E3032" s="2" t="s">
        <v>7067</v>
      </c>
      <c r="F3032" s="3">
        <v>29203010103701</v>
      </c>
      <c r="G3032" s="2" t="s">
        <v>34</v>
      </c>
      <c r="H3032" s="2" t="s">
        <v>7068</v>
      </c>
      <c r="I3032" s="2" t="s">
        <v>4315</v>
      </c>
      <c r="J3032" s="4">
        <v>44069</v>
      </c>
      <c r="K3032" s="2" t="s">
        <v>8</v>
      </c>
      <c r="L3032" s="2" t="s">
        <v>12</v>
      </c>
      <c r="M3032" s="2" t="s">
        <v>4257</v>
      </c>
      <c r="W3032" s="16" t="s">
        <v>64</v>
      </c>
      <c r="Z3032" s="16" t="s">
        <v>67</v>
      </c>
    </row>
    <row r="3033" spans="1:28">
      <c r="A3033" s="285"/>
      <c r="C3033" s="25">
        <v>191</v>
      </c>
      <c r="D3033" s="2">
        <v>29067</v>
      </c>
      <c r="E3033" s="2" t="s">
        <v>7069</v>
      </c>
      <c r="F3033" s="3">
        <v>29510230101296</v>
      </c>
      <c r="G3033" s="2" t="s">
        <v>34</v>
      </c>
      <c r="H3033" s="2" t="s">
        <v>7070</v>
      </c>
      <c r="I3033" s="2" t="s">
        <v>4315</v>
      </c>
      <c r="J3033" s="4">
        <v>44069</v>
      </c>
      <c r="K3033" s="2" t="s">
        <v>8</v>
      </c>
      <c r="L3033" s="2" t="s">
        <v>12</v>
      </c>
      <c r="M3033" s="2" t="s">
        <v>768</v>
      </c>
      <c r="O3033" s="225">
        <v>0.75</v>
      </c>
      <c r="P3033" s="103">
        <v>38</v>
      </c>
      <c r="Q3033" s="225">
        <v>1</v>
      </c>
      <c r="R3033" s="77">
        <v>3</v>
      </c>
      <c r="S3033" s="77">
        <v>2.5</v>
      </c>
      <c r="T3033" s="77">
        <v>2</v>
      </c>
      <c r="U3033" s="77">
        <v>2.5</v>
      </c>
      <c r="V3033" s="77">
        <v>3</v>
      </c>
      <c r="W3033" s="16" t="s">
        <v>171</v>
      </c>
      <c r="Y3033" s="27">
        <v>44096</v>
      </c>
    </row>
    <row r="3034" spans="1:28">
      <c r="A3034" s="285"/>
      <c r="C3034" s="25">
        <v>191</v>
      </c>
      <c r="D3034" s="2">
        <v>29068</v>
      </c>
      <c r="E3034" s="2" t="s">
        <v>7071</v>
      </c>
      <c r="F3034" s="3">
        <v>29708200104759</v>
      </c>
      <c r="G3034" s="2" t="s">
        <v>34</v>
      </c>
      <c r="H3034" s="2" t="s">
        <v>7072</v>
      </c>
      <c r="I3034" s="2" t="s">
        <v>4315</v>
      </c>
      <c r="J3034" s="4">
        <v>44069</v>
      </c>
      <c r="K3034" s="2" t="s">
        <v>8</v>
      </c>
      <c r="L3034" s="2" t="s">
        <v>12</v>
      </c>
      <c r="M3034" s="2" t="s">
        <v>4257</v>
      </c>
      <c r="W3034" s="103" t="s">
        <v>64</v>
      </c>
      <c r="Z3034" s="16" t="s">
        <v>67</v>
      </c>
    </row>
    <row r="3035" spans="1:28">
      <c r="A3035" s="285"/>
      <c r="C3035" s="25">
        <v>191</v>
      </c>
      <c r="D3035" s="2">
        <v>29069</v>
      </c>
      <c r="E3035" s="2" t="s">
        <v>7073</v>
      </c>
      <c r="F3035" s="3">
        <v>29610140100309</v>
      </c>
      <c r="G3035" s="2" t="s">
        <v>34</v>
      </c>
      <c r="H3035" s="2" t="s">
        <v>7074</v>
      </c>
      <c r="I3035" s="2" t="s">
        <v>4315</v>
      </c>
      <c r="J3035" s="4">
        <v>44069</v>
      </c>
      <c r="K3035" s="2" t="s">
        <v>8</v>
      </c>
      <c r="L3035" s="2" t="s">
        <v>12</v>
      </c>
      <c r="M3035" s="2" t="s">
        <v>5942</v>
      </c>
      <c r="O3035" s="225">
        <v>0.85</v>
      </c>
      <c r="P3035" s="103">
        <v>25</v>
      </c>
      <c r="Q3035" s="225">
        <v>0.8</v>
      </c>
      <c r="R3035" s="77">
        <v>3</v>
      </c>
      <c r="S3035" s="77">
        <v>2</v>
      </c>
      <c r="T3035" s="77">
        <v>2.5</v>
      </c>
      <c r="U3035" s="77">
        <v>2</v>
      </c>
      <c r="V3035" s="77">
        <v>3</v>
      </c>
      <c r="W3035" s="16" t="s">
        <v>62</v>
      </c>
      <c r="Y3035" s="27">
        <v>44096</v>
      </c>
    </row>
    <row r="3036" spans="1:28">
      <c r="A3036" s="285"/>
      <c r="C3036" s="25">
        <v>191</v>
      </c>
      <c r="D3036" s="2">
        <v>29070</v>
      </c>
      <c r="E3036" s="2" t="s">
        <v>7075</v>
      </c>
      <c r="F3036" s="3">
        <v>29701251900059</v>
      </c>
      <c r="G3036" s="2" t="s">
        <v>34</v>
      </c>
      <c r="H3036" s="2" t="s">
        <v>7076</v>
      </c>
      <c r="I3036" s="2" t="s">
        <v>4315</v>
      </c>
      <c r="J3036" s="4">
        <v>44069</v>
      </c>
      <c r="K3036" s="2" t="s">
        <v>8</v>
      </c>
      <c r="L3036" s="2" t="s">
        <v>12</v>
      </c>
      <c r="M3036" s="2" t="s">
        <v>7063</v>
      </c>
      <c r="O3036" s="225">
        <v>0.8</v>
      </c>
      <c r="P3036" s="103">
        <v>23</v>
      </c>
      <c r="Q3036" s="225">
        <v>0.95</v>
      </c>
      <c r="R3036" s="77">
        <v>3</v>
      </c>
      <c r="S3036" s="77">
        <v>3</v>
      </c>
      <c r="T3036" s="77">
        <v>2</v>
      </c>
      <c r="U3036" s="77">
        <v>2.5</v>
      </c>
      <c r="V3036" s="77">
        <v>3</v>
      </c>
      <c r="W3036" s="16" t="s">
        <v>61</v>
      </c>
      <c r="Y3036" s="27">
        <v>44096</v>
      </c>
    </row>
    <row r="3037" spans="1:28">
      <c r="A3037" s="285"/>
      <c r="C3037" s="25">
        <v>191</v>
      </c>
      <c r="D3037" s="2">
        <v>29071</v>
      </c>
      <c r="E3037" s="2" t="s">
        <v>7077</v>
      </c>
      <c r="F3037" s="3">
        <v>29307080100563</v>
      </c>
      <c r="G3037" s="2" t="s">
        <v>34</v>
      </c>
      <c r="H3037" s="2" t="s">
        <v>7078</v>
      </c>
      <c r="I3037" s="2" t="s">
        <v>4315</v>
      </c>
      <c r="J3037" s="4">
        <v>44069</v>
      </c>
      <c r="K3037" s="2" t="s">
        <v>8</v>
      </c>
      <c r="L3037" s="2" t="s">
        <v>12</v>
      </c>
      <c r="M3037" s="2" t="s">
        <v>6599</v>
      </c>
      <c r="W3037" s="103" t="s">
        <v>64</v>
      </c>
      <c r="Z3037" s="16" t="s">
        <v>67</v>
      </c>
    </row>
    <row r="3038" spans="1:28" ht="15.75" thickBot="1">
      <c r="A3038" s="286"/>
      <c r="C3038" s="28">
        <v>191</v>
      </c>
      <c r="D3038" s="28">
        <v>29072</v>
      </c>
      <c r="E3038" s="28" t="s">
        <v>7079</v>
      </c>
      <c r="F3038" s="29">
        <v>29803270300051</v>
      </c>
      <c r="G3038" s="28" t="s">
        <v>7080</v>
      </c>
      <c r="H3038" s="28" t="s">
        <v>7081</v>
      </c>
      <c r="I3038" s="28" t="s">
        <v>4315</v>
      </c>
      <c r="J3038" s="30">
        <v>44069</v>
      </c>
      <c r="K3038" s="28" t="s">
        <v>8</v>
      </c>
      <c r="L3038" s="28" t="s">
        <v>12</v>
      </c>
      <c r="M3038" s="28" t="s">
        <v>5940</v>
      </c>
      <c r="N3038" s="28"/>
      <c r="O3038" s="226">
        <v>0.9</v>
      </c>
      <c r="P3038" s="28">
        <v>23</v>
      </c>
      <c r="Q3038" s="226">
        <v>1</v>
      </c>
      <c r="R3038" s="37">
        <v>3</v>
      </c>
      <c r="S3038" s="37">
        <v>2.5</v>
      </c>
      <c r="T3038" s="37">
        <v>2</v>
      </c>
      <c r="U3038" s="37">
        <v>2</v>
      </c>
      <c r="V3038" s="37">
        <v>3</v>
      </c>
      <c r="W3038" s="28" t="s">
        <v>62</v>
      </c>
      <c r="X3038" s="28"/>
      <c r="Y3038" s="30">
        <v>44096</v>
      </c>
      <c r="Z3038" s="28"/>
      <c r="AA3038" s="30"/>
      <c r="AB3038" s="28"/>
    </row>
    <row r="3039" spans="1:28" ht="15.75" thickTop="1">
      <c r="A3039" s="284" t="s">
        <v>4517</v>
      </c>
      <c r="C3039" s="25">
        <v>192</v>
      </c>
      <c r="D3039" s="25">
        <v>29073</v>
      </c>
      <c r="E3039" s="25" t="s">
        <v>7083</v>
      </c>
      <c r="F3039" s="26">
        <v>29708023100063</v>
      </c>
      <c r="G3039" s="25" t="s">
        <v>34</v>
      </c>
      <c r="H3039" s="25" t="s">
        <v>7084</v>
      </c>
      <c r="I3039" s="25" t="s">
        <v>4315</v>
      </c>
      <c r="J3039" s="27">
        <v>44070</v>
      </c>
      <c r="K3039" s="25" t="s">
        <v>8</v>
      </c>
      <c r="L3039" s="25" t="s">
        <v>12</v>
      </c>
      <c r="M3039" s="25" t="s">
        <v>6599</v>
      </c>
      <c r="N3039" s="25"/>
      <c r="O3039" s="224">
        <v>1</v>
      </c>
      <c r="P3039" s="25">
        <v>16</v>
      </c>
      <c r="Q3039" s="224">
        <v>0.88</v>
      </c>
      <c r="R3039" s="77">
        <v>3</v>
      </c>
      <c r="S3039" s="77">
        <v>2.5</v>
      </c>
      <c r="T3039" s="77">
        <v>2</v>
      </c>
      <c r="U3039" s="77">
        <v>2.5</v>
      </c>
      <c r="V3039" s="77">
        <v>3</v>
      </c>
      <c r="W3039" s="25" t="s">
        <v>171</v>
      </c>
      <c r="X3039" s="25"/>
      <c r="Y3039" s="27">
        <v>44098</v>
      </c>
      <c r="Z3039" s="25"/>
      <c r="AA3039" s="27"/>
      <c r="AB3039" s="25"/>
    </row>
    <row r="3040" spans="1:28">
      <c r="A3040" s="285"/>
      <c r="C3040" s="25">
        <v>192</v>
      </c>
      <c r="D3040" s="2">
        <v>29074</v>
      </c>
      <c r="E3040" s="2" t="s">
        <v>7085</v>
      </c>
      <c r="F3040" s="3">
        <v>29708302702421</v>
      </c>
      <c r="G3040" s="2" t="s">
        <v>34</v>
      </c>
      <c r="H3040" s="2" t="s">
        <v>7086</v>
      </c>
      <c r="I3040" s="2" t="s">
        <v>4315</v>
      </c>
      <c r="J3040" s="4">
        <v>44070</v>
      </c>
      <c r="K3040" s="2" t="s">
        <v>8</v>
      </c>
      <c r="L3040" s="2" t="s">
        <v>12</v>
      </c>
      <c r="M3040" s="2" t="s">
        <v>5152</v>
      </c>
      <c r="R3040" s="77">
        <v>3</v>
      </c>
      <c r="S3040" s="77">
        <v>2.5</v>
      </c>
      <c r="T3040" s="77">
        <v>2</v>
      </c>
      <c r="U3040" s="77">
        <v>2</v>
      </c>
      <c r="V3040" s="77">
        <v>3</v>
      </c>
      <c r="W3040" s="16" t="s">
        <v>171</v>
      </c>
      <c r="Y3040" s="27">
        <v>44098</v>
      </c>
    </row>
    <row r="3041" spans="1:28">
      <c r="A3041" s="285"/>
      <c r="C3041" s="25">
        <v>192</v>
      </c>
      <c r="D3041" s="2">
        <v>29075</v>
      </c>
      <c r="E3041" s="2" t="s">
        <v>7087</v>
      </c>
      <c r="F3041" s="3">
        <v>28809032400051</v>
      </c>
      <c r="G3041" s="2" t="s">
        <v>34</v>
      </c>
      <c r="H3041" s="8" t="s">
        <v>7102</v>
      </c>
      <c r="I3041" s="2" t="s">
        <v>4315</v>
      </c>
      <c r="J3041" s="4">
        <v>44070</v>
      </c>
      <c r="K3041" s="2" t="s">
        <v>8</v>
      </c>
      <c r="L3041" s="2" t="s">
        <v>12</v>
      </c>
      <c r="M3041" s="2" t="s">
        <v>7055</v>
      </c>
      <c r="O3041" s="225">
        <v>0.85</v>
      </c>
      <c r="P3041" s="103">
        <v>18</v>
      </c>
      <c r="Q3041" s="225">
        <v>1</v>
      </c>
      <c r="R3041" s="77">
        <v>3</v>
      </c>
      <c r="S3041" s="77">
        <v>2.5</v>
      </c>
      <c r="T3041" s="77">
        <v>2.5</v>
      </c>
      <c r="U3041" s="77">
        <v>2.5</v>
      </c>
      <c r="V3041" s="77">
        <v>3</v>
      </c>
      <c r="W3041" s="16" t="s">
        <v>6989</v>
      </c>
      <c r="Y3041" s="27">
        <v>44098</v>
      </c>
    </row>
    <row r="3042" spans="1:28">
      <c r="A3042" s="285"/>
      <c r="C3042" s="25">
        <v>192</v>
      </c>
      <c r="D3042" s="2">
        <v>29076</v>
      </c>
      <c r="E3042" s="2" t="s">
        <v>7088</v>
      </c>
      <c r="F3042" s="3">
        <v>29312090103297</v>
      </c>
      <c r="G3042" s="2" t="s">
        <v>34</v>
      </c>
      <c r="H3042" s="2" t="s">
        <v>7089</v>
      </c>
      <c r="I3042" s="2" t="s">
        <v>4315</v>
      </c>
      <c r="J3042" s="4">
        <v>44070</v>
      </c>
      <c r="K3042" s="2" t="s">
        <v>8</v>
      </c>
      <c r="L3042" s="2" t="s">
        <v>12</v>
      </c>
      <c r="M3042" s="2" t="s">
        <v>7055</v>
      </c>
      <c r="O3042" s="225">
        <v>0.9</v>
      </c>
      <c r="P3042" s="103">
        <v>29</v>
      </c>
      <c r="Q3042" s="225">
        <v>1</v>
      </c>
      <c r="R3042" s="77">
        <v>3</v>
      </c>
      <c r="S3042" s="77">
        <v>2.5</v>
      </c>
      <c r="T3042" s="77">
        <v>2</v>
      </c>
      <c r="U3042" s="77">
        <v>2</v>
      </c>
      <c r="V3042" s="77">
        <v>3</v>
      </c>
      <c r="W3042" s="16" t="s">
        <v>5714</v>
      </c>
      <c r="X3042" s="2" t="s">
        <v>66</v>
      </c>
      <c r="Y3042" s="27">
        <v>44098</v>
      </c>
    </row>
    <row r="3043" spans="1:28">
      <c r="A3043" s="285"/>
      <c r="C3043" s="25">
        <v>192</v>
      </c>
      <c r="D3043" s="2">
        <v>29077</v>
      </c>
      <c r="E3043" s="2" t="s">
        <v>7090</v>
      </c>
      <c r="F3043" s="3">
        <v>29510010116616</v>
      </c>
      <c r="G3043" s="2" t="s">
        <v>34</v>
      </c>
      <c r="H3043" s="2" t="s">
        <v>7091</v>
      </c>
      <c r="I3043" s="2" t="s">
        <v>4315</v>
      </c>
      <c r="J3043" s="4">
        <v>44070</v>
      </c>
      <c r="K3043" s="2" t="s">
        <v>8</v>
      </c>
      <c r="L3043" s="2" t="s">
        <v>12</v>
      </c>
      <c r="M3043" s="2" t="s">
        <v>6463</v>
      </c>
      <c r="W3043" s="16" t="s">
        <v>64</v>
      </c>
      <c r="Z3043" s="16" t="s">
        <v>67</v>
      </c>
    </row>
    <row r="3044" spans="1:28">
      <c r="A3044" s="285"/>
      <c r="C3044" s="25">
        <v>192</v>
      </c>
      <c r="D3044" s="2">
        <v>29078</v>
      </c>
      <c r="E3044" s="2" t="s">
        <v>7092</v>
      </c>
      <c r="F3044" s="3">
        <v>29805072101721</v>
      </c>
      <c r="G3044" s="2" t="s">
        <v>34</v>
      </c>
      <c r="H3044" s="2" t="s">
        <v>7093</v>
      </c>
      <c r="I3044" s="2" t="s">
        <v>4315</v>
      </c>
      <c r="J3044" s="4">
        <v>44070</v>
      </c>
      <c r="K3044" s="2" t="s">
        <v>8</v>
      </c>
      <c r="L3044" s="2" t="s">
        <v>12</v>
      </c>
      <c r="M3044" s="2" t="s">
        <v>4257</v>
      </c>
      <c r="O3044" s="225">
        <v>0.9</v>
      </c>
      <c r="P3044" s="103">
        <v>23</v>
      </c>
      <c r="Q3044" s="225">
        <v>0.87</v>
      </c>
      <c r="R3044" s="77">
        <v>3</v>
      </c>
      <c r="S3044" s="77">
        <v>2.5</v>
      </c>
      <c r="T3044" s="77">
        <v>2.5</v>
      </c>
      <c r="U3044" s="77">
        <v>2.5</v>
      </c>
      <c r="V3044" s="77">
        <v>3</v>
      </c>
      <c r="W3044" s="16" t="s">
        <v>6989</v>
      </c>
      <c r="Y3044" s="27">
        <v>44098</v>
      </c>
    </row>
    <row r="3045" spans="1:28">
      <c r="A3045" s="285"/>
      <c r="C3045" s="25">
        <v>192</v>
      </c>
      <c r="D3045" s="2">
        <v>29079</v>
      </c>
      <c r="E3045" s="2" t="s">
        <v>7094</v>
      </c>
      <c r="F3045" s="3">
        <v>29603250101215</v>
      </c>
      <c r="G3045" s="2" t="s">
        <v>34</v>
      </c>
      <c r="H3045" s="2" t="s">
        <v>7095</v>
      </c>
      <c r="I3045" s="2" t="s">
        <v>4315</v>
      </c>
      <c r="J3045" s="4">
        <v>44070</v>
      </c>
      <c r="K3045" s="2" t="s">
        <v>8</v>
      </c>
      <c r="L3045" s="2" t="s">
        <v>12</v>
      </c>
      <c r="M3045" s="2" t="s">
        <v>7066</v>
      </c>
      <c r="O3045" s="225">
        <v>0.8</v>
      </c>
      <c r="P3045" s="103">
        <v>74</v>
      </c>
      <c r="Q3045" s="225">
        <v>0.91</v>
      </c>
      <c r="R3045" s="77">
        <v>3</v>
      </c>
      <c r="S3045" s="77">
        <v>3</v>
      </c>
      <c r="T3045" s="77">
        <v>2</v>
      </c>
      <c r="U3045" s="77">
        <v>2.5</v>
      </c>
      <c r="V3045" s="77">
        <v>3</v>
      </c>
      <c r="W3045" s="16" t="s">
        <v>61</v>
      </c>
      <c r="Y3045" s="27">
        <v>44098</v>
      </c>
    </row>
    <row r="3046" spans="1:28">
      <c r="A3046" s="285"/>
      <c r="C3046" s="25">
        <v>192</v>
      </c>
      <c r="D3046" s="2">
        <v>29080</v>
      </c>
      <c r="E3046" s="2" t="s">
        <v>7096</v>
      </c>
      <c r="F3046" s="3">
        <v>29608110102906</v>
      </c>
      <c r="G3046" s="2" t="s">
        <v>34</v>
      </c>
      <c r="H3046" s="2" t="s">
        <v>7097</v>
      </c>
      <c r="I3046" s="2" t="s">
        <v>4315</v>
      </c>
      <c r="J3046" s="4">
        <v>44070</v>
      </c>
      <c r="K3046" s="2" t="s">
        <v>8</v>
      </c>
      <c r="L3046" s="2" t="s">
        <v>12</v>
      </c>
      <c r="M3046" s="2" t="s">
        <v>6599</v>
      </c>
      <c r="O3046" s="225">
        <v>0.85</v>
      </c>
      <c r="P3046" s="103">
        <v>24</v>
      </c>
      <c r="Q3046" s="225">
        <v>0.7</v>
      </c>
      <c r="R3046" s="77">
        <v>3</v>
      </c>
      <c r="S3046" s="77">
        <v>2.5</v>
      </c>
      <c r="T3046" s="77">
        <v>2.5</v>
      </c>
      <c r="U3046" s="77">
        <v>2</v>
      </c>
      <c r="V3046" s="77">
        <v>3</v>
      </c>
      <c r="W3046" s="16" t="s">
        <v>59</v>
      </c>
      <c r="X3046" s="2" t="s">
        <v>66</v>
      </c>
      <c r="Y3046" s="27">
        <v>44098</v>
      </c>
    </row>
    <row r="3047" spans="1:28">
      <c r="A3047" s="285"/>
      <c r="C3047" s="25">
        <v>192</v>
      </c>
      <c r="D3047" s="2">
        <v>29081</v>
      </c>
      <c r="E3047" s="2" t="s">
        <v>7098</v>
      </c>
      <c r="F3047" s="3">
        <v>29905062102197</v>
      </c>
      <c r="G3047" s="2" t="s">
        <v>5856</v>
      </c>
      <c r="H3047" s="2" t="s">
        <v>7099</v>
      </c>
      <c r="I3047" s="2" t="s">
        <v>4315</v>
      </c>
      <c r="J3047" s="4">
        <v>44070</v>
      </c>
      <c r="K3047" s="2" t="s">
        <v>8</v>
      </c>
      <c r="L3047" s="2" t="s">
        <v>12</v>
      </c>
      <c r="M3047" s="2" t="s">
        <v>7060</v>
      </c>
      <c r="W3047" s="16" t="s">
        <v>63</v>
      </c>
      <c r="Z3047" s="16" t="s">
        <v>67</v>
      </c>
    </row>
    <row r="3048" spans="1:28">
      <c r="A3048" s="285"/>
      <c r="C3048" s="25">
        <v>192</v>
      </c>
      <c r="D3048" s="2">
        <v>29082</v>
      </c>
      <c r="E3048" s="2" t="s">
        <v>7100</v>
      </c>
      <c r="F3048" s="3">
        <v>29609202104855</v>
      </c>
      <c r="G3048" s="2" t="s">
        <v>34</v>
      </c>
      <c r="H3048" s="2" t="s">
        <v>7101</v>
      </c>
      <c r="I3048" s="2" t="s">
        <v>4315</v>
      </c>
      <c r="J3048" s="4">
        <v>44070</v>
      </c>
      <c r="K3048" s="2" t="s">
        <v>8</v>
      </c>
      <c r="L3048" s="2" t="s">
        <v>12</v>
      </c>
      <c r="M3048" s="2" t="s">
        <v>6463</v>
      </c>
      <c r="O3048" s="225">
        <v>0.9</v>
      </c>
      <c r="P3048" s="103">
        <v>23</v>
      </c>
      <c r="Q3048" s="225">
        <v>0.82</v>
      </c>
      <c r="R3048" s="77">
        <v>3</v>
      </c>
      <c r="S3048" s="77">
        <v>3</v>
      </c>
      <c r="T3048" s="77">
        <v>2</v>
      </c>
      <c r="U3048" s="77">
        <v>2</v>
      </c>
      <c r="V3048" s="77">
        <v>3</v>
      </c>
      <c r="W3048" s="16" t="s">
        <v>59</v>
      </c>
      <c r="X3048" s="2" t="s">
        <v>66</v>
      </c>
      <c r="Y3048" s="27">
        <v>44098</v>
      </c>
    </row>
    <row r="3049" spans="1:28">
      <c r="A3049" s="285"/>
      <c r="C3049" s="25">
        <v>192</v>
      </c>
      <c r="D3049" s="2">
        <v>29021</v>
      </c>
      <c r="E3049" s="2" t="s">
        <v>6852</v>
      </c>
      <c r="F3049" s="3">
        <v>29610078800323</v>
      </c>
      <c r="G3049" s="2" t="s">
        <v>34</v>
      </c>
      <c r="H3049" s="2" t="s">
        <v>6853</v>
      </c>
      <c r="I3049" s="2" t="s">
        <v>4315</v>
      </c>
      <c r="J3049" s="4">
        <v>44035</v>
      </c>
      <c r="K3049" s="2" t="s">
        <v>798</v>
      </c>
      <c r="L3049" s="2" t="s">
        <v>12</v>
      </c>
      <c r="O3049" s="225">
        <v>0.65</v>
      </c>
      <c r="P3049" s="103">
        <v>20</v>
      </c>
      <c r="Q3049" s="225">
        <v>0.8</v>
      </c>
      <c r="R3049" s="77">
        <v>3</v>
      </c>
      <c r="S3049" s="77">
        <v>2.5</v>
      </c>
      <c r="T3049" s="77">
        <v>2</v>
      </c>
      <c r="U3049" s="77">
        <v>2</v>
      </c>
      <c r="V3049" s="77">
        <v>3</v>
      </c>
      <c r="W3049" s="16" t="s">
        <v>59</v>
      </c>
      <c r="X3049" s="2" t="s">
        <v>66</v>
      </c>
      <c r="Y3049" s="27">
        <v>44098</v>
      </c>
    </row>
    <row r="3050" spans="1:28" ht="15.75" thickBot="1">
      <c r="A3050" s="286"/>
      <c r="C3050" s="28">
        <v>192</v>
      </c>
      <c r="D3050" s="28">
        <v>29022</v>
      </c>
      <c r="E3050" s="28" t="s">
        <v>6854</v>
      </c>
      <c r="F3050" s="29">
        <v>29609230103325</v>
      </c>
      <c r="G3050" s="28" t="s">
        <v>34</v>
      </c>
      <c r="H3050" s="28" t="s">
        <v>6855</v>
      </c>
      <c r="I3050" s="28" t="s">
        <v>4315</v>
      </c>
      <c r="J3050" s="30">
        <v>44035</v>
      </c>
      <c r="K3050" s="28" t="s">
        <v>798</v>
      </c>
      <c r="L3050" s="28" t="s">
        <v>12</v>
      </c>
      <c r="M3050" s="28"/>
      <c r="N3050" s="28"/>
      <c r="O3050" s="226">
        <v>0.9</v>
      </c>
      <c r="P3050" s="28">
        <v>16</v>
      </c>
      <c r="Q3050" s="226">
        <v>1</v>
      </c>
      <c r="R3050" s="37">
        <v>3</v>
      </c>
      <c r="S3050" s="37">
        <v>2.5</v>
      </c>
      <c r="T3050" s="37">
        <v>2.5</v>
      </c>
      <c r="U3050" s="37">
        <v>2.5</v>
      </c>
      <c r="V3050" s="37">
        <v>3</v>
      </c>
      <c r="W3050" s="28" t="s">
        <v>6989</v>
      </c>
      <c r="X3050" s="28"/>
      <c r="Y3050" s="30">
        <v>44098</v>
      </c>
      <c r="Z3050" s="28"/>
      <c r="AA3050" s="30"/>
      <c r="AB3050" s="28"/>
    </row>
    <row r="3051" spans="1:28" ht="15.75" thickTop="1">
      <c r="A3051" s="284" t="s">
        <v>1249</v>
      </c>
      <c r="C3051" s="25">
        <v>193</v>
      </c>
      <c r="D3051" s="25">
        <v>29083</v>
      </c>
      <c r="E3051" s="25" t="s">
        <v>7103</v>
      </c>
      <c r="F3051" s="26">
        <v>29810318800317</v>
      </c>
      <c r="G3051" s="25" t="s">
        <v>34</v>
      </c>
      <c r="H3051" s="25" t="s">
        <v>7104</v>
      </c>
      <c r="I3051" s="25" t="s">
        <v>4315</v>
      </c>
      <c r="J3051" s="27">
        <v>44075</v>
      </c>
      <c r="K3051" s="25" t="s">
        <v>8</v>
      </c>
      <c r="L3051" s="25" t="s">
        <v>12</v>
      </c>
      <c r="M3051" s="25" t="s">
        <v>6463</v>
      </c>
      <c r="N3051" s="25"/>
      <c r="O3051" s="224">
        <v>1</v>
      </c>
      <c r="P3051" s="25">
        <v>30</v>
      </c>
      <c r="Q3051" s="224">
        <v>0.96</v>
      </c>
      <c r="R3051" s="77">
        <v>3</v>
      </c>
      <c r="S3051" s="77">
        <v>3</v>
      </c>
      <c r="T3051" s="77">
        <v>3</v>
      </c>
      <c r="U3051" s="77">
        <v>2.5</v>
      </c>
      <c r="V3051" s="77">
        <v>3</v>
      </c>
      <c r="W3051" s="25" t="s">
        <v>7123</v>
      </c>
      <c r="X3051" s="25"/>
      <c r="Y3051" s="27">
        <v>44102</v>
      </c>
      <c r="Z3051" s="25"/>
      <c r="AA3051" s="27"/>
      <c r="AB3051" s="25"/>
    </row>
    <row r="3052" spans="1:28">
      <c r="A3052" s="285"/>
      <c r="C3052" s="25">
        <v>193</v>
      </c>
      <c r="D3052" s="2">
        <v>29084</v>
      </c>
      <c r="E3052" s="2" t="s">
        <v>7105</v>
      </c>
      <c r="F3052" s="3">
        <v>29711148800327</v>
      </c>
      <c r="G3052" s="2" t="s">
        <v>34</v>
      </c>
      <c r="H3052" s="2" t="s">
        <v>7106</v>
      </c>
      <c r="I3052" s="2" t="s">
        <v>4315</v>
      </c>
      <c r="J3052" s="4">
        <v>44075</v>
      </c>
      <c r="K3052" s="2" t="s">
        <v>8</v>
      </c>
      <c r="L3052" s="2" t="s">
        <v>12</v>
      </c>
      <c r="M3052" s="2" t="s">
        <v>5940</v>
      </c>
      <c r="O3052" s="225">
        <v>0.85</v>
      </c>
      <c r="P3052" s="103">
        <v>20</v>
      </c>
      <c r="Q3052" s="225">
        <v>0.6</v>
      </c>
      <c r="R3052" s="77">
        <v>3</v>
      </c>
      <c r="S3052" s="77">
        <v>2.5</v>
      </c>
      <c r="T3052" s="77">
        <v>2</v>
      </c>
      <c r="U3052" s="77">
        <v>2</v>
      </c>
      <c r="V3052" s="77">
        <v>3</v>
      </c>
      <c r="W3052" s="16" t="s">
        <v>62</v>
      </c>
      <c r="Y3052" s="27">
        <v>44102</v>
      </c>
    </row>
    <row r="3053" spans="1:28">
      <c r="A3053" s="285"/>
      <c r="C3053" s="25">
        <v>193</v>
      </c>
      <c r="D3053" s="2">
        <v>29085</v>
      </c>
      <c r="E3053" s="2" t="s">
        <v>7107</v>
      </c>
      <c r="F3053" s="3">
        <v>29108012300551</v>
      </c>
      <c r="G3053" s="2" t="s">
        <v>34</v>
      </c>
      <c r="H3053" s="2" t="s">
        <v>7108</v>
      </c>
      <c r="I3053" s="2" t="s">
        <v>4315</v>
      </c>
      <c r="J3053" s="4">
        <v>44075</v>
      </c>
      <c r="K3053" s="2" t="s">
        <v>8</v>
      </c>
      <c r="L3053" s="2" t="s">
        <v>12</v>
      </c>
      <c r="M3053" s="2" t="s">
        <v>6463</v>
      </c>
      <c r="O3053" s="225">
        <v>0.85</v>
      </c>
      <c r="P3053" s="103">
        <v>20</v>
      </c>
      <c r="Q3053" s="225">
        <v>0.8</v>
      </c>
      <c r="R3053" s="77">
        <v>3</v>
      </c>
      <c r="S3053" s="77">
        <v>2.5</v>
      </c>
      <c r="T3053" s="77">
        <v>2</v>
      </c>
      <c r="U3053" s="77">
        <v>2</v>
      </c>
      <c r="V3053" s="77">
        <v>3</v>
      </c>
      <c r="W3053" s="16" t="s">
        <v>62</v>
      </c>
      <c r="Y3053" s="27">
        <v>44102</v>
      </c>
    </row>
    <row r="3054" spans="1:28">
      <c r="A3054" s="285"/>
      <c r="C3054" s="25">
        <v>193</v>
      </c>
      <c r="D3054" s="2">
        <v>29086</v>
      </c>
      <c r="E3054" s="2" t="s">
        <v>7109</v>
      </c>
      <c r="F3054" s="3">
        <v>29506262102025</v>
      </c>
      <c r="G3054" s="2" t="s">
        <v>34</v>
      </c>
      <c r="H3054" s="2" t="s">
        <v>7110</v>
      </c>
      <c r="I3054" s="2" t="s">
        <v>4315</v>
      </c>
      <c r="J3054" s="4">
        <v>44075</v>
      </c>
      <c r="K3054" s="2" t="s">
        <v>8</v>
      </c>
      <c r="L3054" s="2" t="s">
        <v>12</v>
      </c>
      <c r="M3054" s="2" t="s">
        <v>7031</v>
      </c>
      <c r="O3054" s="225">
        <v>0.9</v>
      </c>
      <c r="P3054" s="103">
        <v>21</v>
      </c>
      <c r="Q3054" s="225">
        <v>0.95</v>
      </c>
      <c r="R3054" s="77">
        <v>3</v>
      </c>
      <c r="S3054" s="77">
        <v>2.5</v>
      </c>
      <c r="T3054" s="77">
        <v>2</v>
      </c>
      <c r="U3054" s="77">
        <v>2</v>
      </c>
      <c r="V3054" s="77">
        <v>3</v>
      </c>
      <c r="W3054" s="16" t="s">
        <v>59</v>
      </c>
      <c r="X3054" s="2" t="s">
        <v>66</v>
      </c>
      <c r="Y3054" s="27">
        <v>44102</v>
      </c>
    </row>
    <row r="3055" spans="1:28">
      <c r="A3055" s="285"/>
      <c r="C3055" s="25">
        <v>193</v>
      </c>
      <c r="D3055" s="2">
        <v>29087</v>
      </c>
      <c r="E3055" s="2" t="s">
        <v>7111</v>
      </c>
      <c r="F3055" s="3">
        <v>29809040300263</v>
      </c>
      <c r="G3055" s="2" t="s">
        <v>34</v>
      </c>
      <c r="H3055" s="2" t="s">
        <v>7112</v>
      </c>
      <c r="I3055" s="2" t="s">
        <v>4315</v>
      </c>
      <c r="J3055" s="4">
        <v>44075</v>
      </c>
      <c r="K3055" s="2" t="s">
        <v>8</v>
      </c>
      <c r="L3055" s="2" t="s">
        <v>12</v>
      </c>
      <c r="M3055" s="2" t="s">
        <v>7031</v>
      </c>
      <c r="O3055" s="225">
        <v>0.95</v>
      </c>
      <c r="P3055" s="103">
        <v>25</v>
      </c>
      <c r="Q3055" s="225">
        <v>0.92</v>
      </c>
      <c r="R3055" s="77">
        <v>3</v>
      </c>
      <c r="S3055" s="77">
        <v>2.5</v>
      </c>
      <c r="T3055" s="77">
        <v>2.5</v>
      </c>
      <c r="U3055" s="77">
        <v>2.5</v>
      </c>
      <c r="V3055" s="77">
        <v>3</v>
      </c>
      <c r="W3055" s="16" t="s">
        <v>61</v>
      </c>
      <c r="Y3055" s="27">
        <v>44102</v>
      </c>
    </row>
    <row r="3056" spans="1:28">
      <c r="A3056" s="285"/>
      <c r="C3056" s="25">
        <v>193</v>
      </c>
      <c r="D3056" s="2">
        <v>29088</v>
      </c>
      <c r="E3056" s="2" t="s">
        <v>7113</v>
      </c>
      <c r="F3056" s="3">
        <v>29704120102806</v>
      </c>
      <c r="G3056" s="2" t="s">
        <v>34</v>
      </c>
      <c r="H3056" s="2" t="s">
        <v>7114</v>
      </c>
      <c r="I3056" s="2" t="s">
        <v>4315</v>
      </c>
      <c r="J3056" s="4">
        <v>44075</v>
      </c>
      <c r="K3056" s="2" t="s">
        <v>8</v>
      </c>
      <c r="L3056" s="2" t="s">
        <v>12</v>
      </c>
      <c r="M3056" s="2" t="s">
        <v>7031</v>
      </c>
      <c r="O3056" s="225">
        <v>0.95</v>
      </c>
      <c r="P3056" s="103">
        <v>20</v>
      </c>
      <c r="Q3056" s="225">
        <v>0.9</v>
      </c>
      <c r="R3056" s="77">
        <v>3</v>
      </c>
      <c r="S3056" s="77">
        <v>2.5</v>
      </c>
      <c r="T3056" s="77">
        <v>2</v>
      </c>
      <c r="U3056" s="77">
        <v>2.5</v>
      </c>
      <c r="V3056" s="77">
        <v>3</v>
      </c>
      <c r="W3056" s="16" t="s">
        <v>171</v>
      </c>
      <c r="Y3056" s="27">
        <v>44102</v>
      </c>
    </row>
    <row r="3057" spans="1:28">
      <c r="A3057" s="285"/>
      <c r="C3057" s="25">
        <v>193</v>
      </c>
      <c r="D3057" s="2">
        <v>29089</v>
      </c>
      <c r="E3057" s="2" t="s">
        <v>7115</v>
      </c>
      <c r="F3057" s="3">
        <v>29806211602027</v>
      </c>
      <c r="G3057" s="2" t="s">
        <v>34</v>
      </c>
      <c r="H3057" s="2" t="s">
        <v>7116</v>
      </c>
      <c r="I3057" s="2" t="s">
        <v>4315</v>
      </c>
      <c r="J3057" s="4">
        <v>44075</v>
      </c>
      <c r="K3057" s="2" t="s">
        <v>8</v>
      </c>
      <c r="L3057" s="2" t="s">
        <v>12</v>
      </c>
      <c r="M3057" s="2" t="s">
        <v>5940</v>
      </c>
      <c r="O3057" s="225">
        <v>0.95</v>
      </c>
      <c r="P3057" s="103">
        <v>10</v>
      </c>
      <c r="Q3057" s="225">
        <v>0.72</v>
      </c>
      <c r="R3057" s="77">
        <v>3</v>
      </c>
      <c r="S3057" s="77">
        <v>3</v>
      </c>
      <c r="T3057" s="77">
        <v>2</v>
      </c>
      <c r="U3057" s="77">
        <v>2</v>
      </c>
      <c r="V3057" s="77">
        <v>3</v>
      </c>
      <c r="W3057" s="16" t="s">
        <v>59</v>
      </c>
      <c r="X3057" s="2" t="s">
        <v>66</v>
      </c>
      <c r="Y3057" s="27">
        <v>44102</v>
      </c>
    </row>
    <row r="3058" spans="1:28">
      <c r="A3058" s="285"/>
      <c r="C3058" s="25">
        <v>193</v>
      </c>
      <c r="D3058" s="2">
        <v>29090</v>
      </c>
      <c r="E3058" s="2" t="s">
        <v>7117</v>
      </c>
      <c r="F3058" s="3">
        <v>29607212102351</v>
      </c>
      <c r="G3058" s="2" t="s">
        <v>34</v>
      </c>
      <c r="H3058" s="2" t="s">
        <v>7118</v>
      </c>
      <c r="I3058" s="2" t="s">
        <v>4315</v>
      </c>
      <c r="J3058" s="4">
        <v>44075</v>
      </c>
      <c r="K3058" s="2" t="s">
        <v>8</v>
      </c>
      <c r="L3058" s="2" t="s">
        <v>12</v>
      </c>
      <c r="M3058" s="2" t="s">
        <v>7060</v>
      </c>
      <c r="O3058" s="225">
        <v>0.85</v>
      </c>
      <c r="P3058" s="103">
        <v>23</v>
      </c>
      <c r="Q3058" s="225">
        <v>0.95</v>
      </c>
      <c r="R3058" s="77">
        <v>3</v>
      </c>
      <c r="S3058" s="77">
        <v>2</v>
      </c>
      <c r="T3058" s="77">
        <v>2</v>
      </c>
      <c r="U3058" s="77">
        <v>1.5</v>
      </c>
      <c r="V3058" s="77">
        <v>3</v>
      </c>
      <c r="W3058" s="16" t="s">
        <v>3321</v>
      </c>
      <c r="Y3058" s="27">
        <v>44102</v>
      </c>
    </row>
    <row r="3059" spans="1:28">
      <c r="A3059" s="285"/>
      <c r="C3059" s="25">
        <v>193</v>
      </c>
      <c r="D3059" s="2">
        <v>29091</v>
      </c>
      <c r="E3059" s="2" t="s">
        <v>7119</v>
      </c>
      <c r="F3059" s="3">
        <v>29708170104198</v>
      </c>
      <c r="G3059" s="2" t="s">
        <v>34</v>
      </c>
      <c r="H3059" s="2" t="s">
        <v>7120</v>
      </c>
      <c r="I3059" s="2" t="s">
        <v>4315</v>
      </c>
      <c r="J3059" s="4">
        <v>44075</v>
      </c>
      <c r="K3059" s="2" t="s">
        <v>8</v>
      </c>
      <c r="L3059" s="2" t="s">
        <v>12</v>
      </c>
      <c r="M3059" s="2" t="s">
        <v>7031</v>
      </c>
      <c r="O3059" s="225">
        <v>0.9</v>
      </c>
      <c r="P3059" s="103">
        <v>30</v>
      </c>
      <c r="Q3059" s="225">
        <v>0.87</v>
      </c>
      <c r="R3059" s="77">
        <v>3</v>
      </c>
      <c r="S3059" s="77">
        <v>2.5</v>
      </c>
      <c r="T3059" s="77">
        <v>2.5</v>
      </c>
      <c r="U3059" s="77">
        <v>2.5</v>
      </c>
      <c r="V3059" s="77">
        <v>3</v>
      </c>
      <c r="W3059" s="16" t="s">
        <v>7124</v>
      </c>
      <c r="Y3059" s="27">
        <v>44102</v>
      </c>
    </row>
    <row r="3060" spans="1:28" ht="15.75" thickBot="1">
      <c r="A3060" s="286"/>
      <c r="C3060" s="28">
        <v>193</v>
      </c>
      <c r="D3060" s="28">
        <v>29092</v>
      </c>
      <c r="E3060" s="28" t="s">
        <v>7121</v>
      </c>
      <c r="F3060" s="29">
        <v>29610200100249</v>
      </c>
      <c r="G3060" s="28" t="s">
        <v>34</v>
      </c>
      <c r="H3060" s="28" t="s">
        <v>7122</v>
      </c>
      <c r="I3060" s="28" t="s">
        <v>4315</v>
      </c>
      <c r="J3060" s="30">
        <v>44075</v>
      </c>
      <c r="K3060" s="28" t="s">
        <v>8</v>
      </c>
      <c r="L3060" s="28" t="s">
        <v>12</v>
      </c>
      <c r="M3060" s="28" t="s">
        <v>5940</v>
      </c>
      <c r="N3060" s="28"/>
      <c r="O3060" s="226">
        <v>0.95</v>
      </c>
      <c r="P3060" s="28">
        <v>22</v>
      </c>
      <c r="Q3060" s="226">
        <v>0.95</v>
      </c>
      <c r="R3060" s="37">
        <v>3</v>
      </c>
      <c r="S3060" s="37">
        <v>2</v>
      </c>
      <c r="T3060" s="37">
        <v>2.5</v>
      </c>
      <c r="U3060" s="37">
        <v>2</v>
      </c>
      <c r="V3060" s="37">
        <v>3</v>
      </c>
      <c r="W3060" s="28" t="s">
        <v>62</v>
      </c>
      <c r="X3060" s="28"/>
      <c r="Y3060" s="30">
        <v>44102</v>
      </c>
      <c r="Z3060" s="28"/>
      <c r="AA3060" s="30"/>
      <c r="AB3060" s="28"/>
    </row>
    <row r="3061" spans="1:28" ht="15.75" thickTop="1">
      <c r="A3061" s="284" t="s">
        <v>5923</v>
      </c>
      <c r="C3061" s="125">
        <v>194</v>
      </c>
      <c r="D3061" s="125">
        <v>29694</v>
      </c>
      <c r="E3061" s="125" t="s">
        <v>7133</v>
      </c>
      <c r="F3061" s="266">
        <v>29809070105295</v>
      </c>
      <c r="G3061" s="125" t="s">
        <v>34</v>
      </c>
      <c r="H3061" s="125" t="s">
        <v>7146</v>
      </c>
      <c r="I3061" s="125" t="s">
        <v>4315</v>
      </c>
      <c r="J3061" s="267">
        <v>44081</v>
      </c>
      <c r="K3061" s="125" t="s">
        <v>8</v>
      </c>
      <c r="L3061" s="125" t="s">
        <v>12</v>
      </c>
      <c r="M3061" s="125" t="s">
        <v>5942</v>
      </c>
      <c r="N3061" s="125"/>
      <c r="O3061" s="268"/>
      <c r="P3061" s="125"/>
      <c r="Q3061" s="268"/>
      <c r="R3061" s="77">
        <v>3</v>
      </c>
      <c r="S3061" s="77">
        <v>2.5</v>
      </c>
      <c r="T3061" s="77">
        <v>2.5</v>
      </c>
      <c r="U3061" s="77">
        <v>2</v>
      </c>
      <c r="V3061" s="77">
        <v>3</v>
      </c>
      <c r="W3061" s="125" t="s">
        <v>59</v>
      </c>
      <c r="X3061" s="125" t="s">
        <v>66</v>
      </c>
      <c r="Y3061" s="267">
        <v>44108</v>
      </c>
      <c r="Z3061" s="125"/>
      <c r="AA3061" s="267"/>
      <c r="AB3061" s="125"/>
    </row>
    <row r="3062" spans="1:28">
      <c r="A3062" s="285"/>
      <c r="C3062" s="25">
        <v>194</v>
      </c>
      <c r="D3062" s="103">
        <v>29695</v>
      </c>
      <c r="E3062" s="103" t="s">
        <v>7134</v>
      </c>
      <c r="F3062" s="3">
        <v>29708142104131</v>
      </c>
      <c r="G3062" s="103" t="s">
        <v>34</v>
      </c>
      <c r="H3062" s="103" t="s">
        <v>7147</v>
      </c>
      <c r="I3062" s="103" t="s">
        <v>4315</v>
      </c>
      <c r="J3062" s="45">
        <v>44081</v>
      </c>
      <c r="K3062" s="103" t="s">
        <v>8</v>
      </c>
      <c r="L3062" s="103" t="s">
        <v>12</v>
      </c>
      <c r="M3062" s="103" t="s">
        <v>7135</v>
      </c>
      <c r="N3062" s="103"/>
      <c r="R3062" s="103"/>
      <c r="S3062" s="103"/>
      <c r="T3062" s="103"/>
      <c r="U3062" s="103"/>
      <c r="V3062" s="103"/>
      <c r="W3062" s="103" t="s">
        <v>64</v>
      </c>
      <c r="X3062" s="103"/>
      <c r="Y3062" s="45"/>
      <c r="Z3062" s="103" t="s">
        <v>67</v>
      </c>
      <c r="AA3062" s="45"/>
      <c r="AB3062" s="103"/>
    </row>
    <row r="3063" spans="1:28">
      <c r="A3063" s="285"/>
      <c r="C3063" s="25">
        <v>194</v>
      </c>
      <c r="D3063" s="103">
        <v>29696</v>
      </c>
      <c r="E3063" s="103" t="s">
        <v>7136</v>
      </c>
      <c r="F3063" s="3">
        <v>29509110103483</v>
      </c>
      <c r="G3063" s="103" t="s">
        <v>34</v>
      </c>
      <c r="H3063" s="103" t="s">
        <v>7148</v>
      </c>
      <c r="I3063" s="103" t="s">
        <v>4315</v>
      </c>
      <c r="J3063" s="45">
        <v>44081</v>
      </c>
      <c r="K3063" s="103" t="s">
        <v>8</v>
      </c>
      <c r="L3063" s="103" t="s">
        <v>12</v>
      </c>
      <c r="M3063" s="103" t="s">
        <v>6764</v>
      </c>
      <c r="N3063" s="103"/>
      <c r="R3063" s="77">
        <v>3</v>
      </c>
      <c r="S3063" s="77">
        <v>2.5</v>
      </c>
      <c r="T3063" s="77">
        <v>2</v>
      </c>
      <c r="U3063" s="77">
        <v>2</v>
      </c>
      <c r="V3063" s="77">
        <v>3</v>
      </c>
      <c r="W3063" s="103" t="s">
        <v>62</v>
      </c>
      <c r="X3063" s="103"/>
      <c r="Y3063" s="45">
        <v>44108</v>
      </c>
      <c r="Z3063" s="103"/>
      <c r="AA3063" s="45"/>
      <c r="AB3063" s="103"/>
    </row>
    <row r="3064" spans="1:28">
      <c r="A3064" s="285"/>
      <c r="C3064" s="25">
        <v>194</v>
      </c>
      <c r="D3064" s="103">
        <v>29697</v>
      </c>
      <c r="E3064" s="103" t="s">
        <v>7137</v>
      </c>
      <c r="F3064" s="3">
        <v>29606302101986</v>
      </c>
      <c r="G3064" s="103" t="s">
        <v>34</v>
      </c>
      <c r="H3064" s="103" t="s">
        <v>7149</v>
      </c>
      <c r="I3064" s="103" t="s">
        <v>4315</v>
      </c>
      <c r="J3064" s="45">
        <v>44081</v>
      </c>
      <c r="K3064" s="103" t="s">
        <v>8</v>
      </c>
      <c r="L3064" s="103" t="s">
        <v>12</v>
      </c>
      <c r="M3064" s="103" t="s">
        <v>5942</v>
      </c>
      <c r="N3064" s="103"/>
      <c r="R3064" s="77">
        <v>3</v>
      </c>
      <c r="S3064" s="77">
        <v>2.5</v>
      </c>
      <c r="T3064" s="77">
        <v>2</v>
      </c>
      <c r="U3064" s="77">
        <v>2.5</v>
      </c>
      <c r="V3064" s="77">
        <v>3</v>
      </c>
      <c r="W3064" s="103" t="s">
        <v>171</v>
      </c>
      <c r="X3064" s="103"/>
      <c r="Y3064" s="45">
        <v>44108</v>
      </c>
      <c r="Z3064" s="103"/>
      <c r="AA3064" s="45"/>
      <c r="AB3064" s="103"/>
    </row>
    <row r="3065" spans="1:28">
      <c r="A3065" s="285"/>
      <c r="C3065" s="25">
        <v>194</v>
      </c>
      <c r="D3065" s="103">
        <v>29698</v>
      </c>
      <c r="E3065" s="103" t="s">
        <v>7138</v>
      </c>
      <c r="F3065" s="3">
        <v>28711140102392</v>
      </c>
      <c r="G3065" s="103" t="s">
        <v>34</v>
      </c>
      <c r="H3065" s="103" t="s">
        <v>7150</v>
      </c>
      <c r="I3065" s="103" t="s">
        <v>4315</v>
      </c>
      <c r="J3065" s="45">
        <v>44081</v>
      </c>
      <c r="K3065" s="103" t="s">
        <v>8</v>
      </c>
      <c r="L3065" s="103" t="s">
        <v>12</v>
      </c>
      <c r="M3065" s="103" t="s">
        <v>7055</v>
      </c>
      <c r="N3065" s="103"/>
      <c r="R3065" s="77">
        <v>3</v>
      </c>
      <c r="S3065" s="77">
        <v>2.5</v>
      </c>
      <c r="T3065" s="77">
        <v>2</v>
      </c>
      <c r="U3065" s="77">
        <v>2</v>
      </c>
      <c r="V3065" s="77">
        <v>3</v>
      </c>
      <c r="W3065" s="103" t="s">
        <v>59</v>
      </c>
      <c r="X3065" s="103" t="s">
        <v>66</v>
      </c>
      <c r="Y3065" s="45">
        <v>44108</v>
      </c>
      <c r="Z3065" s="103"/>
      <c r="AA3065" s="45"/>
      <c r="AB3065" s="103"/>
    </row>
    <row r="3066" spans="1:28">
      <c r="A3066" s="285"/>
      <c r="C3066" s="25">
        <v>194</v>
      </c>
      <c r="D3066" s="103">
        <v>29699</v>
      </c>
      <c r="E3066" s="103" t="s">
        <v>7139</v>
      </c>
      <c r="F3066" s="3">
        <v>29709230101467</v>
      </c>
      <c r="G3066" s="103" t="s">
        <v>34</v>
      </c>
      <c r="H3066" s="103" t="s">
        <v>7151</v>
      </c>
      <c r="I3066" s="103" t="s">
        <v>4315</v>
      </c>
      <c r="J3066" s="45">
        <v>44081</v>
      </c>
      <c r="K3066" s="103" t="s">
        <v>8</v>
      </c>
      <c r="L3066" s="103" t="s">
        <v>12</v>
      </c>
      <c r="M3066" s="103" t="s">
        <v>6463</v>
      </c>
      <c r="N3066" s="103"/>
      <c r="R3066" s="77">
        <v>3</v>
      </c>
      <c r="S3066" s="77">
        <v>2.5</v>
      </c>
      <c r="T3066" s="77">
        <v>2</v>
      </c>
      <c r="U3066" s="77">
        <v>1.5</v>
      </c>
      <c r="V3066" s="77">
        <v>3</v>
      </c>
      <c r="W3066" s="103" t="s">
        <v>62</v>
      </c>
      <c r="X3066" s="103"/>
      <c r="Y3066" s="45">
        <v>44108</v>
      </c>
      <c r="Z3066" s="103"/>
      <c r="AA3066" s="45"/>
      <c r="AB3066" s="103"/>
    </row>
    <row r="3067" spans="1:28">
      <c r="A3067" s="285"/>
      <c r="C3067" s="25">
        <v>194</v>
      </c>
      <c r="D3067" s="103">
        <v>29700</v>
      </c>
      <c r="E3067" s="103" t="s">
        <v>7140</v>
      </c>
      <c r="F3067" s="3">
        <v>29707200102989</v>
      </c>
      <c r="G3067" s="103" t="s">
        <v>34</v>
      </c>
      <c r="H3067" s="103" t="s">
        <v>7152</v>
      </c>
      <c r="I3067" s="103" t="s">
        <v>4315</v>
      </c>
      <c r="J3067" s="45">
        <v>44081</v>
      </c>
      <c r="K3067" s="103" t="s">
        <v>8</v>
      </c>
      <c r="L3067" s="103" t="s">
        <v>12</v>
      </c>
      <c r="M3067" s="103" t="s">
        <v>6463</v>
      </c>
      <c r="N3067" s="103"/>
      <c r="R3067" s="77">
        <v>3</v>
      </c>
      <c r="S3067" s="77">
        <v>2.5</v>
      </c>
      <c r="T3067" s="77">
        <v>2</v>
      </c>
      <c r="U3067" s="77">
        <v>2.5</v>
      </c>
      <c r="V3067" s="77">
        <v>3</v>
      </c>
      <c r="W3067" s="103" t="s">
        <v>59</v>
      </c>
      <c r="X3067" s="103" t="s">
        <v>66</v>
      </c>
      <c r="Y3067" s="45">
        <v>44108</v>
      </c>
      <c r="Z3067" s="103"/>
      <c r="AA3067" s="45"/>
      <c r="AB3067" s="103"/>
    </row>
    <row r="3068" spans="1:28">
      <c r="A3068" s="285"/>
      <c r="C3068" s="25">
        <v>194</v>
      </c>
      <c r="D3068" s="103">
        <v>29701</v>
      </c>
      <c r="E3068" s="103" t="s">
        <v>7141</v>
      </c>
      <c r="F3068" s="3">
        <v>29801210102134</v>
      </c>
      <c r="G3068" s="103" t="s">
        <v>34</v>
      </c>
      <c r="H3068" s="103" t="s">
        <v>7153</v>
      </c>
      <c r="I3068" s="103" t="s">
        <v>4315</v>
      </c>
      <c r="J3068" s="45">
        <v>44081</v>
      </c>
      <c r="K3068" s="103" t="s">
        <v>8</v>
      </c>
      <c r="L3068" s="103" t="s">
        <v>12</v>
      </c>
      <c r="M3068" s="103" t="s">
        <v>6463</v>
      </c>
      <c r="N3068" s="103"/>
      <c r="R3068" s="77">
        <v>3</v>
      </c>
      <c r="S3068" s="77">
        <v>3</v>
      </c>
      <c r="T3068" s="77">
        <v>2</v>
      </c>
      <c r="U3068" s="77">
        <v>2.5</v>
      </c>
      <c r="V3068" s="77">
        <v>3</v>
      </c>
      <c r="W3068" s="103" t="s">
        <v>171</v>
      </c>
      <c r="X3068" s="103"/>
      <c r="Y3068" s="45">
        <v>44108</v>
      </c>
      <c r="Z3068" s="103"/>
      <c r="AA3068" s="45"/>
      <c r="AB3068" s="103"/>
    </row>
    <row r="3069" spans="1:28">
      <c r="A3069" s="285"/>
      <c r="C3069" s="25">
        <v>194</v>
      </c>
      <c r="D3069" s="103">
        <v>29702</v>
      </c>
      <c r="E3069" s="103" t="s">
        <v>7142</v>
      </c>
      <c r="F3069" s="3">
        <v>29006050104254</v>
      </c>
      <c r="G3069" s="103" t="s">
        <v>34</v>
      </c>
      <c r="H3069" s="103" t="s">
        <v>7154</v>
      </c>
      <c r="I3069" s="103" t="s">
        <v>4315</v>
      </c>
      <c r="J3069" s="45">
        <v>44081</v>
      </c>
      <c r="K3069" s="103" t="s">
        <v>8</v>
      </c>
      <c r="L3069" s="103" t="s">
        <v>12</v>
      </c>
      <c r="M3069" s="103" t="s">
        <v>6463</v>
      </c>
      <c r="N3069" s="103"/>
      <c r="R3069" s="103"/>
      <c r="S3069" s="103"/>
      <c r="T3069" s="103"/>
      <c r="U3069" s="103"/>
      <c r="V3069" s="103"/>
      <c r="W3069" s="103" t="s">
        <v>64</v>
      </c>
      <c r="X3069" s="103"/>
      <c r="Y3069" s="45"/>
      <c r="Z3069" s="103" t="s">
        <v>67</v>
      </c>
      <c r="AA3069" s="45"/>
      <c r="AB3069" s="103"/>
    </row>
    <row r="3070" spans="1:28">
      <c r="A3070" s="285"/>
      <c r="C3070" s="25">
        <v>194</v>
      </c>
      <c r="D3070" s="103">
        <v>29703</v>
      </c>
      <c r="E3070" s="103" t="s">
        <v>7143</v>
      </c>
      <c r="F3070" s="3">
        <v>29502242101655</v>
      </c>
      <c r="G3070" s="103" t="s">
        <v>34</v>
      </c>
      <c r="H3070" s="103" t="s">
        <v>7155</v>
      </c>
      <c r="I3070" s="103" t="s">
        <v>4315</v>
      </c>
      <c r="J3070" s="45">
        <v>44081</v>
      </c>
      <c r="K3070" s="103" t="s">
        <v>8</v>
      </c>
      <c r="L3070" s="103" t="s">
        <v>12</v>
      </c>
      <c r="M3070" s="103" t="s">
        <v>6552</v>
      </c>
      <c r="N3070" s="103"/>
      <c r="R3070" s="77">
        <v>3</v>
      </c>
      <c r="S3070" s="77">
        <v>2.5</v>
      </c>
      <c r="T3070" s="77">
        <v>2</v>
      </c>
      <c r="U3070" s="77">
        <v>3</v>
      </c>
      <c r="V3070" s="77">
        <v>3</v>
      </c>
      <c r="W3070" s="103" t="s">
        <v>61</v>
      </c>
      <c r="X3070" s="103"/>
      <c r="Y3070" s="45">
        <v>44108</v>
      </c>
      <c r="Z3070" s="103"/>
      <c r="AA3070" s="45"/>
      <c r="AB3070" s="103"/>
    </row>
    <row r="3071" spans="1:28">
      <c r="A3071" s="285"/>
      <c r="C3071" s="25">
        <v>194</v>
      </c>
      <c r="D3071" s="103">
        <v>29704</v>
      </c>
      <c r="E3071" s="103" t="s">
        <v>7144</v>
      </c>
      <c r="F3071" s="3">
        <v>29801222100269</v>
      </c>
      <c r="G3071" s="103" t="s">
        <v>34</v>
      </c>
      <c r="H3071" s="103" t="s">
        <v>7156</v>
      </c>
      <c r="I3071" s="103" t="s">
        <v>4315</v>
      </c>
      <c r="J3071" s="45">
        <v>44081</v>
      </c>
      <c r="K3071" s="103" t="s">
        <v>8</v>
      </c>
      <c r="L3071" s="103" t="s">
        <v>12</v>
      </c>
      <c r="M3071" s="103" t="s">
        <v>6552</v>
      </c>
      <c r="N3071" s="103"/>
      <c r="R3071" s="77">
        <v>3</v>
      </c>
      <c r="S3071" s="77">
        <v>3</v>
      </c>
      <c r="T3071" s="77">
        <v>2</v>
      </c>
      <c r="U3071" s="77">
        <v>2</v>
      </c>
      <c r="V3071" s="77">
        <v>3</v>
      </c>
      <c r="W3071" s="103" t="s">
        <v>5714</v>
      </c>
      <c r="X3071" s="103" t="s">
        <v>66</v>
      </c>
      <c r="Y3071" s="45">
        <v>44108</v>
      </c>
      <c r="Z3071" s="103"/>
      <c r="AA3071" s="45"/>
      <c r="AB3071" s="103"/>
    </row>
    <row r="3072" spans="1:28" ht="15.75" thickBot="1">
      <c r="A3072" s="286"/>
      <c r="C3072" s="38">
        <v>194</v>
      </c>
      <c r="D3072" s="28">
        <v>29705</v>
      </c>
      <c r="E3072" s="28" t="s">
        <v>7145</v>
      </c>
      <c r="F3072" s="29">
        <v>29705242102722</v>
      </c>
      <c r="G3072" s="28" t="s">
        <v>34</v>
      </c>
      <c r="H3072" s="28" t="s">
        <v>7157</v>
      </c>
      <c r="I3072" s="28" t="s">
        <v>4315</v>
      </c>
      <c r="J3072" s="30">
        <v>44081</v>
      </c>
      <c r="K3072" s="28" t="s">
        <v>8</v>
      </c>
      <c r="L3072" s="28" t="s">
        <v>12</v>
      </c>
      <c r="M3072" s="28" t="s">
        <v>6957</v>
      </c>
      <c r="N3072" s="28"/>
      <c r="O3072" s="226"/>
      <c r="P3072" s="28"/>
      <c r="Q3072" s="226"/>
      <c r="R3072" s="28"/>
      <c r="S3072" s="28"/>
      <c r="T3072" s="28"/>
      <c r="U3072" s="28"/>
      <c r="V3072" s="28"/>
      <c r="W3072" s="28" t="s">
        <v>64</v>
      </c>
      <c r="X3072" s="28"/>
      <c r="Y3072" s="30"/>
      <c r="Z3072" s="28" t="s">
        <v>67</v>
      </c>
      <c r="AA3072" s="30"/>
      <c r="AB3072" s="28"/>
    </row>
    <row r="3073" spans="1:28" ht="15.75" thickTop="1">
      <c r="A3073" s="284" t="s">
        <v>3120</v>
      </c>
      <c r="C3073" s="25">
        <v>195</v>
      </c>
      <c r="D3073" s="25">
        <v>29706</v>
      </c>
      <c r="E3073" s="25" t="s">
        <v>7158</v>
      </c>
      <c r="F3073" s="26">
        <v>29402141900323</v>
      </c>
      <c r="G3073" s="25" t="s">
        <v>34</v>
      </c>
      <c r="H3073" s="25" t="s">
        <v>7159</v>
      </c>
      <c r="I3073" s="25" t="s">
        <v>4315</v>
      </c>
      <c r="J3073" s="27">
        <v>44090</v>
      </c>
      <c r="K3073" s="25" t="s">
        <v>8</v>
      </c>
      <c r="L3073" s="25" t="s">
        <v>12</v>
      </c>
      <c r="M3073" s="25" t="s">
        <v>6833</v>
      </c>
      <c r="N3073" s="25"/>
      <c r="O3073" s="224"/>
      <c r="P3073" s="25"/>
      <c r="Q3073" s="224"/>
      <c r="R3073" s="25"/>
      <c r="S3073" s="25"/>
      <c r="T3073" s="25"/>
      <c r="U3073" s="25"/>
      <c r="V3073" s="25"/>
      <c r="W3073" s="25"/>
      <c r="X3073" s="25"/>
      <c r="Y3073" s="27"/>
      <c r="Z3073" s="25"/>
      <c r="AA3073" s="27"/>
      <c r="AB3073" s="25"/>
    </row>
    <row r="3074" spans="1:28">
      <c r="A3074" s="285"/>
      <c r="C3074" s="103">
        <v>195</v>
      </c>
      <c r="D3074" s="2">
        <v>29707</v>
      </c>
      <c r="E3074" s="2" t="s">
        <v>7160</v>
      </c>
      <c r="F3074" s="3">
        <v>29404301300061</v>
      </c>
      <c r="G3074" s="2" t="s">
        <v>34</v>
      </c>
      <c r="H3074" s="2" t="s">
        <v>7161</v>
      </c>
      <c r="I3074" s="2" t="s">
        <v>4315</v>
      </c>
      <c r="J3074" s="4">
        <v>44090</v>
      </c>
      <c r="K3074" s="2" t="s">
        <v>8</v>
      </c>
      <c r="L3074" s="2" t="s">
        <v>12</v>
      </c>
      <c r="M3074" s="2" t="s">
        <v>6833</v>
      </c>
    </row>
    <row r="3075" spans="1:28">
      <c r="A3075" s="285"/>
      <c r="C3075" s="103">
        <v>195</v>
      </c>
      <c r="D3075" s="2">
        <v>29708</v>
      </c>
      <c r="E3075" s="2" t="s">
        <v>7162</v>
      </c>
      <c r="F3075" s="3">
        <v>29806140103041</v>
      </c>
      <c r="G3075" s="2" t="s">
        <v>34</v>
      </c>
      <c r="H3075" s="2" t="s">
        <v>7163</v>
      </c>
      <c r="I3075" s="2" t="s">
        <v>4315</v>
      </c>
      <c r="J3075" s="4">
        <v>44090</v>
      </c>
      <c r="K3075" s="2" t="s">
        <v>8</v>
      </c>
      <c r="L3075" s="2" t="s">
        <v>12</v>
      </c>
      <c r="M3075" s="2" t="s">
        <v>7031</v>
      </c>
    </row>
    <row r="3076" spans="1:28">
      <c r="A3076" s="285"/>
      <c r="C3076" s="103">
        <v>195</v>
      </c>
      <c r="D3076" s="2">
        <v>29709</v>
      </c>
      <c r="E3076" s="2" t="s">
        <v>7164</v>
      </c>
      <c r="F3076" s="3">
        <v>29011010202311</v>
      </c>
      <c r="G3076" s="2" t="s">
        <v>34</v>
      </c>
      <c r="H3076" s="2" t="s">
        <v>7165</v>
      </c>
      <c r="I3076" s="2" t="s">
        <v>4315</v>
      </c>
      <c r="J3076" s="4">
        <v>44090</v>
      </c>
      <c r="K3076" s="2" t="s">
        <v>8</v>
      </c>
      <c r="L3076" s="2" t="s">
        <v>12</v>
      </c>
      <c r="M3076" s="2" t="s">
        <v>7031</v>
      </c>
    </row>
    <row r="3077" spans="1:28">
      <c r="A3077" s="285"/>
      <c r="C3077" s="103">
        <v>195</v>
      </c>
      <c r="D3077" s="2">
        <v>29710</v>
      </c>
      <c r="E3077" s="2" t="s">
        <v>7166</v>
      </c>
      <c r="F3077" s="3">
        <v>29806100103188</v>
      </c>
      <c r="G3077" s="2" t="s">
        <v>34</v>
      </c>
      <c r="H3077" s="2" t="s">
        <v>7167</v>
      </c>
      <c r="I3077" s="2" t="s">
        <v>4315</v>
      </c>
      <c r="J3077" s="4">
        <v>44090</v>
      </c>
      <c r="K3077" s="2" t="s">
        <v>8</v>
      </c>
      <c r="L3077" s="2" t="s">
        <v>12</v>
      </c>
      <c r="M3077" s="2" t="s">
        <v>7031</v>
      </c>
    </row>
    <row r="3078" spans="1:28">
      <c r="A3078" s="285"/>
      <c r="C3078" s="103">
        <v>195</v>
      </c>
      <c r="D3078" s="2">
        <v>29711</v>
      </c>
      <c r="E3078" s="2" t="s">
        <v>7168</v>
      </c>
      <c r="F3078" s="3">
        <v>29606140100379</v>
      </c>
      <c r="G3078" s="2" t="s">
        <v>34</v>
      </c>
      <c r="H3078" s="2" t="s">
        <v>7169</v>
      </c>
      <c r="I3078" s="2" t="s">
        <v>4315</v>
      </c>
      <c r="J3078" s="4">
        <v>44090</v>
      </c>
      <c r="K3078" s="2" t="s">
        <v>8</v>
      </c>
      <c r="L3078" s="2" t="s">
        <v>12</v>
      </c>
      <c r="M3078" s="2" t="s">
        <v>7060</v>
      </c>
    </row>
    <row r="3079" spans="1:28">
      <c r="A3079" s="285"/>
      <c r="C3079" s="103">
        <v>195</v>
      </c>
      <c r="D3079" s="2">
        <v>29712</v>
      </c>
      <c r="E3079" s="2" t="s">
        <v>7170</v>
      </c>
      <c r="F3079" s="3">
        <v>29803110101443</v>
      </c>
      <c r="G3079" s="2" t="s">
        <v>34</v>
      </c>
      <c r="H3079" s="2" t="s">
        <v>7171</v>
      </c>
      <c r="I3079" s="2" t="s">
        <v>4315</v>
      </c>
      <c r="J3079" s="4">
        <v>44090</v>
      </c>
      <c r="K3079" s="2" t="s">
        <v>8</v>
      </c>
      <c r="L3079" s="2" t="s">
        <v>12</v>
      </c>
      <c r="M3079" s="2" t="s">
        <v>7060</v>
      </c>
    </row>
    <row r="3080" spans="1:28">
      <c r="A3080" s="285"/>
      <c r="C3080" s="103">
        <v>195</v>
      </c>
      <c r="D3080" s="2">
        <v>29713</v>
      </c>
      <c r="E3080" s="2" t="s">
        <v>7172</v>
      </c>
      <c r="F3080" s="3">
        <v>29711152106125</v>
      </c>
      <c r="G3080" s="2" t="s">
        <v>34</v>
      </c>
      <c r="H3080" s="2" t="s">
        <v>7173</v>
      </c>
      <c r="I3080" s="2" t="s">
        <v>4315</v>
      </c>
      <c r="J3080" s="4">
        <v>44090</v>
      </c>
      <c r="K3080" s="2" t="s">
        <v>8</v>
      </c>
      <c r="L3080" s="2" t="s">
        <v>12</v>
      </c>
      <c r="M3080" s="2" t="s">
        <v>6412</v>
      </c>
    </row>
    <row r="3081" spans="1:28">
      <c r="A3081" s="285"/>
      <c r="C3081" s="103">
        <v>195</v>
      </c>
      <c r="D3081" s="2">
        <v>29714</v>
      </c>
      <c r="E3081" s="2" t="s">
        <v>7174</v>
      </c>
      <c r="F3081" s="3">
        <v>29802180200612</v>
      </c>
      <c r="G3081" s="2" t="s">
        <v>34</v>
      </c>
      <c r="H3081" s="2" t="s">
        <v>7175</v>
      </c>
      <c r="I3081" s="2" t="s">
        <v>4315</v>
      </c>
      <c r="J3081" s="4">
        <v>44090</v>
      </c>
      <c r="K3081" s="2" t="s">
        <v>8</v>
      </c>
      <c r="L3081" s="2" t="s">
        <v>12</v>
      </c>
      <c r="M3081" s="2" t="s">
        <v>6957</v>
      </c>
    </row>
    <row r="3082" spans="1:28" ht="15.75" thickBot="1">
      <c r="A3082" s="286"/>
      <c r="C3082" s="28">
        <v>195</v>
      </c>
      <c r="D3082" s="28">
        <v>29715</v>
      </c>
      <c r="E3082" s="28" t="s">
        <v>7176</v>
      </c>
      <c r="F3082" s="29">
        <v>29804010102767</v>
      </c>
      <c r="G3082" s="28" t="s">
        <v>34</v>
      </c>
      <c r="H3082" s="28" t="s">
        <v>7177</v>
      </c>
      <c r="I3082" s="28" t="s">
        <v>4315</v>
      </c>
      <c r="J3082" s="30">
        <v>44090</v>
      </c>
      <c r="K3082" s="28" t="s">
        <v>8</v>
      </c>
      <c r="L3082" s="28" t="s">
        <v>12</v>
      </c>
      <c r="M3082" s="28" t="s">
        <v>6957</v>
      </c>
      <c r="N3082" s="28"/>
      <c r="O3082" s="226"/>
      <c r="P3082" s="28"/>
      <c r="Q3082" s="226"/>
      <c r="R3082" s="28"/>
      <c r="S3082" s="28"/>
      <c r="T3082" s="28"/>
      <c r="U3082" s="28"/>
      <c r="V3082" s="28"/>
      <c r="W3082" s="28"/>
      <c r="X3082" s="28"/>
      <c r="Y3082" s="30"/>
      <c r="Z3082" s="28"/>
      <c r="AA3082" s="30"/>
      <c r="AB3082" s="28"/>
    </row>
    <row r="3083" spans="1:28" ht="15.75" thickTop="1">
      <c r="A3083" s="284" t="s">
        <v>5262</v>
      </c>
      <c r="C3083" s="25">
        <v>196</v>
      </c>
      <c r="D3083" s="25">
        <v>29716</v>
      </c>
      <c r="E3083" s="25" t="s">
        <v>7178</v>
      </c>
      <c r="F3083" s="26">
        <v>29801111100464</v>
      </c>
      <c r="G3083" s="25" t="s">
        <v>34</v>
      </c>
      <c r="H3083" s="25" t="s">
        <v>7179</v>
      </c>
      <c r="I3083" s="25" t="s">
        <v>4315</v>
      </c>
      <c r="J3083" s="27">
        <v>44094</v>
      </c>
      <c r="K3083" s="25" t="s">
        <v>8</v>
      </c>
      <c r="L3083" s="25" t="s">
        <v>12</v>
      </c>
      <c r="M3083" s="25" t="s">
        <v>6599</v>
      </c>
      <c r="N3083" s="25"/>
      <c r="O3083" s="224"/>
      <c r="P3083" s="25"/>
      <c r="Q3083" s="224"/>
      <c r="R3083" s="25"/>
      <c r="S3083" s="25"/>
      <c r="T3083" s="25"/>
      <c r="U3083" s="25"/>
      <c r="V3083" s="25"/>
      <c r="W3083" s="25"/>
      <c r="X3083" s="25"/>
      <c r="Y3083" s="27"/>
      <c r="Z3083" s="25"/>
      <c r="AA3083" s="27"/>
      <c r="AB3083" s="25"/>
    </row>
    <row r="3084" spans="1:28">
      <c r="A3084" s="285"/>
      <c r="C3084" s="25">
        <v>196</v>
      </c>
      <c r="D3084" s="2">
        <v>29717</v>
      </c>
      <c r="E3084" s="2" t="s">
        <v>7180</v>
      </c>
      <c r="F3084" s="3">
        <v>29301218800385</v>
      </c>
      <c r="G3084" s="2" t="s">
        <v>34</v>
      </c>
      <c r="H3084" s="2" t="s">
        <v>7181</v>
      </c>
      <c r="I3084" s="2" t="s">
        <v>4315</v>
      </c>
      <c r="J3084" s="4">
        <v>44094</v>
      </c>
      <c r="K3084" s="2" t="s">
        <v>8</v>
      </c>
      <c r="L3084" s="2" t="s">
        <v>12</v>
      </c>
      <c r="M3084" s="2" t="s">
        <v>6599</v>
      </c>
    </row>
    <row r="3085" spans="1:28">
      <c r="A3085" s="285"/>
      <c r="C3085" s="25">
        <v>196</v>
      </c>
      <c r="D3085" s="2">
        <v>29718</v>
      </c>
      <c r="E3085" s="2" t="s">
        <v>7182</v>
      </c>
      <c r="F3085" s="3">
        <v>29801280100724</v>
      </c>
      <c r="G3085" s="2" t="s">
        <v>34</v>
      </c>
      <c r="H3085" s="2" t="s">
        <v>7183</v>
      </c>
      <c r="I3085" s="2" t="s">
        <v>4315</v>
      </c>
      <c r="J3085" s="4">
        <v>44094</v>
      </c>
      <c r="K3085" s="2" t="s">
        <v>8</v>
      </c>
      <c r="L3085" s="2" t="s">
        <v>12</v>
      </c>
      <c r="M3085" s="2" t="s">
        <v>6599</v>
      </c>
    </row>
    <row r="3086" spans="1:28">
      <c r="A3086" s="285"/>
      <c r="C3086" s="25">
        <v>196</v>
      </c>
      <c r="D3086" s="2">
        <v>29719</v>
      </c>
      <c r="E3086" s="2" t="s">
        <v>6448</v>
      </c>
      <c r="F3086" s="3">
        <v>29707021600291</v>
      </c>
      <c r="G3086" s="2" t="s">
        <v>34</v>
      </c>
      <c r="H3086" s="2" t="s">
        <v>7184</v>
      </c>
      <c r="I3086" s="2" t="s">
        <v>4315</v>
      </c>
      <c r="J3086" s="4">
        <v>44094</v>
      </c>
      <c r="K3086" s="2" t="s">
        <v>8</v>
      </c>
      <c r="L3086" s="2" t="s">
        <v>12</v>
      </c>
      <c r="M3086" s="2" t="s">
        <v>4257</v>
      </c>
    </row>
    <row r="3087" spans="1:28">
      <c r="A3087" s="285"/>
      <c r="C3087" s="25">
        <v>196</v>
      </c>
      <c r="D3087" s="2">
        <v>29720</v>
      </c>
      <c r="E3087" s="2" t="s">
        <v>7185</v>
      </c>
      <c r="F3087" s="3">
        <v>29701090103439</v>
      </c>
      <c r="G3087" s="2" t="s">
        <v>34</v>
      </c>
      <c r="H3087" s="2" t="s">
        <v>7186</v>
      </c>
      <c r="I3087" s="2" t="s">
        <v>4315</v>
      </c>
      <c r="J3087" s="4">
        <v>44094</v>
      </c>
      <c r="K3087" s="2" t="s">
        <v>8</v>
      </c>
      <c r="L3087" s="2" t="s">
        <v>12</v>
      </c>
      <c r="M3087" s="2" t="s">
        <v>6599</v>
      </c>
    </row>
    <row r="3088" spans="1:28">
      <c r="A3088" s="285"/>
      <c r="C3088" s="25">
        <v>196</v>
      </c>
      <c r="D3088" s="2">
        <v>29721</v>
      </c>
      <c r="E3088" s="2" t="s">
        <v>7187</v>
      </c>
      <c r="F3088" s="3">
        <v>29703102103581</v>
      </c>
      <c r="G3088" s="2" t="s">
        <v>34</v>
      </c>
      <c r="H3088" s="2" t="s">
        <v>7188</v>
      </c>
      <c r="I3088" s="2" t="s">
        <v>4315</v>
      </c>
      <c r="J3088" s="4">
        <v>44094</v>
      </c>
      <c r="K3088" s="2" t="s">
        <v>8</v>
      </c>
      <c r="L3088" s="2" t="s">
        <v>12</v>
      </c>
      <c r="M3088" s="2" t="s">
        <v>7055</v>
      </c>
    </row>
    <row r="3089" spans="1:28">
      <c r="A3089" s="285"/>
      <c r="C3089" s="25">
        <v>196</v>
      </c>
      <c r="D3089" s="2">
        <v>29722</v>
      </c>
      <c r="E3089" s="2" t="s">
        <v>7189</v>
      </c>
      <c r="F3089" s="3">
        <v>29806260103354</v>
      </c>
      <c r="G3089" s="2" t="s">
        <v>34</v>
      </c>
      <c r="H3089" s="2" t="s">
        <v>7190</v>
      </c>
      <c r="I3089" s="2" t="s">
        <v>4315</v>
      </c>
      <c r="J3089" s="4">
        <v>44094</v>
      </c>
      <c r="K3089" s="2" t="s">
        <v>8</v>
      </c>
      <c r="L3089" s="2" t="s">
        <v>12</v>
      </c>
      <c r="M3089" s="2" t="s">
        <v>7063</v>
      </c>
    </row>
    <row r="3090" spans="1:28">
      <c r="A3090" s="285"/>
      <c r="C3090" s="25">
        <v>196</v>
      </c>
      <c r="D3090" s="2">
        <v>29723</v>
      </c>
      <c r="E3090" s="2" t="s">
        <v>7191</v>
      </c>
      <c r="F3090" s="3">
        <v>29402100100771</v>
      </c>
      <c r="G3090" s="2" t="s">
        <v>34</v>
      </c>
      <c r="H3090" s="2" t="s">
        <v>7192</v>
      </c>
      <c r="I3090" s="2" t="s">
        <v>4315</v>
      </c>
      <c r="J3090" s="4">
        <v>44094</v>
      </c>
      <c r="K3090" s="2" t="s">
        <v>8</v>
      </c>
      <c r="L3090" s="2" t="s">
        <v>12</v>
      </c>
      <c r="M3090" s="2" t="s">
        <v>6463</v>
      </c>
    </row>
    <row r="3091" spans="1:28">
      <c r="A3091" s="285"/>
      <c r="C3091" s="25">
        <v>196</v>
      </c>
      <c r="D3091" s="2">
        <v>29724</v>
      </c>
      <c r="E3091" s="2" t="s">
        <v>7193</v>
      </c>
      <c r="F3091" s="3">
        <v>29607170400055</v>
      </c>
      <c r="G3091" s="2" t="s">
        <v>34</v>
      </c>
      <c r="H3091" s="2" t="s">
        <v>7194</v>
      </c>
      <c r="I3091" s="2" t="s">
        <v>4315</v>
      </c>
      <c r="J3091" s="4">
        <v>44094</v>
      </c>
      <c r="K3091" s="2" t="s">
        <v>8</v>
      </c>
      <c r="L3091" s="2" t="s">
        <v>12</v>
      </c>
      <c r="M3091" s="2" t="s">
        <v>7195</v>
      </c>
    </row>
    <row r="3092" spans="1:28">
      <c r="A3092" s="285"/>
      <c r="C3092" s="25">
        <v>196</v>
      </c>
      <c r="D3092" s="2">
        <v>29725</v>
      </c>
      <c r="E3092" s="2" t="s">
        <v>7196</v>
      </c>
      <c r="F3092" s="3">
        <v>29806072103363</v>
      </c>
      <c r="G3092" s="2" t="s">
        <v>34</v>
      </c>
      <c r="H3092" s="2" t="s">
        <v>7197</v>
      </c>
      <c r="I3092" s="2" t="s">
        <v>4315</v>
      </c>
      <c r="J3092" s="4">
        <v>44094</v>
      </c>
      <c r="K3092" s="2" t="s">
        <v>8</v>
      </c>
      <c r="L3092" s="2" t="s">
        <v>12</v>
      </c>
      <c r="M3092" s="2" t="s">
        <v>6599</v>
      </c>
    </row>
    <row r="3093" spans="1:28">
      <c r="A3093" s="285"/>
      <c r="C3093" s="25">
        <v>196</v>
      </c>
      <c r="D3093" s="2">
        <v>29726</v>
      </c>
      <c r="E3093" s="2" t="s">
        <v>7198</v>
      </c>
      <c r="F3093" s="3">
        <v>29808140104406</v>
      </c>
      <c r="G3093" s="2" t="s">
        <v>34</v>
      </c>
      <c r="H3093" s="2" t="s">
        <v>7199</v>
      </c>
      <c r="I3093" s="2" t="s">
        <v>4315</v>
      </c>
      <c r="J3093" s="4">
        <v>44094</v>
      </c>
      <c r="K3093" s="2" t="s">
        <v>8</v>
      </c>
      <c r="L3093" s="2" t="s">
        <v>12</v>
      </c>
      <c r="M3093" s="2" t="s">
        <v>7195</v>
      </c>
    </row>
    <row r="3094" spans="1:28">
      <c r="A3094" s="285"/>
      <c r="C3094" s="25">
        <v>196</v>
      </c>
      <c r="D3094" s="2">
        <v>29727</v>
      </c>
      <c r="E3094" s="2" t="s">
        <v>7200</v>
      </c>
      <c r="F3094" s="3">
        <v>29412060103297</v>
      </c>
      <c r="G3094" s="2" t="s">
        <v>34</v>
      </c>
      <c r="H3094" s="2" t="s">
        <v>7201</v>
      </c>
      <c r="I3094" s="2" t="s">
        <v>4315</v>
      </c>
      <c r="J3094" s="4">
        <v>44094</v>
      </c>
      <c r="K3094" s="2" t="s">
        <v>8</v>
      </c>
      <c r="L3094" s="2" t="s">
        <v>12</v>
      </c>
      <c r="M3094" s="2" t="s">
        <v>6463</v>
      </c>
    </row>
    <row r="3095" spans="1:28">
      <c r="A3095" s="285"/>
      <c r="C3095" s="25">
        <v>196</v>
      </c>
      <c r="D3095" s="2">
        <v>29728</v>
      </c>
      <c r="E3095" s="2" t="s">
        <v>7202</v>
      </c>
      <c r="F3095" s="3">
        <v>29701190104165</v>
      </c>
      <c r="G3095" s="2" t="s">
        <v>34</v>
      </c>
      <c r="H3095" s="2" t="s">
        <v>7203</v>
      </c>
      <c r="I3095" s="2" t="s">
        <v>4315</v>
      </c>
      <c r="J3095" s="4">
        <v>44094</v>
      </c>
      <c r="K3095" s="2" t="s">
        <v>8</v>
      </c>
      <c r="L3095" s="2" t="s">
        <v>12</v>
      </c>
      <c r="M3095" s="2" t="s">
        <v>7066</v>
      </c>
    </row>
    <row r="3096" spans="1:28">
      <c r="A3096" s="285"/>
      <c r="C3096" s="25">
        <v>196</v>
      </c>
      <c r="D3096" s="2">
        <v>29729</v>
      </c>
      <c r="E3096" s="2" t="s">
        <v>7204</v>
      </c>
      <c r="F3096" s="3">
        <v>29504168800255</v>
      </c>
      <c r="G3096" s="2" t="s">
        <v>34</v>
      </c>
      <c r="H3096" s="2" t="s">
        <v>7205</v>
      </c>
      <c r="I3096" s="2" t="s">
        <v>4315</v>
      </c>
      <c r="J3096" s="4">
        <v>44094</v>
      </c>
      <c r="K3096" s="2" t="s">
        <v>8</v>
      </c>
      <c r="L3096" s="2" t="s">
        <v>12</v>
      </c>
      <c r="M3096" s="2" t="s">
        <v>5982</v>
      </c>
    </row>
    <row r="3097" spans="1:28">
      <c r="A3097" s="285"/>
      <c r="C3097" s="25">
        <v>196</v>
      </c>
      <c r="D3097" s="2">
        <v>29730</v>
      </c>
      <c r="E3097" s="2" t="s">
        <v>7206</v>
      </c>
      <c r="F3097" s="3">
        <v>29710012111386</v>
      </c>
      <c r="G3097" s="2" t="s">
        <v>34</v>
      </c>
      <c r="H3097" s="2" t="s">
        <v>7207</v>
      </c>
      <c r="I3097" s="2" t="s">
        <v>4315</v>
      </c>
      <c r="J3097" s="4">
        <v>44094</v>
      </c>
      <c r="K3097" s="2" t="s">
        <v>8</v>
      </c>
      <c r="L3097" s="2" t="s">
        <v>12</v>
      </c>
      <c r="M3097" s="2" t="s">
        <v>5942</v>
      </c>
    </row>
    <row r="3098" spans="1:28" ht="15.75" thickBot="1">
      <c r="A3098" s="286"/>
      <c r="C3098" s="28">
        <v>196</v>
      </c>
      <c r="D3098" s="28">
        <v>29731</v>
      </c>
      <c r="E3098" s="28" t="s">
        <v>7208</v>
      </c>
      <c r="F3098" s="29">
        <v>29608030101801</v>
      </c>
      <c r="G3098" s="28" t="s">
        <v>34</v>
      </c>
      <c r="H3098" s="28" t="s">
        <v>7209</v>
      </c>
      <c r="I3098" s="28" t="s">
        <v>4315</v>
      </c>
      <c r="J3098" s="30">
        <v>44094</v>
      </c>
      <c r="K3098" s="28" t="s">
        <v>8</v>
      </c>
      <c r="L3098" s="28" t="s">
        <v>12</v>
      </c>
      <c r="M3098" s="28" t="s">
        <v>6957</v>
      </c>
      <c r="N3098" s="28"/>
      <c r="O3098" s="226"/>
      <c r="P3098" s="28"/>
      <c r="Q3098" s="226"/>
      <c r="R3098" s="28"/>
      <c r="S3098" s="28"/>
      <c r="T3098" s="28"/>
      <c r="U3098" s="28"/>
      <c r="V3098" s="28"/>
      <c r="W3098" s="28"/>
      <c r="X3098" s="28"/>
      <c r="Y3098" s="30"/>
      <c r="Z3098" s="28"/>
      <c r="AA3098" s="30"/>
      <c r="AB3098" s="28"/>
    </row>
    <row r="3099" spans="1:28" ht="15.75" thickTop="1">
      <c r="C3099" s="25"/>
      <c r="D3099" s="25"/>
      <c r="E3099" s="25"/>
      <c r="F3099" s="26"/>
      <c r="G3099" s="25"/>
      <c r="H3099" s="25"/>
      <c r="I3099" s="25"/>
      <c r="J3099" s="27"/>
      <c r="K3099" s="25"/>
      <c r="L3099" s="25"/>
      <c r="M3099" s="25"/>
      <c r="N3099" s="25"/>
      <c r="O3099" s="224"/>
      <c r="P3099" s="25"/>
      <c r="Q3099" s="224"/>
      <c r="R3099" s="25"/>
      <c r="S3099" s="25"/>
      <c r="T3099" s="25"/>
      <c r="U3099" s="25"/>
      <c r="V3099" s="25"/>
      <c r="W3099" s="25"/>
      <c r="X3099" s="25"/>
      <c r="Y3099" s="27"/>
      <c r="Z3099" s="25"/>
      <c r="AA3099" s="27"/>
      <c r="AB3099" s="25"/>
    </row>
  </sheetData>
  <protectedRanges>
    <protectedRange sqref="G160 G171" name="Range1"/>
    <protectedRange sqref="G146:G159" name="Range1_1"/>
    <protectedRange sqref="H146:H160" name="Range1_2"/>
  </protectedRanges>
  <autoFilter ref="C1:AB3098"/>
  <sortState ref="C2:Y1638">
    <sortCondition ref="D1"/>
  </sortState>
  <mergeCells count="348">
    <mergeCell ref="A2506:A2515"/>
    <mergeCell ref="A2916:A2925"/>
    <mergeCell ref="A2243:A2252"/>
    <mergeCell ref="A1721:A1735"/>
    <mergeCell ref="A2851:A2857"/>
    <mergeCell ref="A2813:A2820"/>
    <mergeCell ref="A2787:A2795"/>
    <mergeCell ref="A2796:A2803"/>
    <mergeCell ref="A2804:A2812"/>
    <mergeCell ref="A1844:A1858"/>
    <mergeCell ref="A1830:A1843"/>
    <mergeCell ref="A2136:A2151"/>
    <mergeCell ref="A2043:A2059"/>
    <mergeCell ref="A2013:A2027"/>
    <mergeCell ref="A2483:A2491"/>
    <mergeCell ref="A1964:A1977"/>
    <mergeCell ref="A1978:A1994"/>
    <mergeCell ref="A2297:A2312"/>
    <mergeCell ref="A2280:A2296"/>
    <mergeCell ref="A2323:A2335"/>
    <mergeCell ref="A2216:A2230"/>
    <mergeCell ref="A2152:A2165"/>
    <mergeCell ref="A2361:A2377"/>
    <mergeCell ref="A2440:A2441"/>
    <mergeCell ref="A1203:A1217"/>
    <mergeCell ref="A1787:A1801"/>
    <mergeCell ref="A1768:A1786"/>
    <mergeCell ref="A1753:A1767"/>
    <mergeCell ref="A1249:A1260"/>
    <mergeCell ref="A2657:A2669"/>
    <mergeCell ref="A2184:A2200"/>
    <mergeCell ref="A2166:A2183"/>
    <mergeCell ref="A2268:A2279"/>
    <mergeCell ref="A2526:A2539"/>
    <mergeCell ref="A1871:A1883"/>
    <mergeCell ref="A1891:A1903"/>
    <mergeCell ref="A1884:A1890"/>
    <mergeCell ref="A1995:A2012"/>
    <mergeCell ref="A2105:A2118"/>
    <mergeCell ref="A2120:A2135"/>
    <mergeCell ref="A2345:A2360"/>
    <mergeCell ref="A2336:A2344"/>
    <mergeCell ref="A2060:A2074"/>
    <mergeCell ref="A2075:A2089"/>
    <mergeCell ref="A2028:A2042"/>
    <mergeCell ref="A1922:A1937"/>
    <mergeCell ref="A2469:A2482"/>
    <mergeCell ref="A2516:A2525"/>
    <mergeCell ref="A1459:A1474"/>
    <mergeCell ref="A1475:A1485"/>
    <mergeCell ref="A1486:A1500"/>
    <mergeCell ref="A1584:A1598"/>
    <mergeCell ref="A1599:A1609"/>
    <mergeCell ref="A1638:A1652"/>
    <mergeCell ref="A1653:A1667"/>
    <mergeCell ref="A1859:A1870"/>
    <mergeCell ref="A1816:A1829"/>
    <mergeCell ref="A1736:A1752"/>
    <mergeCell ref="A1802:A1815"/>
    <mergeCell ref="A1623:A1637"/>
    <mergeCell ref="A1555:A1565"/>
    <mergeCell ref="A1501:A1517"/>
    <mergeCell ref="A1712:A1720"/>
    <mergeCell ref="A1668:A1677"/>
    <mergeCell ref="A1695:A1711"/>
    <mergeCell ref="A1678:A1694"/>
    <mergeCell ref="A789:A799"/>
    <mergeCell ref="A902:A912"/>
    <mergeCell ref="A913:A921"/>
    <mergeCell ref="A1172:A1187"/>
    <mergeCell ref="A1158:A1171"/>
    <mergeCell ref="A777:A788"/>
    <mergeCell ref="A822:A833"/>
    <mergeCell ref="A834:A849"/>
    <mergeCell ref="A1025:A1032"/>
    <mergeCell ref="A1033:A1044"/>
    <mergeCell ref="A1045:A1059"/>
    <mergeCell ref="A1104:A1121"/>
    <mergeCell ref="A1122:A1139"/>
    <mergeCell ref="A978:A985"/>
    <mergeCell ref="A986:A992"/>
    <mergeCell ref="A922:A933"/>
    <mergeCell ref="A1140:A1157"/>
    <mergeCell ref="A993:A1008"/>
    <mergeCell ref="A850:A860"/>
    <mergeCell ref="A861:A866"/>
    <mergeCell ref="A867:A877"/>
    <mergeCell ref="A878:A890"/>
    <mergeCell ref="A946:A954"/>
    <mergeCell ref="A1009:A1024"/>
    <mergeCell ref="A234:A251"/>
    <mergeCell ref="A252:A269"/>
    <mergeCell ref="A361:A378"/>
    <mergeCell ref="A379:A392"/>
    <mergeCell ref="A767:A776"/>
    <mergeCell ref="A758:A766"/>
    <mergeCell ref="A537:A550"/>
    <mergeCell ref="A551:A571"/>
    <mergeCell ref="A716:A726"/>
    <mergeCell ref="A727:A742"/>
    <mergeCell ref="A743:A757"/>
    <mergeCell ref="A654:A668"/>
    <mergeCell ref="A587:A599"/>
    <mergeCell ref="A600:A620"/>
    <mergeCell ref="A621:A637"/>
    <mergeCell ref="A638:A653"/>
    <mergeCell ref="A701:A715"/>
    <mergeCell ref="A669:A679"/>
    <mergeCell ref="A680:A689"/>
    <mergeCell ref="A690:A700"/>
    <mergeCell ref="A503:A519"/>
    <mergeCell ref="A482:A502"/>
    <mergeCell ref="A520:A536"/>
    <mergeCell ref="A572:A586"/>
    <mergeCell ref="A428:A446"/>
    <mergeCell ref="A447:A466"/>
    <mergeCell ref="A467:A481"/>
    <mergeCell ref="AE166:AG166"/>
    <mergeCell ref="AD172:AE172"/>
    <mergeCell ref="AG172:AH172"/>
    <mergeCell ref="AD175:AE175"/>
    <mergeCell ref="AG175:AH175"/>
    <mergeCell ref="AD173:AE173"/>
    <mergeCell ref="AG173:AH173"/>
    <mergeCell ref="AD176:AE176"/>
    <mergeCell ref="A165:A180"/>
    <mergeCell ref="A393:A408"/>
    <mergeCell ref="A409:A427"/>
    <mergeCell ref="AG176:AH176"/>
    <mergeCell ref="AE165:AG165"/>
    <mergeCell ref="A342:A360"/>
    <mergeCell ref="A287:A304"/>
    <mergeCell ref="A181:A200"/>
    <mergeCell ref="A201:A219"/>
    <mergeCell ref="A220:A233"/>
    <mergeCell ref="A270:A286"/>
    <mergeCell ref="A324:A341"/>
    <mergeCell ref="A305:A323"/>
    <mergeCell ref="AE168:AG168"/>
    <mergeCell ref="AE170:AG170"/>
    <mergeCell ref="AE163:AG163"/>
    <mergeCell ref="AE167:AG167"/>
    <mergeCell ref="AE169:AG169"/>
    <mergeCell ref="AE150:AG150"/>
    <mergeCell ref="AE151:AG151"/>
    <mergeCell ref="AG153:AH153"/>
    <mergeCell ref="AG154:AH154"/>
    <mergeCell ref="AE158:AG158"/>
    <mergeCell ref="AE159:AG159"/>
    <mergeCell ref="AE162:AG162"/>
    <mergeCell ref="AE164:AG164"/>
    <mergeCell ref="AE161:AG161"/>
    <mergeCell ref="AD147:AE147"/>
    <mergeCell ref="AD148:AE148"/>
    <mergeCell ref="AD153:AE153"/>
    <mergeCell ref="AD154:AE154"/>
    <mergeCell ref="AD157:AG157"/>
    <mergeCell ref="A2:A17"/>
    <mergeCell ref="A18:A30"/>
    <mergeCell ref="A31:A43"/>
    <mergeCell ref="A44:A62"/>
    <mergeCell ref="A63:A78"/>
    <mergeCell ref="A79:A91"/>
    <mergeCell ref="A92:A104"/>
    <mergeCell ref="A105:A116"/>
    <mergeCell ref="A117:A123"/>
    <mergeCell ref="A124:A134"/>
    <mergeCell ref="A135:A145"/>
    <mergeCell ref="A146:A156"/>
    <mergeCell ref="A157:A164"/>
    <mergeCell ref="AG147:AH147"/>
    <mergeCell ref="AG148:AH148"/>
    <mergeCell ref="AE160:AG160"/>
    <mergeCell ref="A1089:A1103"/>
    <mergeCell ref="A1305:A1315"/>
    <mergeCell ref="A1261:A1274"/>
    <mergeCell ref="A1275:A1288"/>
    <mergeCell ref="AD1505:AE1505"/>
    <mergeCell ref="AD1430:AE1430"/>
    <mergeCell ref="A1188:A1202"/>
    <mergeCell ref="AD1426:AI1426"/>
    <mergeCell ref="A1218:A1232"/>
    <mergeCell ref="A1289:A1304"/>
    <mergeCell ref="A1233:A1248"/>
    <mergeCell ref="AG1505:AH1505"/>
    <mergeCell ref="AE1436:AG1436"/>
    <mergeCell ref="A1374:A1385"/>
    <mergeCell ref="A1386:A1397"/>
    <mergeCell ref="AD1317:AE1317"/>
    <mergeCell ref="A1398:A1409"/>
    <mergeCell ref="A1410:A1425"/>
    <mergeCell ref="A1316:A1332"/>
    <mergeCell ref="A1333:A1343"/>
    <mergeCell ref="A1344:A1358"/>
    <mergeCell ref="A1359:A1373"/>
    <mergeCell ref="A1426:A1442"/>
    <mergeCell ref="A1443:A1458"/>
    <mergeCell ref="AG1627:AH1627"/>
    <mergeCell ref="AG1628:AH1628"/>
    <mergeCell ref="A1518:A1528"/>
    <mergeCell ref="A1529:A1545"/>
    <mergeCell ref="AD1630:AE1630"/>
    <mergeCell ref="AG1630:AH1630"/>
    <mergeCell ref="AD1631:AE1631"/>
    <mergeCell ref="AG1631:AH1631"/>
    <mergeCell ref="AG1506:AH1506"/>
    <mergeCell ref="AD1508:AE1508"/>
    <mergeCell ref="AD1506:AE1506"/>
    <mergeCell ref="A891:A901"/>
    <mergeCell ref="A813:A821"/>
    <mergeCell ref="A800:A812"/>
    <mergeCell ref="A1566:A1583"/>
    <mergeCell ref="A1610:A1622"/>
    <mergeCell ref="AD1623:AI1623"/>
    <mergeCell ref="A1546:A1554"/>
    <mergeCell ref="AG1508:AH1508"/>
    <mergeCell ref="AD1509:AE1509"/>
    <mergeCell ref="AG1509:AH1509"/>
    <mergeCell ref="AG1430:AH1430"/>
    <mergeCell ref="A934:A945"/>
    <mergeCell ref="A955:A966"/>
    <mergeCell ref="A967:A977"/>
    <mergeCell ref="AE1437:AG1437"/>
    <mergeCell ref="AD1501:AI1501"/>
    <mergeCell ref="AD1431:AE1431"/>
    <mergeCell ref="AG1431:AH1431"/>
    <mergeCell ref="AD1433:AE1433"/>
    <mergeCell ref="AG1433:AH1433"/>
    <mergeCell ref="AD1434:AE1434"/>
    <mergeCell ref="AG1434:AH1434"/>
    <mergeCell ref="A1060:A1073"/>
    <mergeCell ref="A1074:A1088"/>
    <mergeCell ref="AD1794:AE1794"/>
    <mergeCell ref="AG1794:AH1794"/>
    <mergeCell ref="AD1720:AE1720"/>
    <mergeCell ref="AG1720:AH1720"/>
    <mergeCell ref="AE1511:AG1511"/>
    <mergeCell ref="AE1512:AG1512"/>
    <mergeCell ref="AD1717:AE1717"/>
    <mergeCell ref="AG1717:AH1717"/>
    <mergeCell ref="AD1719:AE1719"/>
    <mergeCell ref="AG1719:AH1719"/>
    <mergeCell ref="AD1627:AE1627"/>
    <mergeCell ref="AE1633:AG1633"/>
    <mergeCell ref="AE1634:AG1634"/>
    <mergeCell ref="AD1712:AI1712"/>
    <mergeCell ref="AD1716:AE1716"/>
    <mergeCell ref="AE1722:AG1722"/>
    <mergeCell ref="AE1723:AG1723"/>
    <mergeCell ref="AD1787:AI1787"/>
    <mergeCell ref="AD1791:AE1791"/>
    <mergeCell ref="AG1791:AH1791"/>
    <mergeCell ref="AD1792:AE1792"/>
    <mergeCell ref="AG1792:AH1792"/>
    <mergeCell ref="AG1716:AH1716"/>
    <mergeCell ref="AD1628:AE1628"/>
    <mergeCell ref="AD1795:AE1795"/>
    <mergeCell ref="AG1795:AH1795"/>
    <mergeCell ref="AE1797:AG1797"/>
    <mergeCell ref="AE1798:AG1798"/>
    <mergeCell ref="AE1800:AG1800"/>
    <mergeCell ref="AE1801:AG1801"/>
    <mergeCell ref="AD1859:AI1859"/>
    <mergeCell ref="AD1863:AE1863"/>
    <mergeCell ref="AG1863:AH1863"/>
    <mergeCell ref="A2493:A2505"/>
    <mergeCell ref="A2442:A2455"/>
    <mergeCell ref="A2415:A2427"/>
    <mergeCell ref="A2404:A2414"/>
    <mergeCell ref="AD1864:AE1864"/>
    <mergeCell ref="AG1864:AH1864"/>
    <mergeCell ref="AD1866:AE1866"/>
    <mergeCell ref="AG1866:AH1866"/>
    <mergeCell ref="AD1867:AE1867"/>
    <mergeCell ref="AG1867:AH1867"/>
    <mergeCell ref="AE1869:AG1869"/>
    <mergeCell ref="AE1870:AG1870"/>
    <mergeCell ref="AE1872:AG1872"/>
    <mergeCell ref="A2253:A2267"/>
    <mergeCell ref="A2313:A2322"/>
    <mergeCell ref="A2540:A2552"/>
    <mergeCell ref="A2456:A2468"/>
    <mergeCell ref="A2428:A2439"/>
    <mergeCell ref="A2767:A2777"/>
    <mergeCell ref="AE1873:AG1873"/>
    <mergeCell ref="AD1904:AI1904"/>
    <mergeCell ref="AD1908:AE1908"/>
    <mergeCell ref="AG1908:AH1908"/>
    <mergeCell ref="AD1909:AE1909"/>
    <mergeCell ref="AG1909:AH1909"/>
    <mergeCell ref="AD1911:AE1911"/>
    <mergeCell ref="AG1911:AH1911"/>
    <mergeCell ref="AD1912:AE1912"/>
    <mergeCell ref="AG1912:AH1912"/>
    <mergeCell ref="AE1914:AG1914"/>
    <mergeCell ref="AE1915:AG1915"/>
    <mergeCell ref="AE1917:AG1917"/>
    <mergeCell ref="AE1918:AG1918"/>
    <mergeCell ref="A1954:A1963"/>
    <mergeCell ref="A1938:A1953"/>
    <mergeCell ref="A1904:A1921"/>
    <mergeCell ref="A2090:A2104"/>
    <mergeCell ref="A2201:A2215"/>
    <mergeCell ref="A2231:A2241"/>
    <mergeCell ref="A2830:A2839"/>
    <mergeCell ref="A2840:A2850"/>
    <mergeCell ref="A2926:A2936"/>
    <mergeCell ref="A2821:A2829"/>
    <mergeCell ref="A2778:A2786"/>
    <mergeCell ref="A2751:A2766"/>
    <mergeCell ref="A2743:A2750"/>
    <mergeCell ref="A2378:A2388"/>
    <mergeCell ref="A2389:A2403"/>
    <mergeCell ref="A2693:A2708"/>
    <mergeCell ref="A2734:A2742"/>
    <mergeCell ref="A2723:A2733"/>
    <mergeCell ref="A2720:A2722"/>
    <mergeCell ref="A2709:A2719"/>
    <mergeCell ref="A2619:A2632"/>
    <mergeCell ref="A2633:A2644"/>
    <mergeCell ref="A2670:A2681"/>
    <mergeCell ref="A2682:A2692"/>
    <mergeCell ref="A2608:A2618"/>
    <mergeCell ref="A2645:A2656"/>
    <mergeCell ref="A2569:A2578"/>
    <mergeCell ref="A2580:A2591"/>
    <mergeCell ref="A2592:A2607"/>
    <mergeCell ref="A2554:A2568"/>
    <mergeCell ref="A2858:A2868"/>
    <mergeCell ref="A2869:A2880"/>
    <mergeCell ref="A2881:A2892"/>
    <mergeCell ref="A2893:A2900"/>
    <mergeCell ref="A2901:A2912"/>
    <mergeCell ref="A2913:A2914"/>
    <mergeCell ref="A2968:A2981"/>
    <mergeCell ref="A2956:A2967"/>
    <mergeCell ref="A3008:A3023"/>
    <mergeCell ref="A3051:A3060"/>
    <mergeCell ref="A3061:A3072"/>
    <mergeCell ref="A3073:A3082"/>
    <mergeCell ref="A3083:A3098"/>
    <mergeCell ref="A3039:A3050"/>
    <mergeCell ref="A2982:A2983"/>
    <mergeCell ref="A2984:A2995"/>
    <mergeCell ref="A2996:A3007"/>
    <mergeCell ref="A2937:A2948"/>
    <mergeCell ref="A2949:A2955"/>
    <mergeCell ref="A3024:A3038"/>
  </mergeCells>
  <conditionalFormatting sqref="J268">
    <cfRule type="expression" dxfId="2609" priority="6163">
      <formula>$E268=#REF!</formula>
    </cfRule>
  </conditionalFormatting>
  <conditionalFormatting sqref="X181:X199 X201:X218 X252 X305:X322 X324:X340 X342:X359 X467:X480 X482:X501 X503:X518 X537:X549 X572:X585 X621:X636 X690:X699 X716:X725 X727:X741 X743:X756 X758:X765 X767:X775 X789:X798 X800:X811 X813:X820 X822:X832 X834:X848 X850:X859 X861:X865 X891:X900 X902:X911 X913:X920 X922:X932 X946:X953 X967:X976 X978:X984 X986:X991 X1025:X1031 X1060:X1072 X1074:X1087 X1089:X1102 X1172:X1186 X1203:X1216 X1218:X1231 X1233:X1247 X1249:X1259 X1261:X1273 X1275:X1287 X1289:X1303 X1305:X1314 X1316:X1331 X1333:X1342 X1344:X1357 X1359:X1372 X1374:X1384 X1386:X1396 X1398:X1408 X1410:X1424 X1426:X1441 X1475:X1484 X1501:X1510 X361:X377 X379:X391 X393:X407 X1512:X1519 X1104:X1120 X1122:X1138 X1140:X1156 X1158:X1170 X1188:X1201 X409:X426 X428:X445 X1443:X1457 X1459:X1473 X1486:X1499 X447:X465 X551:X570 X587:X598 X600:X619 X638:X652 X654:X667 X669:X678 X680:X688 X701:X714 X777:X787 X867:X876 X878:X889 X955:X965 X934:X944 X993:X1007 X1009:X1023 X1033:X1043 X1045:X1058 X520:X535 X165:X179 X254:X268 X270:X303 X220:X230 X232:X250 X2:X163 X1652:X1669 X1521:X1650 X1673:X1677 X1680:X1681 X1684:X1685 X1687:X1688 X1690 X1692:X1959 X1961:X2104 X2106:X2107 X2109 X2111 X2113 X2115:X2242 X2268:X2789 X2792:X2812 X2814:X2816 X2818:X2829 X2831 X2833 X2835:X2848 X2850:X2960 X2962:X1048576">
    <cfRule type="containsText" dxfId="2608" priority="6158" operator="containsText" text="Dismissed">
      <formula>NOT(ISERROR(SEARCH("Dismissed",X2)))</formula>
    </cfRule>
  </conditionalFormatting>
  <conditionalFormatting sqref="J257:J267">
    <cfRule type="expression" dxfId="2607" priority="6156">
      <formula>$E257=#REF!</formula>
    </cfRule>
  </conditionalFormatting>
  <conditionalFormatting sqref="J276:J291">
    <cfRule type="expression" dxfId="2606" priority="6155">
      <formula>$E276=#REF!</formula>
    </cfRule>
  </conditionalFormatting>
  <conditionalFormatting sqref="X181:X199 X201:X218 X252 X305:X322 X324:X340 X342:X359 X409:X426 X428:X445 X467:X480 X482:X501 X503:X518 X520:X535 X537:X549 X551:X570 X572:X585 X587:X598 X621:X636 X690:X699 X701:X714 X716:X725 X727:X741 X743:X756 X758:X765 X767:X775 X789:X798 X800:X811 X813:X820 X822:X832 X834:X848 X850:X859 X861:X865 X867:X876 X878:X889 X891:X900 X902:X911 X913:X920 X922:X932 X946:X953 X955:X965 X967:X976 X978:X984 X986:X991 X993:X1007 X1009:X1023 X1025:X1031 X1033:X1043 X1045:X1058 X1060:X1072 X1074:X1087 X1089:X1102 X1158:X1170 X1172:X1186 X1203:X1216 X1218:X1231 X1233:X1247 X1249:X1259 X1261:X1273 X1275:X1287 X1289:X1303 X1305:X1314 X1316:X1331 X1333:X1342 X1344:X1357 X1359:X1372 X1374:X1384 X1386:X1396 X1398:X1408 X1410:X1424 X1426:X1441 X1443:X1457 X1459:X1473 X1475:X1484 X1486:X1499 X1501:X1510 X361:X377 X379:X391 X393:X407 X1512:X1519 X1104:X1120 X1122:X1138 X1140:X1156 X1188:X1201 X447:X465 X600:X619 X638:X652 X654:X667 X669:X678 X680:X688 X777:X787 X934:X944 X165:X179 X254:X268 X270:X303 X220:X230 X232:X250 X2:X163 X1521:X1650 X1652:X1669 X1673:X1677 X1680:X1681 X1684:X1685 X1687:X1688 X1690 X1692:X1959 X1961:X2104 X2106:X2107 X2109 X2111 X2113 X2115:X2242 X2268:X2789 X2792:X2812 X2814:X2816 X2818:X2829 X2831 X2833 X2835:X2848 X2850:X2960 X2962:X1048576">
    <cfRule type="containsText" dxfId="2605" priority="6153" operator="containsText" text="Yes">
      <formula>NOT(ISERROR(SEARCH("Yes",X2)))</formula>
    </cfRule>
  </conditionalFormatting>
  <conditionalFormatting sqref="AA414:AA416">
    <cfRule type="containsText" dxfId="2604" priority="6145" operator="containsText" text="Dismissed">
      <formula>NOT(ISERROR(SEARCH("Dismissed",AA414)))</formula>
    </cfRule>
  </conditionalFormatting>
  <conditionalFormatting sqref="AA414:AA416">
    <cfRule type="containsText" dxfId="2603" priority="6137" operator="containsText" text="WU">
      <formula>NOT(ISERROR(SEARCH("WU",AA414)))</formula>
    </cfRule>
    <cfRule type="containsText" dxfId="2602" priority="6138" operator="containsText" text="A2 Program">
      <formula>NOT(ISERROR(SEARCH("A2 Program",AA414)))</formula>
    </cfRule>
    <cfRule type="containsText" dxfId="2601" priority="6139" operator="containsText" text="Local">
      <formula>NOT(ISERROR(SEARCH("Local",AA414)))</formula>
    </cfRule>
    <cfRule type="containsText" dxfId="2600" priority="6140" operator="containsText" text="Nearshore">
      <formula>NOT(ISERROR(SEARCH("Nearshore",AA414)))</formula>
    </cfRule>
    <cfRule type="containsText" dxfId="2599" priority="6141" operator="containsText" text="Freedom">
      <formula>NOT(ISERROR(SEARCH("Freedom",AA414)))</formula>
    </cfRule>
    <cfRule type="containsText" dxfId="2598" priority="6142" operator="containsText" text="Expedia">
      <formula>NOT(ISERROR(SEARCH("Expedia",AA414)))</formula>
    </cfRule>
    <cfRule type="containsText" dxfId="2597" priority="6143" operator="containsText" text="Re-join">
      <formula>NOT(ISERROR(SEARCH("Re-join",AA414)))</formula>
    </cfRule>
    <cfRule type="containsText" dxfId="2596" priority="6144" operator="containsText" text="Resigned">
      <formula>NOT(ISERROR(SEARCH("Resigned",AA414)))</formula>
    </cfRule>
  </conditionalFormatting>
  <conditionalFormatting sqref="AA150">
    <cfRule type="expression" dxfId="2595" priority="6126">
      <formula>$E150=#REF!</formula>
    </cfRule>
  </conditionalFormatting>
  <conditionalFormatting sqref="AA160">
    <cfRule type="expression" dxfId="2594" priority="6125">
      <formula>$E160=#REF!</formula>
    </cfRule>
  </conditionalFormatting>
  <conditionalFormatting sqref="AA169">
    <cfRule type="expression" dxfId="2593" priority="6124">
      <formula>$E169=#REF!</formula>
    </cfRule>
  </conditionalFormatting>
  <conditionalFormatting sqref="AA170">
    <cfRule type="expression" dxfId="2592" priority="6123">
      <formula>$E170=#REF!</formula>
    </cfRule>
  </conditionalFormatting>
  <conditionalFormatting sqref="AA174">
    <cfRule type="expression" dxfId="2591" priority="6122">
      <formula>$E174=#REF!</formula>
    </cfRule>
  </conditionalFormatting>
  <conditionalFormatting sqref="AA207">
    <cfRule type="expression" dxfId="2590" priority="6121">
      <formula>$E207=#REF!</formula>
    </cfRule>
  </conditionalFormatting>
  <conditionalFormatting sqref="AA202">
    <cfRule type="expression" dxfId="2589" priority="6120">
      <formula>$E202=#REF!</formula>
    </cfRule>
  </conditionalFormatting>
  <conditionalFormatting sqref="AA210">
    <cfRule type="expression" dxfId="2588" priority="6119">
      <formula>$E210=#REF!</formula>
    </cfRule>
  </conditionalFormatting>
  <conditionalFormatting sqref="AA186">
    <cfRule type="expression" dxfId="2587" priority="6118">
      <formula>$E186=#REF!</formula>
    </cfRule>
  </conditionalFormatting>
  <conditionalFormatting sqref="AA177">
    <cfRule type="expression" dxfId="2586" priority="6117">
      <formula>$E177=#REF!</formula>
    </cfRule>
  </conditionalFormatting>
  <conditionalFormatting sqref="AA179">
    <cfRule type="expression" dxfId="2585" priority="6116">
      <formula>$E179=#REF!</formula>
    </cfRule>
  </conditionalFormatting>
  <conditionalFormatting sqref="AA234">
    <cfRule type="expression" dxfId="2584" priority="6114">
      <formula>$E234=#REF!</formula>
    </cfRule>
  </conditionalFormatting>
  <conditionalFormatting sqref="AA228">
    <cfRule type="expression" dxfId="2583" priority="6113">
      <formula>$E228=#REF!</formula>
    </cfRule>
  </conditionalFormatting>
  <conditionalFormatting sqref="AA255">
    <cfRule type="expression" dxfId="2582" priority="6112">
      <formula>$E255=#REF!</formula>
    </cfRule>
  </conditionalFormatting>
  <conditionalFormatting sqref="AA252">
    <cfRule type="expression" dxfId="2581" priority="6110">
      <formula>$E252=#REF!</formula>
    </cfRule>
  </conditionalFormatting>
  <conditionalFormatting sqref="AA181">
    <cfRule type="expression" dxfId="2580" priority="6109">
      <formula>$E181=#REF!</formula>
    </cfRule>
  </conditionalFormatting>
  <conditionalFormatting sqref="AA259">
    <cfRule type="expression" dxfId="2579" priority="6108">
      <formula>$E259=#REF!</formula>
    </cfRule>
  </conditionalFormatting>
  <conditionalFormatting sqref="AA233">
    <cfRule type="expression" dxfId="2578" priority="6107">
      <formula>$E233=#REF!</formula>
    </cfRule>
  </conditionalFormatting>
  <conditionalFormatting sqref="AA213">
    <cfRule type="expression" dxfId="2577" priority="6106">
      <formula>$E213=#REF!</formula>
    </cfRule>
  </conditionalFormatting>
  <conditionalFormatting sqref="AA222">
    <cfRule type="expression" dxfId="2576" priority="6105">
      <formula>$E222=#REF!</formula>
    </cfRule>
  </conditionalFormatting>
  <conditionalFormatting sqref="AA206">
    <cfRule type="expression" dxfId="2575" priority="6104">
      <formula>$E206=#REF!</formula>
    </cfRule>
  </conditionalFormatting>
  <conditionalFormatting sqref="AA208">
    <cfRule type="expression" dxfId="2574" priority="6103">
      <formula>$E208=#REF!</formula>
    </cfRule>
  </conditionalFormatting>
  <conditionalFormatting sqref="AA250">
    <cfRule type="expression" dxfId="2573" priority="6101">
      <formula>$E250=#REF!</formula>
    </cfRule>
  </conditionalFormatting>
  <conditionalFormatting sqref="AA204">
    <cfRule type="expression" dxfId="2572" priority="6099">
      <formula>$E204=#REF!</formula>
    </cfRule>
  </conditionalFormatting>
  <conditionalFormatting sqref="AA201">
    <cfRule type="expression" dxfId="2571" priority="6097">
      <formula>$E201=#REF!</formula>
    </cfRule>
  </conditionalFormatting>
  <conditionalFormatting sqref="AA212">
    <cfRule type="expression" dxfId="2570" priority="6096">
      <formula>$E212=#REF!</formula>
    </cfRule>
  </conditionalFormatting>
  <conditionalFormatting sqref="AA241">
    <cfRule type="expression" dxfId="2569" priority="6094">
      <formula>$E241=#REF!</formula>
    </cfRule>
  </conditionalFormatting>
  <conditionalFormatting sqref="AA232">
    <cfRule type="expression" dxfId="2568" priority="6093">
      <formula>$E232=#REF!</formula>
    </cfRule>
  </conditionalFormatting>
  <conditionalFormatting sqref="AA190">
    <cfRule type="expression" dxfId="2567" priority="6092">
      <formula>$E190=#REF!</formula>
    </cfRule>
  </conditionalFormatting>
  <conditionalFormatting sqref="AA284">
    <cfRule type="expression" dxfId="2566" priority="6090">
      <formula>$E284=#REF!</formula>
    </cfRule>
  </conditionalFormatting>
  <conditionalFormatting sqref="AA282">
    <cfRule type="expression" dxfId="2565" priority="6089">
      <formula>$E282=#REF!</formula>
    </cfRule>
  </conditionalFormatting>
  <conditionalFormatting sqref="AA278">
    <cfRule type="expression" dxfId="2564" priority="6088">
      <formula>$E278=#REF!</formula>
    </cfRule>
  </conditionalFormatting>
  <conditionalFormatting sqref="J488:J499">
    <cfRule type="expression" dxfId="2563" priority="6068">
      <formula>$E488=#REF!</formula>
    </cfRule>
  </conditionalFormatting>
  <conditionalFormatting sqref="Y199">
    <cfRule type="expression" dxfId="2562" priority="4474">
      <formula>$E199=#REF!</formula>
    </cfRule>
  </conditionalFormatting>
  <conditionalFormatting sqref="Y186">
    <cfRule type="expression" dxfId="2561" priority="4452">
      <formula>$E186=#REF!</formula>
    </cfRule>
  </conditionalFormatting>
  <conditionalFormatting sqref="Y185">
    <cfRule type="expression" dxfId="2560" priority="4442">
      <formula>$E185=#REF!</formula>
    </cfRule>
  </conditionalFormatting>
  <conditionalFormatting sqref="Y192">
    <cfRule type="expression" dxfId="2559" priority="4432">
      <formula>$E192=#REF!</formula>
    </cfRule>
  </conditionalFormatting>
  <conditionalFormatting sqref="Y183">
    <cfRule type="expression" dxfId="2558" priority="4420">
      <formula>$E183=#REF!</formula>
    </cfRule>
  </conditionalFormatting>
  <conditionalFormatting sqref="Y190">
    <cfRule type="expression" dxfId="2557" priority="4410">
      <formula>$E190=#REF!</formula>
    </cfRule>
  </conditionalFormatting>
  <conditionalFormatting sqref="Y172 AA172">
    <cfRule type="containsText" dxfId="2556" priority="4398" operator="containsText" text="Dismissed">
      <formula>NOT(ISERROR(SEARCH("Dismissed",Y172)))</formula>
    </cfRule>
  </conditionalFormatting>
  <conditionalFormatting sqref="Y172 AA172">
    <cfRule type="containsText" dxfId="2555" priority="4390" operator="containsText" text="WU">
      <formula>NOT(ISERROR(SEARCH("WU",Y172)))</formula>
    </cfRule>
    <cfRule type="containsText" dxfId="2554" priority="4391" operator="containsText" text="A2 Program">
      <formula>NOT(ISERROR(SEARCH("A2 Program",Y172)))</formula>
    </cfRule>
    <cfRule type="containsText" dxfId="2553" priority="4392" operator="containsText" text="Local">
      <formula>NOT(ISERROR(SEARCH("Local",Y172)))</formula>
    </cfRule>
    <cfRule type="containsText" dxfId="2552" priority="4393" operator="containsText" text="Nearshore">
      <formula>NOT(ISERROR(SEARCH("Nearshore",Y172)))</formula>
    </cfRule>
    <cfRule type="containsText" dxfId="2551" priority="4394" operator="containsText" text="Freedom">
      <formula>NOT(ISERROR(SEARCH("Freedom",Y172)))</formula>
    </cfRule>
    <cfRule type="containsText" dxfId="2550" priority="4395" operator="containsText" text="Expedia">
      <formula>NOT(ISERROR(SEARCH("Expedia",Y172)))</formula>
    </cfRule>
    <cfRule type="containsText" dxfId="2549" priority="4396" operator="containsText" text="Re-join">
      <formula>NOT(ISERROR(SEARCH("Re-join",Y172)))</formula>
    </cfRule>
    <cfRule type="containsText" dxfId="2548" priority="4397" operator="containsText" text="Resigned">
      <formula>NOT(ISERROR(SEARCH("Resigned",Y172)))</formula>
    </cfRule>
  </conditionalFormatting>
  <conditionalFormatting sqref="Y187 AA187">
    <cfRule type="containsText" dxfId="2547" priority="4389" operator="containsText" text="Dismissed">
      <formula>NOT(ISERROR(SEARCH("Dismissed",Y187)))</formula>
    </cfRule>
  </conditionalFormatting>
  <conditionalFormatting sqref="Y187 AA187">
    <cfRule type="containsText" dxfId="2546" priority="4381" operator="containsText" text="WU">
      <formula>NOT(ISERROR(SEARCH("WU",Y187)))</formula>
    </cfRule>
    <cfRule type="containsText" dxfId="2545" priority="4382" operator="containsText" text="A2 Program">
      <formula>NOT(ISERROR(SEARCH("A2 Program",Y187)))</formula>
    </cfRule>
    <cfRule type="containsText" dxfId="2544" priority="4383" operator="containsText" text="Local">
      <formula>NOT(ISERROR(SEARCH("Local",Y187)))</formula>
    </cfRule>
    <cfRule type="containsText" dxfId="2543" priority="4384" operator="containsText" text="Nearshore">
      <formula>NOT(ISERROR(SEARCH("Nearshore",Y187)))</formula>
    </cfRule>
    <cfRule type="containsText" dxfId="2542" priority="4385" operator="containsText" text="Freedom">
      <formula>NOT(ISERROR(SEARCH("Freedom",Y187)))</formula>
    </cfRule>
    <cfRule type="containsText" dxfId="2541" priority="4386" operator="containsText" text="Expedia">
      <formula>NOT(ISERROR(SEARCH("Expedia",Y187)))</formula>
    </cfRule>
    <cfRule type="containsText" dxfId="2540" priority="4387" operator="containsText" text="Re-join">
      <formula>NOT(ISERROR(SEARCH("Re-join",Y187)))</formula>
    </cfRule>
    <cfRule type="containsText" dxfId="2539" priority="4388" operator="containsText" text="Resigned">
      <formula>NOT(ISERROR(SEARCH("Resigned",Y187)))</formula>
    </cfRule>
  </conditionalFormatting>
  <conditionalFormatting sqref="Y194 AA194">
    <cfRule type="containsText" dxfId="2538" priority="4380" operator="containsText" text="Dismissed">
      <formula>NOT(ISERROR(SEARCH("Dismissed",Y194)))</formula>
    </cfRule>
  </conditionalFormatting>
  <conditionalFormatting sqref="Y194 AA194">
    <cfRule type="containsText" dxfId="2537" priority="4372" operator="containsText" text="WU">
      <formula>NOT(ISERROR(SEARCH("WU",Y194)))</formula>
    </cfRule>
    <cfRule type="containsText" dxfId="2536" priority="4373" operator="containsText" text="A2 Program">
      <formula>NOT(ISERROR(SEARCH("A2 Program",Y194)))</formula>
    </cfRule>
    <cfRule type="containsText" dxfId="2535" priority="4374" operator="containsText" text="Local">
      <formula>NOT(ISERROR(SEARCH("Local",Y194)))</formula>
    </cfRule>
    <cfRule type="containsText" dxfId="2534" priority="4375" operator="containsText" text="Nearshore">
      <formula>NOT(ISERROR(SEARCH("Nearshore",Y194)))</formula>
    </cfRule>
    <cfRule type="containsText" dxfId="2533" priority="4376" operator="containsText" text="Freedom">
      <formula>NOT(ISERROR(SEARCH("Freedom",Y194)))</formula>
    </cfRule>
    <cfRule type="containsText" dxfId="2532" priority="4377" operator="containsText" text="Expedia">
      <formula>NOT(ISERROR(SEARCH("Expedia",Y194)))</formula>
    </cfRule>
    <cfRule type="containsText" dxfId="2531" priority="4378" operator="containsText" text="Re-join">
      <formula>NOT(ISERROR(SEARCH("Re-join",Y194)))</formula>
    </cfRule>
    <cfRule type="containsText" dxfId="2530" priority="4379" operator="containsText" text="Resigned">
      <formula>NOT(ISERROR(SEARCH("Resigned",Y194)))</formula>
    </cfRule>
  </conditionalFormatting>
  <conditionalFormatting sqref="Y245 AA245">
    <cfRule type="containsText" dxfId="2529" priority="4371" operator="containsText" text="Dismissed">
      <formula>NOT(ISERROR(SEARCH("Dismissed",Y245)))</formula>
    </cfRule>
  </conditionalFormatting>
  <conditionalFormatting sqref="Y245 AA245">
    <cfRule type="containsText" dxfId="2528" priority="4363" operator="containsText" text="WU">
      <formula>NOT(ISERROR(SEARCH("WU",Y245)))</formula>
    </cfRule>
    <cfRule type="containsText" dxfId="2527" priority="4364" operator="containsText" text="A2 Program">
      <formula>NOT(ISERROR(SEARCH("A2 Program",Y245)))</formula>
    </cfRule>
    <cfRule type="containsText" dxfId="2526" priority="4365" operator="containsText" text="Local">
      <formula>NOT(ISERROR(SEARCH("Local",Y245)))</formula>
    </cfRule>
    <cfRule type="containsText" dxfId="2525" priority="4366" operator="containsText" text="Nearshore">
      <formula>NOT(ISERROR(SEARCH("Nearshore",Y245)))</formula>
    </cfRule>
    <cfRule type="containsText" dxfId="2524" priority="4367" operator="containsText" text="Freedom">
      <formula>NOT(ISERROR(SEARCH("Freedom",Y245)))</formula>
    </cfRule>
    <cfRule type="containsText" dxfId="2523" priority="4368" operator="containsText" text="Expedia">
      <formula>NOT(ISERROR(SEARCH("Expedia",Y245)))</formula>
    </cfRule>
    <cfRule type="containsText" dxfId="2522" priority="4369" operator="containsText" text="Re-join">
      <formula>NOT(ISERROR(SEARCH("Re-join",Y245)))</formula>
    </cfRule>
    <cfRule type="containsText" dxfId="2521" priority="4370" operator="containsText" text="Resigned">
      <formula>NOT(ISERROR(SEARCH("Resigned",Y245)))</formula>
    </cfRule>
  </conditionalFormatting>
  <conditionalFormatting sqref="Y295 AA295">
    <cfRule type="containsText" dxfId="2520" priority="4362" operator="containsText" text="Dismissed">
      <formula>NOT(ISERROR(SEARCH("Dismissed",Y295)))</formula>
    </cfRule>
  </conditionalFormatting>
  <conditionalFormatting sqref="Y295 AA295">
    <cfRule type="containsText" dxfId="2519" priority="4354" operator="containsText" text="WU">
      <formula>NOT(ISERROR(SEARCH("WU",Y295)))</formula>
    </cfRule>
    <cfRule type="containsText" dxfId="2518" priority="4355" operator="containsText" text="A2 Program">
      <formula>NOT(ISERROR(SEARCH("A2 Program",Y295)))</formula>
    </cfRule>
    <cfRule type="containsText" dxfId="2517" priority="4356" operator="containsText" text="Local">
      <formula>NOT(ISERROR(SEARCH("Local",Y295)))</formula>
    </cfRule>
    <cfRule type="containsText" dxfId="2516" priority="4357" operator="containsText" text="Nearshore">
      <formula>NOT(ISERROR(SEARCH("Nearshore",Y295)))</formula>
    </cfRule>
    <cfRule type="containsText" dxfId="2515" priority="4358" operator="containsText" text="Freedom">
      <formula>NOT(ISERROR(SEARCH("Freedom",Y295)))</formula>
    </cfRule>
    <cfRule type="containsText" dxfId="2514" priority="4359" operator="containsText" text="Expedia">
      <formula>NOT(ISERROR(SEARCH("Expedia",Y295)))</formula>
    </cfRule>
    <cfRule type="containsText" dxfId="2513" priority="4360" operator="containsText" text="Re-join">
      <formula>NOT(ISERROR(SEARCH("Re-join",Y295)))</formula>
    </cfRule>
    <cfRule type="containsText" dxfId="2512" priority="4361" operator="containsText" text="Resigned">
      <formula>NOT(ISERROR(SEARCH("Resigned",Y295)))</formula>
    </cfRule>
  </conditionalFormatting>
  <conditionalFormatting sqref="Y343 AA343">
    <cfRule type="containsText" dxfId="2511" priority="4353" operator="containsText" text="Dismissed">
      <formula>NOT(ISERROR(SEARCH("Dismissed",Y343)))</formula>
    </cfRule>
  </conditionalFormatting>
  <conditionalFormatting sqref="Y343 AA343">
    <cfRule type="containsText" dxfId="2510" priority="4345" operator="containsText" text="WU">
      <formula>NOT(ISERROR(SEARCH("WU",Y343)))</formula>
    </cfRule>
    <cfRule type="containsText" dxfId="2509" priority="4346" operator="containsText" text="A2 Program">
      <formula>NOT(ISERROR(SEARCH("A2 Program",Y343)))</formula>
    </cfRule>
    <cfRule type="containsText" dxfId="2508" priority="4347" operator="containsText" text="Local">
      <formula>NOT(ISERROR(SEARCH("Local",Y343)))</formula>
    </cfRule>
    <cfRule type="containsText" dxfId="2507" priority="4348" operator="containsText" text="Nearshore">
      <formula>NOT(ISERROR(SEARCH("Nearshore",Y343)))</formula>
    </cfRule>
    <cfRule type="containsText" dxfId="2506" priority="4349" operator="containsText" text="Freedom">
      <formula>NOT(ISERROR(SEARCH("Freedom",Y343)))</formula>
    </cfRule>
    <cfRule type="containsText" dxfId="2505" priority="4350" operator="containsText" text="Expedia">
      <formula>NOT(ISERROR(SEARCH("Expedia",Y343)))</formula>
    </cfRule>
    <cfRule type="containsText" dxfId="2504" priority="4351" operator="containsText" text="Re-join">
      <formula>NOT(ISERROR(SEARCH("Re-join",Y343)))</formula>
    </cfRule>
    <cfRule type="containsText" dxfId="2503" priority="4352" operator="containsText" text="Resigned">
      <formula>NOT(ISERROR(SEARCH("Resigned",Y343)))</formula>
    </cfRule>
  </conditionalFormatting>
  <conditionalFormatting sqref="Y363 AA363">
    <cfRule type="containsText" dxfId="2502" priority="4344" operator="containsText" text="Dismissed">
      <formula>NOT(ISERROR(SEARCH("Dismissed",Y363)))</formula>
    </cfRule>
  </conditionalFormatting>
  <conditionalFormatting sqref="Y363 AA363">
    <cfRule type="containsText" dxfId="2501" priority="4336" operator="containsText" text="WU">
      <formula>NOT(ISERROR(SEARCH("WU",Y363)))</formula>
    </cfRule>
    <cfRule type="containsText" dxfId="2500" priority="4337" operator="containsText" text="A2 Program">
      <formula>NOT(ISERROR(SEARCH("A2 Program",Y363)))</formula>
    </cfRule>
    <cfRule type="containsText" dxfId="2499" priority="4338" operator="containsText" text="Local">
      <formula>NOT(ISERROR(SEARCH("Local",Y363)))</formula>
    </cfRule>
    <cfRule type="containsText" dxfId="2498" priority="4339" operator="containsText" text="Nearshore">
      <formula>NOT(ISERROR(SEARCH("Nearshore",Y363)))</formula>
    </cfRule>
    <cfRule type="containsText" dxfId="2497" priority="4340" operator="containsText" text="Freedom">
      <formula>NOT(ISERROR(SEARCH("Freedom",Y363)))</formula>
    </cfRule>
    <cfRule type="containsText" dxfId="2496" priority="4341" operator="containsText" text="Expedia">
      <formula>NOT(ISERROR(SEARCH("Expedia",Y363)))</formula>
    </cfRule>
    <cfRule type="containsText" dxfId="2495" priority="4342" operator="containsText" text="Re-join">
      <formula>NOT(ISERROR(SEARCH("Re-join",Y363)))</formula>
    </cfRule>
    <cfRule type="containsText" dxfId="2494" priority="4343" operator="containsText" text="Resigned">
      <formula>NOT(ISERROR(SEARCH("Resigned",Y363)))</formula>
    </cfRule>
  </conditionalFormatting>
  <conditionalFormatting sqref="Y365 AA365">
    <cfRule type="containsText" dxfId="2493" priority="4335" operator="containsText" text="Dismissed">
      <formula>NOT(ISERROR(SEARCH("Dismissed",Y365)))</formula>
    </cfRule>
  </conditionalFormatting>
  <conditionalFormatting sqref="Y365 AA365">
    <cfRule type="containsText" dxfId="2492" priority="4327" operator="containsText" text="WU">
      <formula>NOT(ISERROR(SEARCH("WU",Y365)))</formula>
    </cfRule>
    <cfRule type="containsText" dxfId="2491" priority="4328" operator="containsText" text="A2 Program">
      <formula>NOT(ISERROR(SEARCH("A2 Program",Y365)))</formula>
    </cfRule>
    <cfRule type="containsText" dxfId="2490" priority="4329" operator="containsText" text="Local">
      <formula>NOT(ISERROR(SEARCH("Local",Y365)))</formula>
    </cfRule>
    <cfRule type="containsText" dxfId="2489" priority="4330" operator="containsText" text="Nearshore">
      <formula>NOT(ISERROR(SEARCH("Nearshore",Y365)))</formula>
    </cfRule>
    <cfRule type="containsText" dxfId="2488" priority="4331" operator="containsText" text="Freedom">
      <formula>NOT(ISERROR(SEARCH("Freedom",Y365)))</formula>
    </cfRule>
    <cfRule type="containsText" dxfId="2487" priority="4332" operator="containsText" text="Expedia">
      <formula>NOT(ISERROR(SEARCH("Expedia",Y365)))</formula>
    </cfRule>
    <cfRule type="containsText" dxfId="2486" priority="4333" operator="containsText" text="Re-join">
      <formula>NOT(ISERROR(SEARCH("Re-join",Y365)))</formula>
    </cfRule>
    <cfRule type="containsText" dxfId="2485" priority="4334" operator="containsText" text="Resigned">
      <formula>NOT(ISERROR(SEARCH("Resigned",Y365)))</formula>
    </cfRule>
  </conditionalFormatting>
  <conditionalFormatting sqref="Y367 AA367">
    <cfRule type="containsText" dxfId="2484" priority="4326" operator="containsText" text="Dismissed">
      <formula>NOT(ISERROR(SEARCH("Dismissed",Y367)))</formula>
    </cfRule>
  </conditionalFormatting>
  <conditionalFormatting sqref="Y367 AA367">
    <cfRule type="containsText" dxfId="2483" priority="4318" operator="containsText" text="WU">
      <formula>NOT(ISERROR(SEARCH("WU",Y367)))</formula>
    </cfRule>
    <cfRule type="containsText" dxfId="2482" priority="4319" operator="containsText" text="A2 Program">
      <formula>NOT(ISERROR(SEARCH("A2 Program",Y367)))</formula>
    </cfRule>
    <cfRule type="containsText" dxfId="2481" priority="4320" operator="containsText" text="Local">
      <formula>NOT(ISERROR(SEARCH("Local",Y367)))</formula>
    </cfRule>
    <cfRule type="containsText" dxfId="2480" priority="4321" operator="containsText" text="Nearshore">
      <formula>NOT(ISERROR(SEARCH("Nearshore",Y367)))</formula>
    </cfRule>
    <cfRule type="containsText" dxfId="2479" priority="4322" operator="containsText" text="Freedom">
      <formula>NOT(ISERROR(SEARCH("Freedom",Y367)))</formula>
    </cfRule>
    <cfRule type="containsText" dxfId="2478" priority="4323" operator="containsText" text="Expedia">
      <formula>NOT(ISERROR(SEARCH("Expedia",Y367)))</formula>
    </cfRule>
    <cfRule type="containsText" dxfId="2477" priority="4324" operator="containsText" text="Re-join">
      <formula>NOT(ISERROR(SEARCH("Re-join",Y367)))</formula>
    </cfRule>
    <cfRule type="containsText" dxfId="2476" priority="4325" operator="containsText" text="Resigned">
      <formula>NOT(ISERROR(SEARCH("Resigned",Y367)))</formula>
    </cfRule>
  </conditionalFormatting>
  <conditionalFormatting sqref="Y371 AA371">
    <cfRule type="containsText" dxfId="2475" priority="4317" operator="containsText" text="Dismissed">
      <formula>NOT(ISERROR(SEARCH("Dismissed",Y371)))</formula>
    </cfRule>
  </conditionalFormatting>
  <conditionalFormatting sqref="Y371 AA371">
    <cfRule type="containsText" dxfId="2474" priority="4309" operator="containsText" text="WU">
      <formula>NOT(ISERROR(SEARCH("WU",Y371)))</formula>
    </cfRule>
    <cfRule type="containsText" dxfId="2473" priority="4310" operator="containsText" text="A2 Program">
      <formula>NOT(ISERROR(SEARCH("A2 Program",Y371)))</formula>
    </cfRule>
    <cfRule type="containsText" dxfId="2472" priority="4311" operator="containsText" text="Local">
      <formula>NOT(ISERROR(SEARCH("Local",Y371)))</formula>
    </cfRule>
    <cfRule type="containsText" dxfId="2471" priority="4312" operator="containsText" text="Nearshore">
      <formula>NOT(ISERROR(SEARCH("Nearshore",Y371)))</formula>
    </cfRule>
    <cfRule type="containsText" dxfId="2470" priority="4313" operator="containsText" text="Freedom">
      <formula>NOT(ISERROR(SEARCH("Freedom",Y371)))</formula>
    </cfRule>
    <cfRule type="containsText" dxfId="2469" priority="4314" operator="containsText" text="Expedia">
      <formula>NOT(ISERROR(SEARCH("Expedia",Y371)))</formula>
    </cfRule>
    <cfRule type="containsText" dxfId="2468" priority="4315" operator="containsText" text="Re-join">
      <formula>NOT(ISERROR(SEARCH("Re-join",Y371)))</formula>
    </cfRule>
    <cfRule type="containsText" dxfId="2467" priority="4316" operator="containsText" text="Resigned">
      <formula>NOT(ISERROR(SEARCH("Resigned",Y371)))</formula>
    </cfRule>
  </conditionalFormatting>
  <conditionalFormatting sqref="Y374 AA374">
    <cfRule type="containsText" dxfId="2466" priority="4308" operator="containsText" text="Dismissed">
      <formula>NOT(ISERROR(SEARCH("Dismissed",Y374)))</formula>
    </cfRule>
  </conditionalFormatting>
  <conditionalFormatting sqref="Y374 AA374">
    <cfRule type="containsText" dxfId="2465" priority="4300" operator="containsText" text="WU">
      <formula>NOT(ISERROR(SEARCH("WU",Y374)))</formula>
    </cfRule>
    <cfRule type="containsText" dxfId="2464" priority="4301" operator="containsText" text="A2 Program">
      <formula>NOT(ISERROR(SEARCH("A2 Program",Y374)))</formula>
    </cfRule>
    <cfRule type="containsText" dxfId="2463" priority="4302" operator="containsText" text="Local">
      <formula>NOT(ISERROR(SEARCH("Local",Y374)))</formula>
    </cfRule>
    <cfRule type="containsText" dxfId="2462" priority="4303" operator="containsText" text="Nearshore">
      <formula>NOT(ISERROR(SEARCH("Nearshore",Y374)))</formula>
    </cfRule>
    <cfRule type="containsText" dxfId="2461" priority="4304" operator="containsText" text="Freedom">
      <formula>NOT(ISERROR(SEARCH("Freedom",Y374)))</formula>
    </cfRule>
    <cfRule type="containsText" dxfId="2460" priority="4305" operator="containsText" text="Expedia">
      <formula>NOT(ISERROR(SEARCH("Expedia",Y374)))</formula>
    </cfRule>
    <cfRule type="containsText" dxfId="2459" priority="4306" operator="containsText" text="Re-join">
      <formula>NOT(ISERROR(SEARCH("Re-join",Y374)))</formula>
    </cfRule>
    <cfRule type="containsText" dxfId="2458" priority="4307" operator="containsText" text="Resigned">
      <formula>NOT(ISERROR(SEARCH("Resigned",Y374)))</formula>
    </cfRule>
  </conditionalFormatting>
  <conditionalFormatting sqref="Y396 AA396">
    <cfRule type="containsText" dxfId="2457" priority="4290" operator="containsText" text="Dismissed">
      <formula>NOT(ISERROR(SEARCH("Dismissed",Y396)))</formula>
    </cfRule>
  </conditionalFormatting>
  <conditionalFormatting sqref="Y396 AA396">
    <cfRule type="containsText" dxfId="2456" priority="4282" operator="containsText" text="WU">
      <formula>NOT(ISERROR(SEARCH("WU",Y396)))</formula>
    </cfRule>
    <cfRule type="containsText" dxfId="2455" priority="4283" operator="containsText" text="A2 Program">
      <formula>NOT(ISERROR(SEARCH("A2 Program",Y396)))</formula>
    </cfRule>
    <cfRule type="containsText" dxfId="2454" priority="4284" operator="containsText" text="Local">
      <formula>NOT(ISERROR(SEARCH("Local",Y396)))</formula>
    </cfRule>
    <cfRule type="containsText" dxfId="2453" priority="4285" operator="containsText" text="Nearshore">
      <formula>NOT(ISERROR(SEARCH("Nearshore",Y396)))</formula>
    </cfRule>
    <cfRule type="containsText" dxfId="2452" priority="4286" operator="containsText" text="Freedom">
      <formula>NOT(ISERROR(SEARCH("Freedom",Y396)))</formula>
    </cfRule>
    <cfRule type="containsText" dxfId="2451" priority="4287" operator="containsText" text="Expedia">
      <formula>NOT(ISERROR(SEARCH("Expedia",Y396)))</formula>
    </cfRule>
    <cfRule type="containsText" dxfId="2450" priority="4288" operator="containsText" text="Re-join">
      <formula>NOT(ISERROR(SEARCH("Re-join",Y396)))</formula>
    </cfRule>
    <cfRule type="containsText" dxfId="2449" priority="4289" operator="containsText" text="Resigned">
      <formula>NOT(ISERROR(SEARCH("Resigned",Y396)))</formula>
    </cfRule>
  </conditionalFormatting>
  <conditionalFormatting sqref="Y429 AA429">
    <cfRule type="containsText" dxfId="2448" priority="4281" operator="containsText" text="Dismissed">
      <formula>NOT(ISERROR(SEARCH("Dismissed",Y429)))</formula>
    </cfRule>
  </conditionalFormatting>
  <conditionalFormatting sqref="Y429 AA429">
    <cfRule type="containsText" dxfId="2447" priority="4273" operator="containsText" text="WU">
      <formula>NOT(ISERROR(SEARCH("WU",Y429)))</formula>
    </cfRule>
    <cfRule type="containsText" dxfId="2446" priority="4274" operator="containsText" text="A2 Program">
      <formula>NOT(ISERROR(SEARCH("A2 Program",Y429)))</formula>
    </cfRule>
    <cfRule type="containsText" dxfId="2445" priority="4275" operator="containsText" text="Local">
      <formula>NOT(ISERROR(SEARCH("Local",Y429)))</formula>
    </cfRule>
    <cfRule type="containsText" dxfId="2444" priority="4276" operator="containsText" text="Nearshore">
      <formula>NOT(ISERROR(SEARCH("Nearshore",Y429)))</formula>
    </cfRule>
    <cfRule type="containsText" dxfId="2443" priority="4277" operator="containsText" text="Freedom">
      <formula>NOT(ISERROR(SEARCH("Freedom",Y429)))</formula>
    </cfRule>
    <cfRule type="containsText" dxfId="2442" priority="4278" operator="containsText" text="Expedia">
      <formula>NOT(ISERROR(SEARCH("Expedia",Y429)))</formula>
    </cfRule>
    <cfRule type="containsText" dxfId="2441" priority="4279" operator="containsText" text="Re-join">
      <formula>NOT(ISERROR(SEARCH("Re-join",Y429)))</formula>
    </cfRule>
    <cfRule type="containsText" dxfId="2440" priority="4280" operator="containsText" text="Resigned">
      <formula>NOT(ISERROR(SEARCH("Resigned",Y429)))</formula>
    </cfRule>
  </conditionalFormatting>
  <conditionalFormatting sqref="Y403 AA403">
    <cfRule type="containsText" dxfId="2439" priority="4272" operator="containsText" text="Dismissed">
      <formula>NOT(ISERROR(SEARCH("Dismissed",Y403)))</formula>
    </cfRule>
  </conditionalFormatting>
  <conditionalFormatting sqref="Y403 AA403">
    <cfRule type="containsText" dxfId="2438" priority="4264" operator="containsText" text="WU">
      <formula>NOT(ISERROR(SEARCH("WU",Y403)))</formula>
    </cfRule>
    <cfRule type="containsText" dxfId="2437" priority="4265" operator="containsText" text="A2 Program">
      <formula>NOT(ISERROR(SEARCH("A2 Program",Y403)))</formula>
    </cfRule>
    <cfRule type="containsText" dxfId="2436" priority="4266" operator="containsText" text="Local">
      <formula>NOT(ISERROR(SEARCH("Local",Y403)))</formula>
    </cfRule>
    <cfRule type="containsText" dxfId="2435" priority="4267" operator="containsText" text="Nearshore">
      <formula>NOT(ISERROR(SEARCH("Nearshore",Y403)))</formula>
    </cfRule>
    <cfRule type="containsText" dxfId="2434" priority="4268" operator="containsText" text="Freedom">
      <formula>NOT(ISERROR(SEARCH("Freedom",Y403)))</formula>
    </cfRule>
    <cfRule type="containsText" dxfId="2433" priority="4269" operator="containsText" text="Expedia">
      <formula>NOT(ISERROR(SEARCH("Expedia",Y403)))</formula>
    </cfRule>
    <cfRule type="containsText" dxfId="2432" priority="4270" operator="containsText" text="Re-join">
      <formula>NOT(ISERROR(SEARCH("Re-join",Y403)))</formula>
    </cfRule>
    <cfRule type="containsText" dxfId="2431" priority="4271" operator="containsText" text="Resigned">
      <formula>NOT(ISERROR(SEARCH("Resigned",Y403)))</formula>
    </cfRule>
  </conditionalFormatting>
  <conditionalFormatting sqref="Y483 AA483">
    <cfRule type="containsText" dxfId="2430" priority="4263" operator="containsText" text="Dismissed">
      <formula>NOT(ISERROR(SEARCH("Dismissed",Y483)))</formula>
    </cfRule>
  </conditionalFormatting>
  <conditionalFormatting sqref="Y483 AA483">
    <cfRule type="containsText" dxfId="2429" priority="4255" operator="containsText" text="WU">
      <formula>NOT(ISERROR(SEARCH("WU",Y483)))</formula>
    </cfRule>
    <cfRule type="containsText" dxfId="2428" priority="4256" operator="containsText" text="A2 Program">
      <formula>NOT(ISERROR(SEARCH("A2 Program",Y483)))</formula>
    </cfRule>
    <cfRule type="containsText" dxfId="2427" priority="4257" operator="containsText" text="Local">
      <formula>NOT(ISERROR(SEARCH("Local",Y483)))</formula>
    </cfRule>
    <cfRule type="containsText" dxfId="2426" priority="4258" operator="containsText" text="Nearshore">
      <formula>NOT(ISERROR(SEARCH("Nearshore",Y483)))</formula>
    </cfRule>
    <cfRule type="containsText" dxfId="2425" priority="4259" operator="containsText" text="Freedom">
      <formula>NOT(ISERROR(SEARCH("Freedom",Y483)))</formula>
    </cfRule>
    <cfRule type="containsText" dxfId="2424" priority="4260" operator="containsText" text="Expedia">
      <formula>NOT(ISERROR(SEARCH("Expedia",Y483)))</formula>
    </cfRule>
    <cfRule type="containsText" dxfId="2423" priority="4261" operator="containsText" text="Re-join">
      <formula>NOT(ISERROR(SEARCH("Re-join",Y483)))</formula>
    </cfRule>
    <cfRule type="containsText" dxfId="2422" priority="4262" operator="containsText" text="Resigned">
      <formula>NOT(ISERROR(SEARCH("Resigned",Y483)))</formula>
    </cfRule>
  </conditionalFormatting>
  <conditionalFormatting sqref="Y485 AA485">
    <cfRule type="containsText" dxfId="2421" priority="4254" operator="containsText" text="Dismissed">
      <formula>NOT(ISERROR(SEARCH("Dismissed",Y485)))</formula>
    </cfRule>
  </conditionalFormatting>
  <conditionalFormatting sqref="Y485 AA485">
    <cfRule type="containsText" dxfId="2420" priority="4246" operator="containsText" text="WU">
      <formula>NOT(ISERROR(SEARCH("WU",Y485)))</formula>
    </cfRule>
    <cfRule type="containsText" dxfId="2419" priority="4247" operator="containsText" text="A2 Program">
      <formula>NOT(ISERROR(SEARCH("A2 Program",Y485)))</formula>
    </cfRule>
    <cfRule type="containsText" dxfId="2418" priority="4248" operator="containsText" text="Local">
      <formula>NOT(ISERROR(SEARCH("Local",Y485)))</formula>
    </cfRule>
    <cfRule type="containsText" dxfId="2417" priority="4249" operator="containsText" text="Nearshore">
      <formula>NOT(ISERROR(SEARCH("Nearshore",Y485)))</formula>
    </cfRule>
    <cfRule type="containsText" dxfId="2416" priority="4250" operator="containsText" text="Freedom">
      <formula>NOT(ISERROR(SEARCH("Freedom",Y485)))</formula>
    </cfRule>
    <cfRule type="containsText" dxfId="2415" priority="4251" operator="containsText" text="Expedia">
      <formula>NOT(ISERROR(SEARCH("Expedia",Y485)))</formula>
    </cfRule>
    <cfRule type="containsText" dxfId="2414" priority="4252" operator="containsText" text="Re-join">
      <formula>NOT(ISERROR(SEARCH("Re-join",Y485)))</formula>
    </cfRule>
    <cfRule type="containsText" dxfId="2413" priority="4253" operator="containsText" text="Resigned">
      <formula>NOT(ISERROR(SEARCH("Resigned",Y485)))</formula>
    </cfRule>
  </conditionalFormatting>
  <conditionalFormatting sqref="Y486 AA486">
    <cfRule type="containsText" dxfId="2412" priority="4245" operator="containsText" text="Dismissed">
      <formula>NOT(ISERROR(SEARCH("Dismissed",Y486)))</formula>
    </cfRule>
  </conditionalFormatting>
  <conditionalFormatting sqref="Y486 AA486">
    <cfRule type="containsText" dxfId="2411" priority="4237" operator="containsText" text="WU">
      <formula>NOT(ISERROR(SEARCH("WU",Y486)))</formula>
    </cfRule>
    <cfRule type="containsText" dxfId="2410" priority="4238" operator="containsText" text="A2 Program">
      <formula>NOT(ISERROR(SEARCH("A2 Program",Y486)))</formula>
    </cfRule>
    <cfRule type="containsText" dxfId="2409" priority="4239" operator="containsText" text="Local">
      <formula>NOT(ISERROR(SEARCH("Local",Y486)))</formula>
    </cfRule>
    <cfRule type="containsText" dxfId="2408" priority="4240" operator="containsText" text="Nearshore">
      <formula>NOT(ISERROR(SEARCH("Nearshore",Y486)))</formula>
    </cfRule>
    <cfRule type="containsText" dxfId="2407" priority="4241" operator="containsText" text="Freedom">
      <formula>NOT(ISERROR(SEARCH("Freedom",Y486)))</formula>
    </cfRule>
    <cfRule type="containsText" dxfId="2406" priority="4242" operator="containsText" text="Expedia">
      <formula>NOT(ISERROR(SEARCH("Expedia",Y486)))</formula>
    </cfRule>
    <cfRule type="containsText" dxfId="2405" priority="4243" operator="containsText" text="Re-join">
      <formula>NOT(ISERROR(SEARCH("Re-join",Y486)))</formula>
    </cfRule>
    <cfRule type="containsText" dxfId="2404" priority="4244" operator="containsText" text="Resigned">
      <formula>NOT(ISERROR(SEARCH("Resigned",Y486)))</formula>
    </cfRule>
  </conditionalFormatting>
  <conditionalFormatting sqref="Y520 AA520">
    <cfRule type="containsText" dxfId="2403" priority="4236" operator="containsText" text="Dismissed">
      <formula>NOT(ISERROR(SEARCH("Dismissed",Y520)))</formula>
    </cfRule>
  </conditionalFormatting>
  <conditionalFormatting sqref="Y520 AA520">
    <cfRule type="containsText" dxfId="2402" priority="4228" operator="containsText" text="WU">
      <formula>NOT(ISERROR(SEARCH("WU",Y520)))</formula>
    </cfRule>
    <cfRule type="containsText" dxfId="2401" priority="4229" operator="containsText" text="A2 Program">
      <formula>NOT(ISERROR(SEARCH("A2 Program",Y520)))</formula>
    </cfRule>
    <cfRule type="containsText" dxfId="2400" priority="4230" operator="containsText" text="Local">
      <formula>NOT(ISERROR(SEARCH("Local",Y520)))</formula>
    </cfRule>
    <cfRule type="containsText" dxfId="2399" priority="4231" operator="containsText" text="Nearshore">
      <formula>NOT(ISERROR(SEARCH("Nearshore",Y520)))</formula>
    </cfRule>
    <cfRule type="containsText" dxfId="2398" priority="4232" operator="containsText" text="Freedom">
      <formula>NOT(ISERROR(SEARCH("Freedom",Y520)))</formula>
    </cfRule>
    <cfRule type="containsText" dxfId="2397" priority="4233" operator="containsText" text="Expedia">
      <formula>NOT(ISERROR(SEARCH("Expedia",Y520)))</formula>
    </cfRule>
    <cfRule type="containsText" dxfId="2396" priority="4234" operator="containsText" text="Re-join">
      <formula>NOT(ISERROR(SEARCH("Re-join",Y520)))</formula>
    </cfRule>
    <cfRule type="containsText" dxfId="2395" priority="4235" operator="containsText" text="Resigned">
      <formula>NOT(ISERROR(SEARCH("Resigned",Y520)))</formula>
    </cfRule>
  </conditionalFormatting>
  <conditionalFormatting sqref="Y543 AA543">
    <cfRule type="containsText" dxfId="2394" priority="4227" operator="containsText" text="Dismissed">
      <formula>NOT(ISERROR(SEARCH("Dismissed",Y543)))</formula>
    </cfRule>
  </conditionalFormatting>
  <conditionalFormatting sqref="Y543 AA543">
    <cfRule type="containsText" dxfId="2393" priority="4219" operator="containsText" text="WU">
      <formula>NOT(ISERROR(SEARCH("WU",Y543)))</formula>
    </cfRule>
    <cfRule type="containsText" dxfId="2392" priority="4220" operator="containsText" text="A2 Program">
      <formula>NOT(ISERROR(SEARCH("A2 Program",Y543)))</formula>
    </cfRule>
    <cfRule type="containsText" dxfId="2391" priority="4221" operator="containsText" text="Local">
      <formula>NOT(ISERROR(SEARCH("Local",Y543)))</formula>
    </cfRule>
    <cfRule type="containsText" dxfId="2390" priority="4222" operator="containsText" text="Nearshore">
      <formula>NOT(ISERROR(SEARCH("Nearshore",Y543)))</formula>
    </cfRule>
    <cfRule type="containsText" dxfId="2389" priority="4223" operator="containsText" text="Freedom">
      <formula>NOT(ISERROR(SEARCH("Freedom",Y543)))</formula>
    </cfRule>
    <cfRule type="containsText" dxfId="2388" priority="4224" operator="containsText" text="Expedia">
      <formula>NOT(ISERROR(SEARCH("Expedia",Y543)))</formula>
    </cfRule>
    <cfRule type="containsText" dxfId="2387" priority="4225" operator="containsText" text="Re-join">
      <formula>NOT(ISERROR(SEARCH("Re-join",Y543)))</formula>
    </cfRule>
    <cfRule type="containsText" dxfId="2386" priority="4226" operator="containsText" text="Resigned">
      <formula>NOT(ISERROR(SEARCH("Resigned",Y543)))</formula>
    </cfRule>
  </conditionalFormatting>
  <conditionalFormatting sqref="Y552 AA552">
    <cfRule type="containsText" dxfId="2385" priority="4218" operator="containsText" text="Dismissed">
      <formula>NOT(ISERROR(SEARCH("Dismissed",Y552)))</formula>
    </cfRule>
  </conditionalFormatting>
  <conditionalFormatting sqref="Y552 AA552">
    <cfRule type="containsText" dxfId="2384" priority="4210" operator="containsText" text="WU">
      <formula>NOT(ISERROR(SEARCH("WU",Y552)))</formula>
    </cfRule>
    <cfRule type="containsText" dxfId="2383" priority="4211" operator="containsText" text="A2 Program">
      <formula>NOT(ISERROR(SEARCH("A2 Program",Y552)))</formula>
    </cfRule>
    <cfRule type="containsText" dxfId="2382" priority="4212" operator="containsText" text="Local">
      <formula>NOT(ISERROR(SEARCH("Local",Y552)))</formula>
    </cfRule>
    <cfRule type="containsText" dxfId="2381" priority="4213" operator="containsText" text="Nearshore">
      <formula>NOT(ISERROR(SEARCH("Nearshore",Y552)))</formula>
    </cfRule>
    <cfRule type="containsText" dxfId="2380" priority="4214" operator="containsText" text="Freedom">
      <formula>NOT(ISERROR(SEARCH("Freedom",Y552)))</formula>
    </cfRule>
    <cfRule type="containsText" dxfId="2379" priority="4215" operator="containsText" text="Expedia">
      <formula>NOT(ISERROR(SEARCH("Expedia",Y552)))</formula>
    </cfRule>
    <cfRule type="containsText" dxfId="2378" priority="4216" operator="containsText" text="Re-join">
      <formula>NOT(ISERROR(SEARCH("Re-join",Y552)))</formula>
    </cfRule>
    <cfRule type="containsText" dxfId="2377" priority="4217" operator="containsText" text="Resigned">
      <formula>NOT(ISERROR(SEARCH("Resigned",Y552)))</formula>
    </cfRule>
  </conditionalFormatting>
  <conditionalFormatting sqref="Y570 AA570">
    <cfRule type="containsText" dxfId="2376" priority="4209" operator="containsText" text="Dismissed">
      <formula>NOT(ISERROR(SEARCH("Dismissed",Y570)))</formula>
    </cfRule>
  </conditionalFormatting>
  <conditionalFormatting sqref="Y570 AA570">
    <cfRule type="containsText" dxfId="2375" priority="4201" operator="containsText" text="WU">
      <formula>NOT(ISERROR(SEARCH("WU",Y570)))</formula>
    </cfRule>
    <cfRule type="containsText" dxfId="2374" priority="4202" operator="containsText" text="A2 Program">
      <formula>NOT(ISERROR(SEARCH("A2 Program",Y570)))</formula>
    </cfRule>
    <cfRule type="containsText" dxfId="2373" priority="4203" operator="containsText" text="Local">
      <formula>NOT(ISERROR(SEARCH("Local",Y570)))</formula>
    </cfRule>
    <cfRule type="containsText" dxfId="2372" priority="4204" operator="containsText" text="Nearshore">
      <formula>NOT(ISERROR(SEARCH("Nearshore",Y570)))</formula>
    </cfRule>
    <cfRule type="containsText" dxfId="2371" priority="4205" operator="containsText" text="Freedom">
      <formula>NOT(ISERROR(SEARCH("Freedom",Y570)))</formula>
    </cfRule>
    <cfRule type="containsText" dxfId="2370" priority="4206" operator="containsText" text="Expedia">
      <formula>NOT(ISERROR(SEARCH("Expedia",Y570)))</formula>
    </cfRule>
    <cfRule type="containsText" dxfId="2369" priority="4207" operator="containsText" text="Re-join">
      <formula>NOT(ISERROR(SEARCH("Re-join",Y570)))</formula>
    </cfRule>
    <cfRule type="containsText" dxfId="2368" priority="4208" operator="containsText" text="Resigned">
      <formula>NOT(ISERROR(SEARCH("Resigned",Y570)))</formula>
    </cfRule>
  </conditionalFormatting>
  <conditionalFormatting sqref="Y576 AA576">
    <cfRule type="containsText" dxfId="2367" priority="4200" operator="containsText" text="Dismissed">
      <formula>NOT(ISERROR(SEARCH("Dismissed",Y576)))</formula>
    </cfRule>
  </conditionalFormatting>
  <conditionalFormatting sqref="Y576 AA576">
    <cfRule type="containsText" dxfId="2366" priority="4192" operator="containsText" text="WU">
      <formula>NOT(ISERROR(SEARCH("WU",Y576)))</formula>
    </cfRule>
    <cfRule type="containsText" dxfId="2365" priority="4193" operator="containsText" text="A2 Program">
      <formula>NOT(ISERROR(SEARCH("A2 Program",Y576)))</formula>
    </cfRule>
    <cfRule type="containsText" dxfId="2364" priority="4194" operator="containsText" text="Local">
      <formula>NOT(ISERROR(SEARCH("Local",Y576)))</formula>
    </cfRule>
    <cfRule type="containsText" dxfId="2363" priority="4195" operator="containsText" text="Nearshore">
      <formula>NOT(ISERROR(SEARCH("Nearshore",Y576)))</formula>
    </cfRule>
    <cfRule type="containsText" dxfId="2362" priority="4196" operator="containsText" text="Freedom">
      <formula>NOT(ISERROR(SEARCH("Freedom",Y576)))</formula>
    </cfRule>
    <cfRule type="containsText" dxfId="2361" priority="4197" operator="containsText" text="Expedia">
      <formula>NOT(ISERROR(SEARCH("Expedia",Y576)))</formula>
    </cfRule>
    <cfRule type="containsText" dxfId="2360" priority="4198" operator="containsText" text="Re-join">
      <formula>NOT(ISERROR(SEARCH("Re-join",Y576)))</formula>
    </cfRule>
    <cfRule type="containsText" dxfId="2359" priority="4199" operator="containsText" text="Resigned">
      <formula>NOT(ISERROR(SEARCH("Resigned",Y576)))</formula>
    </cfRule>
  </conditionalFormatting>
  <conditionalFormatting sqref="Y592 AA592">
    <cfRule type="containsText" dxfId="2358" priority="4191" operator="containsText" text="Dismissed">
      <formula>NOT(ISERROR(SEARCH("Dismissed",Y592)))</formula>
    </cfRule>
  </conditionalFormatting>
  <conditionalFormatting sqref="Y592 AA592">
    <cfRule type="containsText" dxfId="2357" priority="4183" operator="containsText" text="WU">
      <formula>NOT(ISERROR(SEARCH("WU",Y592)))</formula>
    </cfRule>
    <cfRule type="containsText" dxfId="2356" priority="4184" operator="containsText" text="A2 Program">
      <formula>NOT(ISERROR(SEARCH("A2 Program",Y592)))</formula>
    </cfRule>
    <cfRule type="containsText" dxfId="2355" priority="4185" operator="containsText" text="Local">
      <formula>NOT(ISERROR(SEARCH("Local",Y592)))</formula>
    </cfRule>
    <cfRule type="containsText" dxfId="2354" priority="4186" operator="containsText" text="Nearshore">
      <formula>NOT(ISERROR(SEARCH("Nearshore",Y592)))</formula>
    </cfRule>
    <cfRule type="containsText" dxfId="2353" priority="4187" operator="containsText" text="Freedom">
      <formula>NOT(ISERROR(SEARCH("Freedom",Y592)))</formula>
    </cfRule>
    <cfRule type="containsText" dxfId="2352" priority="4188" operator="containsText" text="Expedia">
      <formula>NOT(ISERROR(SEARCH("Expedia",Y592)))</formula>
    </cfRule>
    <cfRule type="containsText" dxfId="2351" priority="4189" operator="containsText" text="Re-join">
      <formula>NOT(ISERROR(SEARCH("Re-join",Y592)))</formula>
    </cfRule>
    <cfRule type="containsText" dxfId="2350" priority="4190" operator="containsText" text="Resigned">
      <formula>NOT(ISERROR(SEARCH("Resigned",Y592)))</formula>
    </cfRule>
  </conditionalFormatting>
  <conditionalFormatting sqref="Y613 AA613">
    <cfRule type="containsText" dxfId="2349" priority="4182" operator="containsText" text="Dismissed">
      <formula>NOT(ISERROR(SEARCH("Dismissed",Y613)))</formula>
    </cfRule>
  </conditionalFormatting>
  <conditionalFormatting sqref="Y613 AA613">
    <cfRule type="containsText" dxfId="2348" priority="4174" operator="containsText" text="WU">
      <formula>NOT(ISERROR(SEARCH("WU",Y613)))</formula>
    </cfRule>
    <cfRule type="containsText" dxfId="2347" priority="4175" operator="containsText" text="A2 Program">
      <formula>NOT(ISERROR(SEARCH("A2 Program",Y613)))</formula>
    </cfRule>
    <cfRule type="containsText" dxfId="2346" priority="4176" operator="containsText" text="Local">
      <formula>NOT(ISERROR(SEARCH("Local",Y613)))</formula>
    </cfRule>
    <cfRule type="containsText" dxfId="2345" priority="4177" operator="containsText" text="Nearshore">
      <formula>NOT(ISERROR(SEARCH("Nearshore",Y613)))</formula>
    </cfRule>
    <cfRule type="containsText" dxfId="2344" priority="4178" operator="containsText" text="Freedom">
      <formula>NOT(ISERROR(SEARCH("Freedom",Y613)))</formula>
    </cfRule>
    <cfRule type="containsText" dxfId="2343" priority="4179" operator="containsText" text="Expedia">
      <formula>NOT(ISERROR(SEARCH("Expedia",Y613)))</formula>
    </cfRule>
    <cfRule type="containsText" dxfId="2342" priority="4180" operator="containsText" text="Re-join">
      <formula>NOT(ISERROR(SEARCH("Re-join",Y613)))</formula>
    </cfRule>
    <cfRule type="containsText" dxfId="2341" priority="4181" operator="containsText" text="Resigned">
      <formula>NOT(ISERROR(SEARCH("Resigned",Y613)))</formula>
    </cfRule>
  </conditionalFormatting>
  <conditionalFormatting sqref="Y615 AA615">
    <cfRule type="containsText" dxfId="2340" priority="4173" operator="containsText" text="Dismissed">
      <formula>NOT(ISERROR(SEARCH("Dismissed",Y615)))</formula>
    </cfRule>
  </conditionalFormatting>
  <conditionalFormatting sqref="Y615 AA615">
    <cfRule type="containsText" dxfId="2339" priority="4165" operator="containsText" text="WU">
      <formula>NOT(ISERROR(SEARCH("WU",Y615)))</formula>
    </cfRule>
    <cfRule type="containsText" dxfId="2338" priority="4166" operator="containsText" text="A2 Program">
      <formula>NOT(ISERROR(SEARCH("A2 Program",Y615)))</formula>
    </cfRule>
    <cfRule type="containsText" dxfId="2337" priority="4167" operator="containsText" text="Local">
      <formula>NOT(ISERROR(SEARCH("Local",Y615)))</formula>
    </cfRule>
    <cfRule type="containsText" dxfId="2336" priority="4168" operator="containsText" text="Nearshore">
      <formula>NOT(ISERROR(SEARCH("Nearshore",Y615)))</formula>
    </cfRule>
    <cfRule type="containsText" dxfId="2335" priority="4169" operator="containsText" text="Freedom">
      <formula>NOT(ISERROR(SEARCH("Freedom",Y615)))</formula>
    </cfRule>
    <cfRule type="containsText" dxfId="2334" priority="4170" operator="containsText" text="Expedia">
      <formula>NOT(ISERROR(SEARCH("Expedia",Y615)))</formula>
    </cfRule>
    <cfRule type="containsText" dxfId="2333" priority="4171" operator="containsText" text="Re-join">
      <formula>NOT(ISERROR(SEARCH("Re-join",Y615)))</formula>
    </cfRule>
    <cfRule type="containsText" dxfId="2332" priority="4172" operator="containsText" text="Resigned">
      <formula>NOT(ISERROR(SEARCH("Resigned",Y615)))</formula>
    </cfRule>
  </conditionalFormatting>
  <conditionalFormatting sqref="Y667 AA667">
    <cfRule type="containsText" dxfId="2331" priority="4164" operator="containsText" text="Dismissed">
      <formula>NOT(ISERROR(SEARCH("Dismissed",Y667)))</formula>
    </cfRule>
  </conditionalFormatting>
  <conditionalFormatting sqref="Y667 AA667">
    <cfRule type="containsText" dxfId="2330" priority="4156" operator="containsText" text="WU">
      <formula>NOT(ISERROR(SEARCH("WU",Y667)))</formula>
    </cfRule>
    <cfRule type="containsText" dxfId="2329" priority="4157" operator="containsText" text="A2 Program">
      <formula>NOT(ISERROR(SEARCH("A2 Program",Y667)))</formula>
    </cfRule>
    <cfRule type="containsText" dxfId="2328" priority="4158" operator="containsText" text="Local">
      <formula>NOT(ISERROR(SEARCH("Local",Y667)))</formula>
    </cfRule>
    <cfRule type="containsText" dxfId="2327" priority="4159" operator="containsText" text="Nearshore">
      <formula>NOT(ISERROR(SEARCH("Nearshore",Y667)))</formula>
    </cfRule>
    <cfRule type="containsText" dxfId="2326" priority="4160" operator="containsText" text="Freedom">
      <formula>NOT(ISERROR(SEARCH("Freedom",Y667)))</formula>
    </cfRule>
    <cfRule type="containsText" dxfId="2325" priority="4161" operator="containsText" text="Expedia">
      <formula>NOT(ISERROR(SEARCH("Expedia",Y667)))</formula>
    </cfRule>
    <cfRule type="containsText" dxfId="2324" priority="4162" operator="containsText" text="Re-join">
      <formula>NOT(ISERROR(SEARCH("Re-join",Y667)))</formula>
    </cfRule>
    <cfRule type="containsText" dxfId="2323" priority="4163" operator="containsText" text="Resigned">
      <formula>NOT(ISERROR(SEARCH("Resigned",Y667)))</formula>
    </cfRule>
  </conditionalFormatting>
  <conditionalFormatting sqref="Y639 AA639">
    <cfRule type="containsText" dxfId="2322" priority="4155" operator="containsText" text="Dismissed">
      <formula>NOT(ISERROR(SEARCH("Dismissed",Y639)))</formula>
    </cfRule>
  </conditionalFormatting>
  <conditionalFormatting sqref="Y639 AA639">
    <cfRule type="containsText" dxfId="2321" priority="4147" operator="containsText" text="WU">
      <formula>NOT(ISERROR(SEARCH("WU",Y639)))</formula>
    </cfRule>
    <cfRule type="containsText" dxfId="2320" priority="4148" operator="containsText" text="A2 Program">
      <formula>NOT(ISERROR(SEARCH("A2 Program",Y639)))</formula>
    </cfRule>
    <cfRule type="containsText" dxfId="2319" priority="4149" operator="containsText" text="Local">
      <formula>NOT(ISERROR(SEARCH("Local",Y639)))</formula>
    </cfRule>
    <cfRule type="containsText" dxfId="2318" priority="4150" operator="containsText" text="Nearshore">
      <formula>NOT(ISERROR(SEARCH("Nearshore",Y639)))</formula>
    </cfRule>
    <cfRule type="containsText" dxfId="2317" priority="4151" operator="containsText" text="Freedom">
      <formula>NOT(ISERROR(SEARCH("Freedom",Y639)))</formula>
    </cfRule>
    <cfRule type="containsText" dxfId="2316" priority="4152" operator="containsText" text="Expedia">
      <formula>NOT(ISERROR(SEARCH("Expedia",Y639)))</formula>
    </cfRule>
    <cfRule type="containsText" dxfId="2315" priority="4153" operator="containsText" text="Re-join">
      <formula>NOT(ISERROR(SEARCH("Re-join",Y639)))</formula>
    </cfRule>
    <cfRule type="containsText" dxfId="2314" priority="4154" operator="containsText" text="Resigned">
      <formula>NOT(ISERROR(SEARCH("Resigned",Y639)))</formula>
    </cfRule>
  </conditionalFormatting>
  <conditionalFormatting sqref="Y673 AA673">
    <cfRule type="containsText" dxfId="2313" priority="4137" operator="containsText" text="Dismissed">
      <formula>NOT(ISERROR(SEARCH("Dismissed",Y673)))</formula>
    </cfRule>
  </conditionalFormatting>
  <conditionalFormatting sqref="Y673 AA673">
    <cfRule type="containsText" dxfId="2312" priority="4129" operator="containsText" text="WU">
      <formula>NOT(ISERROR(SEARCH("WU",Y673)))</formula>
    </cfRule>
    <cfRule type="containsText" dxfId="2311" priority="4130" operator="containsText" text="A2 Program">
      <formula>NOT(ISERROR(SEARCH("A2 Program",Y673)))</formula>
    </cfRule>
    <cfRule type="containsText" dxfId="2310" priority="4131" operator="containsText" text="Local">
      <formula>NOT(ISERROR(SEARCH("Local",Y673)))</formula>
    </cfRule>
    <cfRule type="containsText" dxfId="2309" priority="4132" operator="containsText" text="Nearshore">
      <formula>NOT(ISERROR(SEARCH("Nearshore",Y673)))</formula>
    </cfRule>
    <cfRule type="containsText" dxfId="2308" priority="4133" operator="containsText" text="Freedom">
      <formula>NOT(ISERROR(SEARCH("Freedom",Y673)))</formula>
    </cfRule>
    <cfRule type="containsText" dxfId="2307" priority="4134" operator="containsText" text="Expedia">
      <formula>NOT(ISERROR(SEARCH("Expedia",Y673)))</formula>
    </cfRule>
    <cfRule type="containsText" dxfId="2306" priority="4135" operator="containsText" text="Re-join">
      <formula>NOT(ISERROR(SEARCH("Re-join",Y673)))</formula>
    </cfRule>
    <cfRule type="containsText" dxfId="2305" priority="4136" operator="containsText" text="Resigned">
      <formula>NOT(ISERROR(SEARCH("Resigned",Y673)))</formula>
    </cfRule>
  </conditionalFormatting>
  <conditionalFormatting sqref="Y674 AA674">
    <cfRule type="containsText" dxfId="2304" priority="4128" operator="containsText" text="Dismissed">
      <formula>NOT(ISERROR(SEARCH("Dismissed",Y674)))</formula>
    </cfRule>
  </conditionalFormatting>
  <conditionalFormatting sqref="Y674 AA674">
    <cfRule type="containsText" dxfId="2303" priority="4120" operator="containsText" text="WU">
      <formula>NOT(ISERROR(SEARCH("WU",Y674)))</formula>
    </cfRule>
    <cfRule type="containsText" dxfId="2302" priority="4121" operator="containsText" text="A2 Program">
      <formula>NOT(ISERROR(SEARCH("A2 Program",Y674)))</formula>
    </cfRule>
    <cfRule type="containsText" dxfId="2301" priority="4122" operator="containsText" text="Local">
      <formula>NOT(ISERROR(SEARCH("Local",Y674)))</formula>
    </cfRule>
    <cfRule type="containsText" dxfId="2300" priority="4123" operator="containsText" text="Nearshore">
      <formula>NOT(ISERROR(SEARCH("Nearshore",Y674)))</formula>
    </cfRule>
    <cfRule type="containsText" dxfId="2299" priority="4124" operator="containsText" text="Freedom">
      <formula>NOT(ISERROR(SEARCH("Freedom",Y674)))</formula>
    </cfRule>
    <cfRule type="containsText" dxfId="2298" priority="4125" operator="containsText" text="Expedia">
      <formula>NOT(ISERROR(SEARCH("Expedia",Y674)))</formula>
    </cfRule>
    <cfRule type="containsText" dxfId="2297" priority="4126" operator="containsText" text="Re-join">
      <formula>NOT(ISERROR(SEARCH("Re-join",Y674)))</formula>
    </cfRule>
    <cfRule type="containsText" dxfId="2296" priority="4127" operator="containsText" text="Resigned">
      <formula>NOT(ISERROR(SEARCH("Resigned",Y674)))</formula>
    </cfRule>
  </conditionalFormatting>
  <conditionalFormatting sqref="Y675 AA675">
    <cfRule type="containsText" dxfId="2295" priority="4119" operator="containsText" text="Dismissed">
      <formula>NOT(ISERROR(SEARCH("Dismissed",Y675)))</formula>
    </cfRule>
  </conditionalFormatting>
  <conditionalFormatting sqref="Y675 AA675">
    <cfRule type="containsText" dxfId="2294" priority="4111" operator="containsText" text="WU">
      <formula>NOT(ISERROR(SEARCH("WU",Y675)))</formula>
    </cfRule>
    <cfRule type="containsText" dxfId="2293" priority="4112" operator="containsText" text="A2 Program">
      <formula>NOT(ISERROR(SEARCH("A2 Program",Y675)))</formula>
    </cfRule>
    <cfRule type="containsText" dxfId="2292" priority="4113" operator="containsText" text="Local">
      <formula>NOT(ISERROR(SEARCH("Local",Y675)))</formula>
    </cfRule>
    <cfRule type="containsText" dxfId="2291" priority="4114" operator="containsText" text="Nearshore">
      <formula>NOT(ISERROR(SEARCH("Nearshore",Y675)))</formula>
    </cfRule>
    <cfRule type="containsText" dxfId="2290" priority="4115" operator="containsText" text="Freedom">
      <formula>NOT(ISERROR(SEARCH("Freedom",Y675)))</formula>
    </cfRule>
    <cfRule type="containsText" dxfId="2289" priority="4116" operator="containsText" text="Expedia">
      <formula>NOT(ISERROR(SEARCH("Expedia",Y675)))</formula>
    </cfRule>
    <cfRule type="containsText" dxfId="2288" priority="4117" operator="containsText" text="Re-join">
      <formula>NOT(ISERROR(SEARCH("Re-join",Y675)))</formula>
    </cfRule>
    <cfRule type="containsText" dxfId="2287" priority="4118" operator="containsText" text="Resigned">
      <formula>NOT(ISERROR(SEARCH("Resigned",Y675)))</formula>
    </cfRule>
  </conditionalFormatting>
  <conditionalFormatting sqref="Y676 AA676">
    <cfRule type="containsText" dxfId="2286" priority="4110" operator="containsText" text="Dismissed">
      <formula>NOT(ISERROR(SEARCH("Dismissed",Y676)))</formula>
    </cfRule>
  </conditionalFormatting>
  <conditionalFormatting sqref="Y676 AA676">
    <cfRule type="containsText" dxfId="2285" priority="4102" operator="containsText" text="WU">
      <formula>NOT(ISERROR(SEARCH("WU",Y676)))</formula>
    </cfRule>
    <cfRule type="containsText" dxfId="2284" priority="4103" operator="containsText" text="A2 Program">
      <formula>NOT(ISERROR(SEARCH("A2 Program",Y676)))</formula>
    </cfRule>
    <cfRule type="containsText" dxfId="2283" priority="4104" operator="containsText" text="Local">
      <formula>NOT(ISERROR(SEARCH("Local",Y676)))</formula>
    </cfRule>
    <cfRule type="containsText" dxfId="2282" priority="4105" operator="containsText" text="Nearshore">
      <formula>NOT(ISERROR(SEARCH("Nearshore",Y676)))</formula>
    </cfRule>
    <cfRule type="containsText" dxfId="2281" priority="4106" operator="containsText" text="Freedom">
      <formula>NOT(ISERROR(SEARCH("Freedom",Y676)))</formula>
    </cfRule>
    <cfRule type="containsText" dxfId="2280" priority="4107" operator="containsText" text="Expedia">
      <formula>NOT(ISERROR(SEARCH("Expedia",Y676)))</formula>
    </cfRule>
    <cfRule type="containsText" dxfId="2279" priority="4108" operator="containsText" text="Re-join">
      <formula>NOT(ISERROR(SEARCH("Re-join",Y676)))</formula>
    </cfRule>
    <cfRule type="containsText" dxfId="2278" priority="4109" operator="containsText" text="Resigned">
      <formula>NOT(ISERROR(SEARCH("Resigned",Y676)))</formula>
    </cfRule>
  </conditionalFormatting>
  <conditionalFormatting sqref="Y678 AA678">
    <cfRule type="containsText" dxfId="2277" priority="4101" operator="containsText" text="Dismissed">
      <formula>NOT(ISERROR(SEARCH("Dismissed",Y678)))</formula>
    </cfRule>
  </conditionalFormatting>
  <conditionalFormatting sqref="Y678 AA678">
    <cfRule type="containsText" dxfId="2276" priority="4093" operator="containsText" text="WU">
      <formula>NOT(ISERROR(SEARCH("WU",Y678)))</formula>
    </cfRule>
    <cfRule type="containsText" dxfId="2275" priority="4094" operator="containsText" text="A2 Program">
      <formula>NOT(ISERROR(SEARCH("A2 Program",Y678)))</formula>
    </cfRule>
    <cfRule type="containsText" dxfId="2274" priority="4095" operator="containsText" text="Local">
      <formula>NOT(ISERROR(SEARCH("Local",Y678)))</formula>
    </cfRule>
    <cfRule type="containsText" dxfId="2273" priority="4096" operator="containsText" text="Nearshore">
      <formula>NOT(ISERROR(SEARCH("Nearshore",Y678)))</formula>
    </cfRule>
    <cfRule type="containsText" dxfId="2272" priority="4097" operator="containsText" text="Freedom">
      <formula>NOT(ISERROR(SEARCH("Freedom",Y678)))</formula>
    </cfRule>
    <cfRule type="containsText" dxfId="2271" priority="4098" operator="containsText" text="Expedia">
      <formula>NOT(ISERROR(SEARCH("Expedia",Y678)))</formula>
    </cfRule>
    <cfRule type="containsText" dxfId="2270" priority="4099" operator="containsText" text="Re-join">
      <formula>NOT(ISERROR(SEARCH("Re-join",Y678)))</formula>
    </cfRule>
    <cfRule type="containsText" dxfId="2269" priority="4100" operator="containsText" text="Resigned">
      <formula>NOT(ISERROR(SEARCH("Resigned",Y678)))</formula>
    </cfRule>
  </conditionalFormatting>
  <conditionalFormatting sqref="Y692 AA692">
    <cfRule type="containsText" dxfId="2268" priority="4092" operator="containsText" text="Dismissed">
      <formula>NOT(ISERROR(SEARCH("Dismissed",Y692)))</formula>
    </cfRule>
  </conditionalFormatting>
  <conditionalFormatting sqref="Y692 AA692">
    <cfRule type="containsText" dxfId="2267" priority="4084" operator="containsText" text="WU">
      <formula>NOT(ISERROR(SEARCH("WU",Y692)))</formula>
    </cfRule>
    <cfRule type="containsText" dxfId="2266" priority="4085" operator="containsText" text="A2 Program">
      <formula>NOT(ISERROR(SEARCH("A2 Program",Y692)))</formula>
    </cfRule>
    <cfRule type="containsText" dxfId="2265" priority="4086" operator="containsText" text="Local">
      <formula>NOT(ISERROR(SEARCH("Local",Y692)))</formula>
    </cfRule>
    <cfRule type="containsText" dxfId="2264" priority="4087" operator="containsText" text="Nearshore">
      <formula>NOT(ISERROR(SEARCH("Nearshore",Y692)))</formula>
    </cfRule>
    <cfRule type="containsText" dxfId="2263" priority="4088" operator="containsText" text="Freedom">
      <formula>NOT(ISERROR(SEARCH("Freedom",Y692)))</formula>
    </cfRule>
    <cfRule type="containsText" dxfId="2262" priority="4089" operator="containsText" text="Expedia">
      <formula>NOT(ISERROR(SEARCH("Expedia",Y692)))</formula>
    </cfRule>
    <cfRule type="containsText" dxfId="2261" priority="4090" operator="containsText" text="Re-join">
      <formula>NOT(ISERROR(SEARCH("Re-join",Y692)))</formula>
    </cfRule>
    <cfRule type="containsText" dxfId="2260" priority="4091" operator="containsText" text="Resigned">
      <formula>NOT(ISERROR(SEARCH("Resigned",Y692)))</formula>
    </cfRule>
  </conditionalFormatting>
  <conditionalFormatting sqref="Y693 AA693">
    <cfRule type="containsText" dxfId="2259" priority="4083" operator="containsText" text="Dismissed">
      <formula>NOT(ISERROR(SEARCH("Dismissed",Y693)))</formula>
    </cfRule>
  </conditionalFormatting>
  <conditionalFormatting sqref="Y693 AA693">
    <cfRule type="containsText" dxfId="2258" priority="4075" operator="containsText" text="WU">
      <formula>NOT(ISERROR(SEARCH("WU",Y693)))</formula>
    </cfRule>
    <cfRule type="containsText" dxfId="2257" priority="4076" operator="containsText" text="A2 Program">
      <formula>NOT(ISERROR(SEARCH("A2 Program",Y693)))</formula>
    </cfRule>
    <cfRule type="containsText" dxfId="2256" priority="4077" operator="containsText" text="Local">
      <formula>NOT(ISERROR(SEARCH("Local",Y693)))</formula>
    </cfRule>
    <cfRule type="containsText" dxfId="2255" priority="4078" operator="containsText" text="Nearshore">
      <formula>NOT(ISERROR(SEARCH("Nearshore",Y693)))</formula>
    </cfRule>
    <cfRule type="containsText" dxfId="2254" priority="4079" operator="containsText" text="Freedom">
      <formula>NOT(ISERROR(SEARCH("Freedom",Y693)))</formula>
    </cfRule>
    <cfRule type="containsText" dxfId="2253" priority="4080" operator="containsText" text="Expedia">
      <formula>NOT(ISERROR(SEARCH("Expedia",Y693)))</formula>
    </cfRule>
    <cfRule type="containsText" dxfId="2252" priority="4081" operator="containsText" text="Re-join">
      <formula>NOT(ISERROR(SEARCH("Re-join",Y693)))</formula>
    </cfRule>
    <cfRule type="containsText" dxfId="2251" priority="4082" operator="containsText" text="Resigned">
      <formula>NOT(ISERROR(SEARCH("Resigned",Y693)))</formula>
    </cfRule>
  </conditionalFormatting>
  <conditionalFormatting sqref="Y722 AA722">
    <cfRule type="containsText" dxfId="2250" priority="4074" operator="containsText" text="Dismissed">
      <formula>NOT(ISERROR(SEARCH("Dismissed",Y722)))</formula>
    </cfRule>
  </conditionalFormatting>
  <conditionalFormatting sqref="Y722 AA722">
    <cfRule type="containsText" dxfId="2249" priority="4066" operator="containsText" text="WU">
      <formula>NOT(ISERROR(SEARCH("WU",Y722)))</formula>
    </cfRule>
    <cfRule type="containsText" dxfId="2248" priority="4067" operator="containsText" text="A2 Program">
      <formula>NOT(ISERROR(SEARCH("A2 Program",Y722)))</formula>
    </cfRule>
    <cfRule type="containsText" dxfId="2247" priority="4068" operator="containsText" text="Local">
      <formula>NOT(ISERROR(SEARCH("Local",Y722)))</formula>
    </cfRule>
    <cfRule type="containsText" dxfId="2246" priority="4069" operator="containsText" text="Nearshore">
      <formula>NOT(ISERROR(SEARCH("Nearshore",Y722)))</formula>
    </cfRule>
    <cfRule type="containsText" dxfId="2245" priority="4070" operator="containsText" text="Freedom">
      <formula>NOT(ISERROR(SEARCH("Freedom",Y722)))</formula>
    </cfRule>
    <cfRule type="containsText" dxfId="2244" priority="4071" operator="containsText" text="Expedia">
      <formula>NOT(ISERROR(SEARCH("Expedia",Y722)))</formula>
    </cfRule>
    <cfRule type="containsText" dxfId="2243" priority="4072" operator="containsText" text="Re-join">
      <formula>NOT(ISERROR(SEARCH("Re-join",Y722)))</formula>
    </cfRule>
    <cfRule type="containsText" dxfId="2242" priority="4073" operator="containsText" text="Resigned">
      <formula>NOT(ISERROR(SEARCH("Resigned",Y722)))</formula>
    </cfRule>
  </conditionalFormatting>
  <conditionalFormatting sqref="Y735 AA735">
    <cfRule type="containsText" dxfId="2241" priority="4065" operator="containsText" text="Dismissed">
      <formula>NOT(ISERROR(SEARCH("Dismissed",Y735)))</formula>
    </cfRule>
  </conditionalFormatting>
  <conditionalFormatting sqref="Y735 AA735">
    <cfRule type="containsText" dxfId="2240" priority="4057" operator="containsText" text="WU">
      <formula>NOT(ISERROR(SEARCH("WU",Y735)))</formula>
    </cfRule>
    <cfRule type="containsText" dxfId="2239" priority="4058" operator="containsText" text="A2 Program">
      <formula>NOT(ISERROR(SEARCH("A2 Program",Y735)))</formula>
    </cfRule>
    <cfRule type="containsText" dxfId="2238" priority="4059" operator="containsText" text="Local">
      <formula>NOT(ISERROR(SEARCH("Local",Y735)))</formula>
    </cfRule>
    <cfRule type="containsText" dxfId="2237" priority="4060" operator="containsText" text="Nearshore">
      <formula>NOT(ISERROR(SEARCH("Nearshore",Y735)))</formula>
    </cfRule>
    <cfRule type="containsText" dxfId="2236" priority="4061" operator="containsText" text="Freedom">
      <formula>NOT(ISERROR(SEARCH("Freedom",Y735)))</formula>
    </cfRule>
    <cfRule type="containsText" dxfId="2235" priority="4062" operator="containsText" text="Expedia">
      <formula>NOT(ISERROR(SEARCH("Expedia",Y735)))</formula>
    </cfRule>
    <cfRule type="containsText" dxfId="2234" priority="4063" operator="containsText" text="Re-join">
      <formula>NOT(ISERROR(SEARCH("Re-join",Y735)))</formula>
    </cfRule>
    <cfRule type="containsText" dxfId="2233" priority="4064" operator="containsText" text="Resigned">
      <formula>NOT(ISERROR(SEARCH("Resigned",Y735)))</formula>
    </cfRule>
  </conditionalFormatting>
  <conditionalFormatting sqref="Y737 AA737">
    <cfRule type="containsText" dxfId="2232" priority="4056" operator="containsText" text="Dismissed">
      <formula>NOT(ISERROR(SEARCH("Dismissed",Y737)))</formula>
    </cfRule>
  </conditionalFormatting>
  <conditionalFormatting sqref="Y737 AA737">
    <cfRule type="containsText" dxfId="2231" priority="4048" operator="containsText" text="WU">
      <formula>NOT(ISERROR(SEARCH("WU",Y737)))</formula>
    </cfRule>
    <cfRule type="containsText" dxfId="2230" priority="4049" operator="containsText" text="A2 Program">
      <formula>NOT(ISERROR(SEARCH("A2 Program",Y737)))</formula>
    </cfRule>
    <cfRule type="containsText" dxfId="2229" priority="4050" operator="containsText" text="Local">
      <formula>NOT(ISERROR(SEARCH("Local",Y737)))</formula>
    </cfRule>
    <cfRule type="containsText" dxfId="2228" priority="4051" operator="containsText" text="Nearshore">
      <formula>NOT(ISERROR(SEARCH("Nearshore",Y737)))</formula>
    </cfRule>
    <cfRule type="containsText" dxfId="2227" priority="4052" operator="containsText" text="Freedom">
      <formula>NOT(ISERROR(SEARCH("Freedom",Y737)))</formula>
    </cfRule>
    <cfRule type="containsText" dxfId="2226" priority="4053" operator="containsText" text="Expedia">
      <formula>NOT(ISERROR(SEARCH("Expedia",Y737)))</formula>
    </cfRule>
    <cfRule type="containsText" dxfId="2225" priority="4054" operator="containsText" text="Re-join">
      <formula>NOT(ISERROR(SEARCH("Re-join",Y737)))</formula>
    </cfRule>
    <cfRule type="containsText" dxfId="2224" priority="4055" operator="containsText" text="Resigned">
      <formula>NOT(ISERROR(SEARCH("Resigned",Y737)))</formula>
    </cfRule>
  </conditionalFormatting>
  <conditionalFormatting sqref="Y786 AA786">
    <cfRule type="containsText" dxfId="2223" priority="4047" operator="containsText" text="Dismissed">
      <formula>NOT(ISERROR(SEARCH("Dismissed",Y786)))</formula>
    </cfRule>
  </conditionalFormatting>
  <conditionalFormatting sqref="Y786 AA786">
    <cfRule type="containsText" dxfId="2222" priority="4039" operator="containsText" text="WU">
      <formula>NOT(ISERROR(SEARCH("WU",Y786)))</formula>
    </cfRule>
    <cfRule type="containsText" dxfId="2221" priority="4040" operator="containsText" text="A2 Program">
      <formula>NOT(ISERROR(SEARCH("A2 Program",Y786)))</formula>
    </cfRule>
    <cfRule type="containsText" dxfId="2220" priority="4041" operator="containsText" text="Local">
      <formula>NOT(ISERROR(SEARCH("Local",Y786)))</formula>
    </cfRule>
    <cfRule type="containsText" dxfId="2219" priority="4042" operator="containsText" text="Nearshore">
      <formula>NOT(ISERROR(SEARCH("Nearshore",Y786)))</formula>
    </cfRule>
    <cfRule type="containsText" dxfId="2218" priority="4043" operator="containsText" text="Freedom">
      <formula>NOT(ISERROR(SEARCH("Freedom",Y786)))</formula>
    </cfRule>
    <cfRule type="containsText" dxfId="2217" priority="4044" operator="containsText" text="Expedia">
      <formula>NOT(ISERROR(SEARCH("Expedia",Y786)))</formula>
    </cfRule>
    <cfRule type="containsText" dxfId="2216" priority="4045" operator="containsText" text="Re-join">
      <formula>NOT(ISERROR(SEARCH("Re-join",Y786)))</formula>
    </cfRule>
    <cfRule type="containsText" dxfId="2215" priority="4046" operator="containsText" text="Resigned">
      <formula>NOT(ISERROR(SEARCH("Resigned",Y786)))</formula>
    </cfRule>
  </conditionalFormatting>
  <conditionalFormatting sqref="Y805 AA805">
    <cfRule type="containsText" dxfId="2214" priority="4038" operator="containsText" text="Dismissed">
      <formula>NOT(ISERROR(SEARCH("Dismissed",Y805)))</formula>
    </cfRule>
  </conditionalFormatting>
  <conditionalFormatting sqref="Y805 AA805">
    <cfRule type="containsText" dxfId="2213" priority="4030" operator="containsText" text="WU">
      <formula>NOT(ISERROR(SEARCH("WU",Y805)))</formula>
    </cfRule>
    <cfRule type="containsText" dxfId="2212" priority="4031" operator="containsText" text="A2 Program">
      <formula>NOT(ISERROR(SEARCH("A2 Program",Y805)))</formula>
    </cfRule>
    <cfRule type="containsText" dxfId="2211" priority="4032" operator="containsText" text="Local">
      <formula>NOT(ISERROR(SEARCH("Local",Y805)))</formula>
    </cfRule>
    <cfRule type="containsText" dxfId="2210" priority="4033" operator="containsText" text="Nearshore">
      <formula>NOT(ISERROR(SEARCH("Nearshore",Y805)))</formula>
    </cfRule>
    <cfRule type="containsText" dxfId="2209" priority="4034" operator="containsText" text="Freedom">
      <formula>NOT(ISERROR(SEARCH("Freedom",Y805)))</formula>
    </cfRule>
    <cfRule type="containsText" dxfId="2208" priority="4035" operator="containsText" text="Expedia">
      <formula>NOT(ISERROR(SEARCH("Expedia",Y805)))</formula>
    </cfRule>
    <cfRule type="containsText" dxfId="2207" priority="4036" operator="containsText" text="Re-join">
      <formula>NOT(ISERROR(SEARCH("Re-join",Y805)))</formula>
    </cfRule>
    <cfRule type="containsText" dxfId="2206" priority="4037" operator="containsText" text="Resigned">
      <formula>NOT(ISERROR(SEARCH("Resigned",Y805)))</formula>
    </cfRule>
  </conditionalFormatting>
  <conditionalFormatting sqref="Y834 AA834">
    <cfRule type="containsText" dxfId="2205" priority="4029" operator="containsText" text="Dismissed">
      <formula>NOT(ISERROR(SEARCH("Dismissed",Y834)))</formula>
    </cfRule>
  </conditionalFormatting>
  <conditionalFormatting sqref="Y834 AA834">
    <cfRule type="containsText" dxfId="2204" priority="4021" operator="containsText" text="WU">
      <formula>NOT(ISERROR(SEARCH("WU",Y834)))</formula>
    </cfRule>
    <cfRule type="containsText" dxfId="2203" priority="4022" operator="containsText" text="A2 Program">
      <formula>NOT(ISERROR(SEARCH("A2 Program",Y834)))</formula>
    </cfRule>
    <cfRule type="containsText" dxfId="2202" priority="4023" operator="containsText" text="Local">
      <formula>NOT(ISERROR(SEARCH("Local",Y834)))</formula>
    </cfRule>
    <cfRule type="containsText" dxfId="2201" priority="4024" operator="containsText" text="Nearshore">
      <formula>NOT(ISERROR(SEARCH("Nearshore",Y834)))</formula>
    </cfRule>
    <cfRule type="containsText" dxfId="2200" priority="4025" operator="containsText" text="Freedom">
      <formula>NOT(ISERROR(SEARCH("Freedom",Y834)))</formula>
    </cfRule>
    <cfRule type="containsText" dxfId="2199" priority="4026" operator="containsText" text="Expedia">
      <formula>NOT(ISERROR(SEARCH("Expedia",Y834)))</formula>
    </cfRule>
    <cfRule type="containsText" dxfId="2198" priority="4027" operator="containsText" text="Re-join">
      <formula>NOT(ISERROR(SEARCH("Re-join",Y834)))</formula>
    </cfRule>
    <cfRule type="containsText" dxfId="2197" priority="4028" operator="containsText" text="Resigned">
      <formula>NOT(ISERROR(SEARCH("Resigned",Y834)))</formula>
    </cfRule>
  </conditionalFormatting>
  <conditionalFormatting sqref="Y836 AA836">
    <cfRule type="containsText" dxfId="2196" priority="4020" operator="containsText" text="Dismissed">
      <formula>NOT(ISERROR(SEARCH("Dismissed",Y836)))</formula>
    </cfRule>
  </conditionalFormatting>
  <conditionalFormatting sqref="Y836 AA836">
    <cfRule type="containsText" dxfId="2195" priority="4012" operator="containsText" text="WU">
      <formula>NOT(ISERROR(SEARCH("WU",Y836)))</formula>
    </cfRule>
    <cfRule type="containsText" dxfId="2194" priority="4013" operator="containsText" text="A2 Program">
      <formula>NOT(ISERROR(SEARCH("A2 Program",Y836)))</formula>
    </cfRule>
    <cfRule type="containsText" dxfId="2193" priority="4014" operator="containsText" text="Local">
      <formula>NOT(ISERROR(SEARCH("Local",Y836)))</formula>
    </cfRule>
    <cfRule type="containsText" dxfId="2192" priority="4015" operator="containsText" text="Nearshore">
      <formula>NOT(ISERROR(SEARCH("Nearshore",Y836)))</formula>
    </cfRule>
    <cfRule type="containsText" dxfId="2191" priority="4016" operator="containsText" text="Freedom">
      <formula>NOT(ISERROR(SEARCH("Freedom",Y836)))</formula>
    </cfRule>
    <cfRule type="containsText" dxfId="2190" priority="4017" operator="containsText" text="Expedia">
      <formula>NOT(ISERROR(SEARCH("Expedia",Y836)))</formula>
    </cfRule>
    <cfRule type="containsText" dxfId="2189" priority="4018" operator="containsText" text="Re-join">
      <formula>NOT(ISERROR(SEARCH("Re-join",Y836)))</formula>
    </cfRule>
    <cfRule type="containsText" dxfId="2188" priority="4019" operator="containsText" text="Resigned">
      <formula>NOT(ISERROR(SEARCH("Resigned",Y836)))</formula>
    </cfRule>
  </conditionalFormatting>
  <conditionalFormatting sqref="Y847 AA847">
    <cfRule type="containsText" dxfId="2187" priority="4011" operator="containsText" text="Dismissed">
      <formula>NOT(ISERROR(SEARCH("Dismissed",Y847)))</formula>
    </cfRule>
  </conditionalFormatting>
  <conditionalFormatting sqref="Y847 AA847">
    <cfRule type="containsText" dxfId="2186" priority="4003" operator="containsText" text="WU">
      <formula>NOT(ISERROR(SEARCH("WU",Y847)))</formula>
    </cfRule>
    <cfRule type="containsText" dxfId="2185" priority="4004" operator="containsText" text="A2 Program">
      <formula>NOT(ISERROR(SEARCH("A2 Program",Y847)))</formula>
    </cfRule>
    <cfRule type="containsText" dxfId="2184" priority="4005" operator="containsText" text="Local">
      <formula>NOT(ISERROR(SEARCH("Local",Y847)))</formula>
    </cfRule>
    <cfRule type="containsText" dxfId="2183" priority="4006" operator="containsText" text="Nearshore">
      <formula>NOT(ISERROR(SEARCH("Nearshore",Y847)))</formula>
    </cfRule>
    <cfRule type="containsText" dxfId="2182" priority="4007" operator="containsText" text="Freedom">
      <formula>NOT(ISERROR(SEARCH("Freedom",Y847)))</formula>
    </cfRule>
    <cfRule type="containsText" dxfId="2181" priority="4008" operator="containsText" text="Expedia">
      <formula>NOT(ISERROR(SEARCH("Expedia",Y847)))</formula>
    </cfRule>
    <cfRule type="containsText" dxfId="2180" priority="4009" operator="containsText" text="Re-join">
      <formula>NOT(ISERROR(SEARCH("Re-join",Y847)))</formula>
    </cfRule>
    <cfRule type="containsText" dxfId="2179" priority="4010" operator="containsText" text="Resigned">
      <formula>NOT(ISERROR(SEARCH("Resigned",Y847)))</formula>
    </cfRule>
  </conditionalFormatting>
  <conditionalFormatting sqref="Y852 AA852">
    <cfRule type="containsText" dxfId="2178" priority="4002" operator="containsText" text="Dismissed">
      <formula>NOT(ISERROR(SEARCH("Dismissed",Y852)))</formula>
    </cfRule>
  </conditionalFormatting>
  <conditionalFormatting sqref="Y852 AA852">
    <cfRule type="containsText" dxfId="2177" priority="3994" operator="containsText" text="WU">
      <formula>NOT(ISERROR(SEARCH("WU",Y852)))</formula>
    </cfRule>
    <cfRule type="containsText" dxfId="2176" priority="3995" operator="containsText" text="A2 Program">
      <formula>NOT(ISERROR(SEARCH("A2 Program",Y852)))</formula>
    </cfRule>
    <cfRule type="containsText" dxfId="2175" priority="3996" operator="containsText" text="Local">
      <formula>NOT(ISERROR(SEARCH("Local",Y852)))</formula>
    </cfRule>
    <cfRule type="containsText" dxfId="2174" priority="3997" operator="containsText" text="Nearshore">
      <formula>NOT(ISERROR(SEARCH("Nearshore",Y852)))</formula>
    </cfRule>
    <cfRule type="containsText" dxfId="2173" priority="3998" operator="containsText" text="Freedom">
      <formula>NOT(ISERROR(SEARCH("Freedom",Y852)))</formula>
    </cfRule>
    <cfRule type="containsText" dxfId="2172" priority="3999" operator="containsText" text="Expedia">
      <formula>NOT(ISERROR(SEARCH("Expedia",Y852)))</formula>
    </cfRule>
    <cfRule type="containsText" dxfId="2171" priority="4000" operator="containsText" text="Re-join">
      <formula>NOT(ISERROR(SEARCH("Re-join",Y852)))</formula>
    </cfRule>
    <cfRule type="containsText" dxfId="2170" priority="4001" operator="containsText" text="Resigned">
      <formula>NOT(ISERROR(SEARCH("Resigned",Y852)))</formula>
    </cfRule>
  </conditionalFormatting>
  <conditionalFormatting sqref="Y868 AA868">
    <cfRule type="containsText" dxfId="2169" priority="3993" operator="containsText" text="Dismissed">
      <formula>NOT(ISERROR(SEARCH("Dismissed",Y868)))</formula>
    </cfRule>
  </conditionalFormatting>
  <conditionalFormatting sqref="Y868 AA868">
    <cfRule type="containsText" dxfId="2168" priority="3985" operator="containsText" text="WU">
      <formula>NOT(ISERROR(SEARCH("WU",Y868)))</formula>
    </cfRule>
    <cfRule type="containsText" dxfId="2167" priority="3986" operator="containsText" text="A2 Program">
      <formula>NOT(ISERROR(SEARCH("A2 Program",Y868)))</formula>
    </cfRule>
    <cfRule type="containsText" dxfId="2166" priority="3987" operator="containsText" text="Local">
      <formula>NOT(ISERROR(SEARCH("Local",Y868)))</formula>
    </cfRule>
    <cfRule type="containsText" dxfId="2165" priority="3988" operator="containsText" text="Nearshore">
      <formula>NOT(ISERROR(SEARCH("Nearshore",Y868)))</formula>
    </cfRule>
    <cfRule type="containsText" dxfId="2164" priority="3989" operator="containsText" text="Freedom">
      <formula>NOT(ISERROR(SEARCH("Freedom",Y868)))</formula>
    </cfRule>
    <cfRule type="containsText" dxfId="2163" priority="3990" operator="containsText" text="Expedia">
      <formula>NOT(ISERROR(SEARCH("Expedia",Y868)))</formula>
    </cfRule>
    <cfRule type="containsText" dxfId="2162" priority="3991" operator="containsText" text="Re-join">
      <formula>NOT(ISERROR(SEARCH("Re-join",Y868)))</formula>
    </cfRule>
    <cfRule type="containsText" dxfId="2161" priority="3992" operator="containsText" text="Resigned">
      <formula>NOT(ISERROR(SEARCH("Resigned",Y868)))</formula>
    </cfRule>
  </conditionalFormatting>
  <conditionalFormatting sqref="Y875 AA875">
    <cfRule type="containsText" dxfId="2160" priority="3984" operator="containsText" text="Dismissed">
      <formula>NOT(ISERROR(SEARCH("Dismissed",Y875)))</formula>
    </cfRule>
  </conditionalFormatting>
  <conditionalFormatting sqref="Y875 AA875">
    <cfRule type="containsText" dxfId="2159" priority="3976" operator="containsText" text="WU">
      <formula>NOT(ISERROR(SEARCH("WU",Y875)))</formula>
    </cfRule>
    <cfRule type="containsText" dxfId="2158" priority="3977" operator="containsText" text="A2 Program">
      <formula>NOT(ISERROR(SEARCH("A2 Program",Y875)))</formula>
    </cfRule>
    <cfRule type="containsText" dxfId="2157" priority="3978" operator="containsText" text="Local">
      <formula>NOT(ISERROR(SEARCH("Local",Y875)))</formula>
    </cfRule>
    <cfRule type="containsText" dxfId="2156" priority="3979" operator="containsText" text="Nearshore">
      <formula>NOT(ISERROR(SEARCH("Nearshore",Y875)))</formula>
    </cfRule>
    <cfRule type="containsText" dxfId="2155" priority="3980" operator="containsText" text="Freedom">
      <formula>NOT(ISERROR(SEARCH("Freedom",Y875)))</formula>
    </cfRule>
    <cfRule type="containsText" dxfId="2154" priority="3981" operator="containsText" text="Expedia">
      <formula>NOT(ISERROR(SEARCH("Expedia",Y875)))</formula>
    </cfRule>
    <cfRule type="containsText" dxfId="2153" priority="3982" operator="containsText" text="Re-join">
      <formula>NOT(ISERROR(SEARCH("Re-join",Y875)))</formula>
    </cfRule>
    <cfRule type="containsText" dxfId="2152" priority="3983" operator="containsText" text="Resigned">
      <formula>NOT(ISERROR(SEARCH("Resigned",Y875)))</formula>
    </cfRule>
  </conditionalFormatting>
  <conditionalFormatting sqref="Y878 AA878">
    <cfRule type="containsText" dxfId="2151" priority="3975" operator="containsText" text="Dismissed">
      <formula>NOT(ISERROR(SEARCH("Dismissed",Y878)))</formula>
    </cfRule>
  </conditionalFormatting>
  <conditionalFormatting sqref="Y878 AA878">
    <cfRule type="containsText" dxfId="2150" priority="3967" operator="containsText" text="WU">
      <formula>NOT(ISERROR(SEARCH("WU",Y878)))</formula>
    </cfRule>
    <cfRule type="containsText" dxfId="2149" priority="3968" operator="containsText" text="A2 Program">
      <formula>NOT(ISERROR(SEARCH("A2 Program",Y878)))</formula>
    </cfRule>
    <cfRule type="containsText" dxfId="2148" priority="3969" operator="containsText" text="Local">
      <formula>NOT(ISERROR(SEARCH("Local",Y878)))</formula>
    </cfRule>
    <cfRule type="containsText" dxfId="2147" priority="3970" operator="containsText" text="Nearshore">
      <formula>NOT(ISERROR(SEARCH("Nearshore",Y878)))</formula>
    </cfRule>
    <cfRule type="containsText" dxfId="2146" priority="3971" operator="containsText" text="Freedom">
      <formula>NOT(ISERROR(SEARCH("Freedom",Y878)))</formula>
    </cfRule>
    <cfRule type="containsText" dxfId="2145" priority="3972" operator="containsText" text="Expedia">
      <formula>NOT(ISERROR(SEARCH("Expedia",Y878)))</formula>
    </cfRule>
    <cfRule type="containsText" dxfId="2144" priority="3973" operator="containsText" text="Re-join">
      <formula>NOT(ISERROR(SEARCH("Re-join",Y878)))</formula>
    </cfRule>
    <cfRule type="containsText" dxfId="2143" priority="3974" operator="containsText" text="Resigned">
      <formula>NOT(ISERROR(SEARCH("Resigned",Y878)))</formula>
    </cfRule>
  </conditionalFormatting>
  <conditionalFormatting sqref="Y887 AA887">
    <cfRule type="containsText" dxfId="2142" priority="3966" operator="containsText" text="Dismissed">
      <formula>NOT(ISERROR(SEARCH("Dismissed",Y887)))</formula>
    </cfRule>
  </conditionalFormatting>
  <conditionalFormatting sqref="Y887 AA887">
    <cfRule type="containsText" dxfId="2141" priority="3958" operator="containsText" text="WU">
      <formula>NOT(ISERROR(SEARCH("WU",Y887)))</formula>
    </cfRule>
    <cfRule type="containsText" dxfId="2140" priority="3959" operator="containsText" text="A2 Program">
      <formula>NOT(ISERROR(SEARCH("A2 Program",Y887)))</formula>
    </cfRule>
    <cfRule type="containsText" dxfId="2139" priority="3960" operator="containsText" text="Local">
      <formula>NOT(ISERROR(SEARCH("Local",Y887)))</formula>
    </cfRule>
    <cfRule type="containsText" dxfId="2138" priority="3961" operator="containsText" text="Nearshore">
      <formula>NOT(ISERROR(SEARCH("Nearshore",Y887)))</formula>
    </cfRule>
    <cfRule type="containsText" dxfId="2137" priority="3962" operator="containsText" text="Freedom">
      <formula>NOT(ISERROR(SEARCH("Freedom",Y887)))</formula>
    </cfRule>
    <cfRule type="containsText" dxfId="2136" priority="3963" operator="containsText" text="Expedia">
      <formula>NOT(ISERROR(SEARCH("Expedia",Y887)))</formula>
    </cfRule>
    <cfRule type="containsText" dxfId="2135" priority="3964" operator="containsText" text="Re-join">
      <formula>NOT(ISERROR(SEARCH("Re-join",Y887)))</formula>
    </cfRule>
    <cfRule type="containsText" dxfId="2134" priority="3965" operator="containsText" text="Resigned">
      <formula>NOT(ISERROR(SEARCH("Resigned",Y887)))</formula>
    </cfRule>
  </conditionalFormatting>
  <conditionalFormatting sqref="Y924 AA924">
    <cfRule type="containsText" dxfId="2133" priority="3957" operator="containsText" text="Dismissed">
      <formula>NOT(ISERROR(SEARCH("Dismissed",Y924)))</formula>
    </cfRule>
  </conditionalFormatting>
  <conditionalFormatting sqref="Y924 AA924">
    <cfRule type="containsText" dxfId="2132" priority="3949" operator="containsText" text="WU">
      <formula>NOT(ISERROR(SEARCH("WU",Y924)))</formula>
    </cfRule>
    <cfRule type="containsText" dxfId="2131" priority="3950" operator="containsText" text="A2 Program">
      <formula>NOT(ISERROR(SEARCH("A2 Program",Y924)))</formula>
    </cfRule>
    <cfRule type="containsText" dxfId="2130" priority="3951" operator="containsText" text="Local">
      <formula>NOT(ISERROR(SEARCH("Local",Y924)))</formula>
    </cfRule>
    <cfRule type="containsText" dxfId="2129" priority="3952" operator="containsText" text="Nearshore">
      <formula>NOT(ISERROR(SEARCH("Nearshore",Y924)))</formula>
    </cfRule>
    <cfRule type="containsText" dxfId="2128" priority="3953" operator="containsText" text="Freedom">
      <formula>NOT(ISERROR(SEARCH("Freedom",Y924)))</formula>
    </cfRule>
    <cfRule type="containsText" dxfId="2127" priority="3954" operator="containsText" text="Expedia">
      <formula>NOT(ISERROR(SEARCH("Expedia",Y924)))</formula>
    </cfRule>
    <cfRule type="containsText" dxfId="2126" priority="3955" operator="containsText" text="Re-join">
      <formula>NOT(ISERROR(SEARCH("Re-join",Y924)))</formula>
    </cfRule>
    <cfRule type="containsText" dxfId="2125" priority="3956" operator="containsText" text="Resigned">
      <formula>NOT(ISERROR(SEARCH("Resigned",Y924)))</formula>
    </cfRule>
  </conditionalFormatting>
  <conditionalFormatting sqref="Y960 AA960">
    <cfRule type="containsText" dxfId="2124" priority="3948" operator="containsText" text="Dismissed">
      <formula>NOT(ISERROR(SEARCH("Dismissed",Y960)))</formula>
    </cfRule>
  </conditionalFormatting>
  <conditionalFormatting sqref="Y960 AA960">
    <cfRule type="containsText" dxfId="2123" priority="3940" operator="containsText" text="WU">
      <formula>NOT(ISERROR(SEARCH("WU",Y960)))</formula>
    </cfRule>
    <cfRule type="containsText" dxfId="2122" priority="3941" operator="containsText" text="A2 Program">
      <formula>NOT(ISERROR(SEARCH("A2 Program",Y960)))</formula>
    </cfRule>
    <cfRule type="containsText" dxfId="2121" priority="3942" operator="containsText" text="Local">
      <formula>NOT(ISERROR(SEARCH("Local",Y960)))</formula>
    </cfRule>
    <cfRule type="containsText" dxfId="2120" priority="3943" operator="containsText" text="Nearshore">
      <formula>NOT(ISERROR(SEARCH("Nearshore",Y960)))</formula>
    </cfRule>
    <cfRule type="containsText" dxfId="2119" priority="3944" operator="containsText" text="Freedom">
      <formula>NOT(ISERROR(SEARCH("Freedom",Y960)))</formula>
    </cfRule>
    <cfRule type="containsText" dxfId="2118" priority="3945" operator="containsText" text="Expedia">
      <formula>NOT(ISERROR(SEARCH("Expedia",Y960)))</formula>
    </cfRule>
    <cfRule type="containsText" dxfId="2117" priority="3946" operator="containsText" text="Re-join">
      <formula>NOT(ISERROR(SEARCH("Re-join",Y960)))</formula>
    </cfRule>
    <cfRule type="containsText" dxfId="2116" priority="3947" operator="containsText" text="Resigned">
      <formula>NOT(ISERROR(SEARCH("Resigned",Y960)))</formula>
    </cfRule>
  </conditionalFormatting>
  <conditionalFormatting sqref="Y1028 AA1028">
    <cfRule type="containsText" dxfId="2115" priority="3939" operator="containsText" text="Dismissed">
      <formula>NOT(ISERROR(SEARCH("Dismissed",Y1028)))</formula>
    </cfRule>
  </conditionalFormatting>
  <conditionalFormatting sqref="Y1028 AA1028">
    <cfRule type="containsText" dxfId="2114" priority="3931" operator="containsText" text="WU">
      <formula>NOT(ISERROR(SEARCH("WU",Y1028)))</formula>
    </cfRule>
    <cfRule type="containsText" dxfId="2113" priority="3932" operator="containsText" text="A2 Program">
      <formula>NOT(ISERROR(SEARCH("A2 Program",Y1028)))</formula>
    </cfRule>
    <cfRule type="containsText" dxfId="2112" priority="3933" operator="containsText" text="Local">
      <formula>NOT(ISERROR(SEARCH("Local",Y1028)))</formula>
    </cfRule>
    <cfRule type="containsText" dxfId="2111" priority="3934" operator="containsText" text="Nearshore">
      <formula>NOT(ISERROR(SEARCH("Nearshore",Y1028)))</formula>
    </cfRule>
    <cfRule type="containsText" dxfId="2110" priority="3935" operator="containsText" text="Freedom">
      <formula>NOT(ISERROR(SEARCH("Freedom",Y1028)))</formula>
    </cfRule>
    <cfRule type="containsText" dxfId="2109" priority="3936" operator="containsText" text="Expedia">
      <formula>NOT(ISERROR(SEARCH("Expedia",Y1028)))</formula>
    </cfRule>
    <cfRule type="containsText" dxfId="2108" priority="3937" operator="containsText" text="Re-join">
      <formula>NOT(ISERROR(SEARCH("Re-join",Y1028)))</formula>
    </cfRule>
    <cfRule type="containsText" dxfId="2107" priority="3938" operator="containsText" text="Resigned">
      <formula>NOT(ISERROR(SEARCH("Resigned",Y1028)))</formula>
    </cfRule>
  </conditionalFormatting>
  <conditionalFormatting sqref="Y980 AA980">
    <cfRule type="containsText" dxfId="2106" priority="3930" operator="containsText" text="Dismissed">
      <formula>NOT(ISERROR(SEARCH("Dismissed",Y980)))</formula>
    </cfRule>
  </conditionalFormatting>
  <conditionalFormatting sqref="Y980 AA980">
    <cfRule type="containsText" dxfId="2105" priority="3922" operator="containsText" text="WU">
      <formula>NOT(ISERROR(SEARCH("WU",Y980)))</formula>
    </cfRule>
    <cfRule type="containsText" dxfId="2104" priority="3923" operator="containsText" text="A2 Program">
      <formula>NOT(ISERROR(SEARCH("A2 Program",Y980)))</formula>
    </cfRule>
    <cfRule type="containsText" dxfId="2103" priority="3924" operator="containsText" text="Local">
      <formula>NOT(ISERROR(SEARCH("Local",Y980)))</formula>
    </cfRule>
    <cfRule type="containsText" dxfId="2102" priority="3925" operator="containsText" text="Nearshore">
      <formula>NOT(ISERROR(SEARCH("Nearshore",Y980)))</formula>
    </cfRule>
    <cfRule type="containsText" dxfId="2101" priority="3926" operator="containsText" text="Freedom">
      <formula>NOT(ISERROR(SEARCH("Freedom",Y980)))</formula>
    </cfRule>
    <cfRule type="containsText" dxfId="2100" priority="3927" operator="containsText" text="Expedia">
      <formula>NOT(ISERROR(SEARCH("Expedia",Y980)))</formula>
    </cfRule>
    <cfRule type="containsText" dxfId="2099" priority="3928" operator="containsText" text="Re-join">
      <formula>NOT(ISERROR(SEARCH("Re-join",Y980)))</formula>
    </cfRule>
    <cfRule type="containsText" dxfId="2098" priority="3929" operator="containsText" text="Resigned">
      <formula>NOT(ISERROR(SEARCH("Resigned",Y980)))</formula>
    </cfRule>
  </conditionalFormatting>
  <conditionalFormatting sqref="Y1003 AA1003">
    <cfRule type="containsText" dxfId="2097" priority="3921" operator="containsText" text="Dismissed">
      <formula>NOT(ISERROR(SEARCH("Dismissed",Y1003)))</formula>
    </cfRule>
  </conditionalFormatting>
  <conditionalFormatting sqref="Y1003 AA1003">
    <cfRule type="containsText" dxfId="2096" priority="3913" operator="containsText" text="WU">
      <formula>NOT(ISERROR(SEARCH("WU",Y1003)))</formula>
    </cfRule>
    <cfRule type="containsText" dxfId="2095" priority="3914" operator="containsText" text="A2 Program">
      <formula>NOT(ISERROR(SEARCH("A2 Program",Y1003)))</formula>
    </cfRule>
    <cfRule type="containsText" dxfId="2094" priority="3915" operator="containsText" text="Local">
      <formula>NOT(ISERROR(SEARCH("Local",Y1003)))</formula>
    </cfRule>
    <cfRule type="containsText" dxfId="2093" priority="3916" operator="containsText" text="Nearshore">
      <formula>NOT(ISERROR(SEARCH("Nearshore",Y1003)))</formula>
    </cfRule>
    <cfRule type="containsText" dxfId="2092" priority="3917" operator="containsText" text="Freedom">
      <formula>NOT(ISERROR(SEARCH("Freedom",Y1003)))</formula>
    </cfRule>
    <cfRule type="containsText" dxfId="2091" priority="3918" operator="containsText" text="Expedia">
      <formula>NOT(ISERROR(SEARCH("Expedia",Y1003)))</formula>
    </cfRule>
    <cfRule type="containsText" dxfId="2090" priority="3919" operator="containsText" text="Re-join">
      <formula>NOT(ISERROR(SEARCH("Re-join",Y1003)))</formula>
    </cfRule>
    <cfRule type="containsText" dxfId="2089" priority="3920" operator="containsText" text="Resigned">
      <formula>NOT(ISERROR(SEARCH("Resigned",Y1003)))</formula>
    </cfRule>
  </conditionalFormatting>
  <conditionalFormatting sqref="Y1033 AA1033">
    <cfRule type="containsText" dxfId="2088" priority="3912" operator="containsText" text="Dismissed">
      <formula>NOT(ISERROR(SEARCH("Dismissed",Y1033)))</formula>
    </cfRule>
  </conditionalFormatting>
  <conditionalFormatting sqref="Y1033 AA1033">
    <cfRule type="containsText" dxfId="2087" priority="3904" operator="containsText" text="WU">
      <formula>NOT(ISERROR(SEARCH("WU",Y1033)))</formula>
    </cfRule>
    <cfRule type="containsText" dxfId="2086" priority="3905" operator="containsText" text="A2 Program">
      <formula>NOT(ISERROR(SEARCH("A2 Program",Y1033)))</formula>
    </cfRule>
    <cfRule type="containsText" dxfId="2085" priority="3906" operator="containsText" text="Local">
      <formula>NOT(ISERROR(SEARCH("Local",Y1033)))</formula>
    </cfRule>
    <cfRule type="containsText" dxfId="2084" priority="3907" operator="containsText" text="Nearshore">
      <formula>NOT(ISERROR(SEARCH("Nearshore",Y1033)))</formula>
    </cfRule>
    <cfRule type="containsText" dxfId="2083" priority="3908" operator="containsText" text="Freedom">
      <formula>NOT(ISERROR(SEARCH("Freedom",Y1033)))</formula>
    </cfRule>
    <cfRule type="containsText" dxfId="2082" priority="3909" operator="containsText" text="Expedia">
      <formula>NOT(ISERROR(SEARCH("Expedia",Y1033)))</formula>
    </cfRule>
    <cfRule type="containsText" dxfId="2081" priority="3910" operator="containsText" text="Re-join">
      <formula>NOT(ISERROR(SEARCH("Re-join",Y1033)))</formula>
    </cfRule>
    <cfRule type="containsText" dxfId="2080" priority="3911" operator="containsText" text="Resigned">
      <formula>NOT(ISERROR(SEARCH("Resigned",Y1033)))</formula>
    </cfRule>
  </conditionalFormatting>
  <conditionalFormatting sqref="Y1038 AA1038">
    <cfRule type="containsText" dxfId="2079" priority="3903" operator="containsText" text="Dismissed">
      <formula>NOT(ISERROR(SEARCH("Dismissed",Y1038)))</formula>
    </cfRule>
  </conditionalFormatting>
  <conditionalFormatting sqref="Y1038 AA1038">
    <cfRule type="containsText" dxfId="2078" priority="3895" operator="containsText" text="WU">
      <formula>NOT(ISERROR(SEARCH("WU",Y1038)))</formula>
    </cfRule>
    <cfRule type="containsText" dxfId="2077" priority="3896" operator="containsText" text="A2 Program">
      <formula>NOT(ISERROR(SEARCH("A2 Program",Y1038)))</formula>
    </cfRule>
    <cfRule type="containsText" dxfId="2076" priority="3897" operator="containsText" text="Local">
      <formula>NOT(ISERROR(SEARCH("Local",Y1038)))</formula>
    </cfRule>
    <cfRule type="containsText" dxfId="2075" priority="3898" operator="containsText" text="Nearshore">
      <formula>NOT(ISERROR(SEARCH("Nearshore",Y1038)))</formula>
    </cfRule>
    <cfRule type="containsText" dxfId="2074" priority="3899" operator="containsText" text="Freedom">
      <formula>NOT(ISERROR(SEARCH("Freedom",Y1038)))</formula>
    </cfRule>
    <cfRule type="containsText" dxfId="2073" priority="3900" operator="containsText" text="Expedia">
      <formula>NOT(ISERROR(SEARCH("Expedia",Y1038)))</formula>
    </cfRule>
    <cfRule type="containsText" dxfId="2072" priority="3901" operator="containsText" text="Re-join">
      <formula>NOT(ISERROR(SEARCH("Re-join",Y1038)))</formula>
    </cfRule>
    <cfRule type="containsText" dxfId="2071" priority="3902" operator="containsText" text="Resigned">
      <formula>NOT(ISERROR(SEARCH("Resigned",Y1038)))</formula>
    </cfRule>
  </conditionalFormatting>
  <conditionalFormatting sqref="Y1069 AA1069">
    <cfRule type="containsText" dxfId="2070" priority="3894" operator="containsText" text="Dismissed">
      <formula>NOT(ISERROR(SEARCH("Dismissed",Y1069)))</formula>
    </cfRule>
  </conditionalFormatting>
  <conditionalFormatting sqref="Y1069 AA1069">
    <cfRule type="containsText" dxfId="2069" priority="3886" operator="containsText" text="WU">
      <formula>NOT(ISERROR(SEARCH("WU",Y1069)))</formula>
    </cfRule>
    <cfRule type="containsText" dxfId="2068" priority="3887" operator="containsText" text="A2 Program">
      <formula>NOT(ISERROR(SEARCH("A2 Program",Y1069)))</formula>
    </cfRule>
    <cfRule type="containsText" dxfId="2067" priority="3888" operator="containsText" text="Local">
      <formula>NOT(ISERROR(SEARCH("Local",Y1069)))</formula>
    </cfRule>
    <cfRule type="containsText" dxfId="2066" priority="3889" operator="containsText" text="Nearshore">
      <formula>NOT(ISERROR(SEARCH("Nearshore",Y1069)))</formula>
    </cfRule>
    <cfRule type="containsText" dxfId="2065" priority="3890" operator="containsText" text="Freedom">
      <formula>NOT(ISERROR(SEARCH("Freedom",Y1069)))</formula>
    </cfRule>
    <cfRule type="containsText" dxfId="2064" priority="3891" operator="containsText" text="Expedia">
      <formula>NOT(ISERROR(SEARCH("Expedia",Y1069)))</formula>
    </cfRule>
    <cfRule type="containsText" dxfId="2063" priority="3892" operator="containsText" text="Re-join">
      <formula>NOT(ISERROR(SEARCH("Re-join",Y1069)))</formula>
    </cfRule>
    <cfRule type="containsText" dxfId="2062" priority="3893" operator="containsText" text="Resigned">
      <formula>NOT(ISERROR(SEARCH("Resigned",Y1069)))</formula>
    </cfRule>
  </conditionalFormatting>
  <conditionalFormatting sqref="Y1114 AA1114">
    <cfRule type="containsText" dxfId="2061" priority="3885" operator="containsText" text="Dismissed">
      <formula>NOT(ISERROR(SEARCH("Dismissed",Y1114)))</formula>
    </cfRule>
  </conditionalFormatting>
  <conditionalFormatting sqref="Y1114 AA1114">
    <cfRule type="containsText" dxfId="2060" priority="3877" operator="containsText" text="WU">
      <formula>NOT(ISERROR(SEARCH("WU",Y1114)))</formula>
    </cfRule>
    <cfRule type="containsText" dxfId="2059" priority="3878" operator="containsText" text="A2 Program">
      <formula>NOT(ISERROR(SEARCH("A2 Program",Y1114)))</formula>
    </cfRule>
    <cfRule type="containsText" dxfId="2058" priority="3879" operator="containsText" text="Local">
      <formula>NOT(ISERROR(SEARCH("Local",Y1114)))</formula>
    </cfRule>
    <cfRule type="containsText" dxfId="2057" priority="3880" operator="containsText" text="Nearshore">
      <formula>NOT(ISERROR(SEARCH("Nearshore",Y1114)))</formula>
    </cfRule>
    <cfRule type="containsText" dxfId="2056" priority="3881" operator="containsText" text="Freedom">
      <formula>NOT(ISERROR(SEARCH("Freedom",Y1114)))</formula>
    </cfRule>
    <cfRule type="containsText" dxfId="2055" priority="3882" operator="containsText" text="Expedia">
      <formula>NOT(ISERROR(SEARCH("Expedia",Y1114)))</formula>
    </cfRule>
    <cfRule type="containsText" dxfId="2054" priority="3883" operator="containsText" text="Re-join">
      <formula>NOT(ISERROR(SEARCH("Re-join",Y1114)))</formula>
    </cfRule>
    <cfRule type="containsText" dxfId="2053" priority="3884" operator="containsText" text="Resigned">
      <formula>NOT(ISERROR(SEARCH("Resigned",Y1114)))</formula>
    </cfRule>
  </conditionalFormatting>
  <conditionalFormatting sqref="Y1125 AA1125">
    <cfRule type="containsText" dxfId="2052" priority="3876" operator="containsText" text="Dismissed">
      <formula>NOT(ISERROR(SEARCH("Dismissed",Y1125)))</formula>
    </cfRule>
  </conditionalFormatting>
  <conditionalFormatting sqref="Y1125 AA1125">
    <cfRule type="containsText" dxfId="2051" priority="3868" operator="containsText" text="WU">
      <formula>NOT(ISERROR(SEARCH("WU",Y1125)))</formula>
    </cfRule>
    <cfRule type="containsText" dxfId="2050" priority="3869" operator="containsText" text="A2 Program">
      <formula>NOT(ISERROR(SEARCH("A2 Program",Y1125)))</formula>
    </cfRule>
    <cfRule type="containsText" dxfId="2049" priority="3870" operator="containsText" text="Local">
      <formula>NOT(ISERROR(SEARCH("Local",Y1125)))</formula>
    </cfRule>
    <cfRule type="containsText" dxfId="2048" priority="3871" operator="containsText" text="Nearshore">
      <formula>NOT(ISERROR(SEARCH("Nearshore",Y1125)))</formula>
    </cfRule>
    <cfRule type="containsText" dxfId="2047" priority="3872" operator="containsText" text="Freedom">
      <formula>NOT(ISERROR(SEARCH("Freedom",Y1125)))</formula>
    </cfRule>
    <cfRule type="containsText" dxfId="2046" priority="3873" operator="containsText" text="Expedia">
      <formula>NOT(ISERROR(SEARCH("Expedia",Y1125)))</formula>
    </cfRule>
    <cfRule type="containsText" dxfId="2045" priority="3874" operator="containsText" text="Re-join">
      <formula>NOT(ISERROR(SEARCH("Re-join",Y1125)))</formula>
    </cfRule>
    <cfRule type="containsText" dxfId="2044" priority="3875" operator="containsText" text="Resigned">
      <formula>NOT(ISERROR(SEARCH("Resigned",Y1125)))</formula>
    </cfRule>
  </conditionalFormatting>
  <conditionalFormatting sqref="Y1152 AA1152">
    <cfRule type="containsText" dxfId="2043" priority="3867" operator="containsText" text="Dismissed">
      <formula>NOT(ISERROR(SEARCH("Dismissed",Y1152)))</formula>
    </cfRule>
  </conditionalFormatting>
  <conditionalFormatting sqref="Y1152 AA1152">
    <cfRule type="containsText" dxfId="2042" priority="3859" operator="containsText" text="WU">
      <formula>NOT(ISERROR(SEARCH("WU",Y1152)))</formula>
    </cfRule>
    <cfRule type="containsText" dxfId="2041" priority="3860" operator="containsText" text="A2 Program">
      <formula>NOT(ISERROR(SEARCH("A2 Program",Y1152)))</formula>
    </cfRule>
    <cfRule type="containsText" dxfId="2040" priority="3861" operator="containsText" text="Local">
      <formula>NOT(ISERROR(SEARCH("Local",Y1152)))</formula>
    </cfRule>
    <cfRule type="containsText" dxfId="2039" priority="3862" operator="containsText" text="Nearshore">
      <formula>NOT(ISERROR(SEARCH("Nearshore",Y1152)))</formula>
    </cfRule>
    <cfRule type="containsText" dxfId="2038" priority="3863" operator="containsText" text="Freedom">
      <formula>NOT(ISERROR(SEARCH("Freedom",Y1152)))</formula>
    </cfRule>
    <cfRule type="containsText" dxfId="2037" priority="3864" operator="containsText" text="Expedia">
      <formula>NOT(ISERROR(SEARCH("Expedia",Y1152)))</formula>
    </cfRule>
    <cfRule type="containsText" dxfId="2036" priority="3865" operator="containsText" text="Re-join">
      <formula>NOT(ISERROR(SEARCH("Re-join",Y1152)))</formula>
    </cfRule>
    <cfRule type="containsText" dxfId="2035" priority="3866" operator="containsText" text="Resigned">
      <formula>NOT(ISERROR(SEARCH("Resigned",Y1152)))</formula>
    </cfRule>
  </conditionalFormatting>
  <conditionalFormatting sqref="Y1158 AA1158">
    <cfRule type="containsText" dxfId="2034" priority="3858" operator="containsText" text="Dismissed">
      <formula>NOT(ISERROR(SEARCH("Dismissed",Y1158)))</formula>
    </cfRule>
  </conditionalFormatting>
  <conditionalFormatting sqref="Y1158 AA1158">
    <cfRule type="containsText" dxfId="2033" priority="3850" operator="containsText" text="WU">
      <formula>NOT(ISERROR(SEARCH("WU",Y1158)))</formula>
    </cfRule>
    <cfRule type="containsText" dxfId="2032" priority="3851" operator="containsText" text="A2 Program">
      <formula>NOT(ISERROR(SEARCH("A2 Program",Y1158)))</formula>
    </cfRule>
    <cfRule type="containsText" dxfId="2031" priority="3852" operator="containsText" text="Local">
      <formula>NOT(ISERROR(SEARCH("Local",Y1158)))</formula>
    </cfRule>
    <cfRule type="containsText" dxfId="2030" priority="3853" operator="containsText" text="Nearshore">
      <formula>NOT(ISERROR(SEARCH("Nearshore",Y1158)))</formula>
    </cfRule>
    <cfRule type="containsText" dxfId="2029" priority="3854" operator="containsText" text="Freedom">
      <formula>NOT(ISERROR(SEARCH("Freedom",Y1158)))</formula>
    </cfRule>
    <cfRule type="containsText" dxfId="2028" priority="3855" operator="containsText" text="Expedia">
      <formula>NOT(ISERROR(SEARCH("Expedia",Y1158)))</formula>
    </cfRule>
    <cfRule type="containsText" dxfId="2027" priority="3856" operator="containsText" text="Re-join">
      <formula>NOT(ISERROR(SEARCH("Re-join",Y1158)))</formula>
    </cfRule>
    <cfRule type="containsText" dxfId="2026" priority="3857" operator="containsText" text="Resigned">
      <formula>NOT(ISERROR(SEARCH("Resigned",Y1158)))</formula>
    </cfRule>
  </conditionalFormatting>
  <conditionalFormatting sqref="Y1159 AA1159">
    <cfRule type="containsText" dxfId="2025" priority="3849" operator="containsText" text="Dismissed">
      <formula>NOT(ISERROR(SEARCH("Dismissed",Y1159)))</formula>
    </cfRule>
  </conditionalFormatting>
  <conditionalFormatting sqref="Y1159 AA1159">
    <cfRule type="containsText" dxfId="2024" priority="3841" operator="containsText" text="WU">
      <formula>NOT(ISERROR(SEARCH("WU",Y1159)))</formula>
    </cfRule>
    <cfRule type="containsText" dxfId="2023" priority="3842" operator="containsText" text="A2 Program">
      <formula>NOT(ISERROR(SEARCH("A2 Program",Y1159)))</formula>
    </cfRule>
    <cfRule type="containsText" dxfId="2022" priority="3843" operator="containsText" text="Local">
      <formula>NOT(ISERROR(SEARCH("Local",Y1159)))</formula>
    </cfRule>
    <cfRule type="containsText" dxfId="2021" priority="3844" operator="containsText" text="Nearshore">
      <formula>NOT(ISERROR(SEARCH("Nearshore",Y1159)))</formula>
    </cfRule>
    <cfRule type="containsText" dxfId="2020" priority="3845" operator="containsText" text="Freedom">
      <formula>NOT(ISERROR(SEARCH("Freedom",Y1159)))</formula>
    </cfRule>
    <cfRule type="containsText" dxfId="2019" priority="3846" operator="containsText" text="Expedia">
      <formula>NOT(ISERROR(SEARCH("Expedia",Y1159)))</formula>
    </cfRule>
    <cfRule type="containsText" dxfId="2018" priority="3847" operator="containsText" text="Re-join">
      <formula>NOT(ISERROR(SEARCH("Re-join",Y1159)))</formula>
    </cfRule>
    <cfRule type="containsText" dxfId="2017" priority="3848" operator="containsText" text="Resigned">
      <formula>NOT(ISERROR(SEARCH("Resigned",Y1159)))</formula>
    </cfRule>
  </conditionalFormatting>
  <conditionalFormatting sqref="Y1182 AA1182">
    <cfRule type="containsText" dxfId="2016" priority="3840" operator="containsText" text="Dismissed">
      <formula>NOT(ISERROR(SEARCH("Dismissed",Y1182)))</formula>
    </cfRule>
  </conditionalFormatting>
  <conditionalFormatting sqref="Y1182 AA1182">
    <cfRule type="containsText" dxfId="2015" priority="3832" operator="containsText" text="WU">
      <formula>NOT(ISERROR(SEARCH("WU",Y1182)))</formula>
    </cfRule>
    <cfRule type="containsText" dxfId="2014" priority="3833" operator="containsText" text="A2 Program">
      <formula>NOT(ISERROR(SEARCH("A2 Program",Y1182)))</formula>
    </cfRule>
    <cfRule type="containsText" dxfId="2013" priority="3834" operator="containsText" text="Local">
      <formula>NOT(ISERROR(SEARCH("Local",Y1182)))</formula>
    </cfRule>
    <cfRule type="containsText" dxfId="2012" priority="3835" operator="containsText" text="Nearshore">
      <formula>NOT(ISERROR(SEARCH("Nearshore",Y1182)))</formula>
    </cfRule>
    <cfRule type="containsText" dxfId="2011" priority="3836" operator="containsText" text="Freedom">
      <formula>NOT(ISERROR(SEARCH("Freedom",Y1182)))</formula>
    </cfRule>
    <cfRule type="containsText" dxfId="2010" priority="3837" operator="containsText" text="Expedia">
      <formula>NOT(ISERROR(SEARCH("Expedia",Y1182)))</formula>
    </cfRule>
    <cfRule type="containsText" dxfId="2009" priority="3838" operator="containsText" text="Re-join">
      <formula>NOT(ISERROR(SEARCH("Re-join",Y1182)))</formula>
    </cfRule>
    <cfRule type="containsText" dxfId="2008" priority="3839" operator="containsText" text="Resigned">
      <formula>NOT(ISERROR(SEARCH("Resigned",Y1182)))</formula>
    </cfRule>
  </conditionalFormatting>
  <conditionalFormatting sqref="Y1214 AA1214">
    <cfRule type="containsText" dxfId="2007" priority="3822" operator="containsText" text="Dismissed">
      <formula>NOT(ISERROR(SEARCH("Dismissed",Y1214)))</formula>
    </cfRule>
  </conditionalFormatting>
  <conditionalFormatting sqref="Y1214 AA1214">
    <cfRule type="containsText" dxfId="2006" priority="3814" operator="containsText" text="WU">
      <formula>NOT(ISERROR(SEARCH("WU",Y1214)))</formula>
    </cfRule>
    <cfRule type="containsText" dxfId="2005" priority="3815" operator="containsText" text="A2 Program">
      <formula>NOT(ISERROR(SEARCH("A2 Program",Y1214)))</formula>
    </cfRule>
    <cfRule type="containsText" dxfId="2004" priority="3816" operator="containsText" text="Local">
      <formula>NOT(ISERROR(SEARCH("Local",Y1214)))</formula>
    </cfRule>
    <cfRule type="containsText" dxfId="2003" priority="3817" operator="containsText" text="Nearshore">
      <formula>NOT(ISERROR(SEARCH("Nearshore",Y1214)))</formula>
    </cfRule>
    <cfRule type="containsText" dxfId="2002" priority="3818" operator="containsText" text="Freedom">
      <formula>NOT(ISERROR(SEARCH("Freedom",Y1214)))</formula>
    </cfRule>
    <cfRule type="containsText" dxfId="2001" priority="3819" operator="containsText" text="Expedia">
      <formula>NOT(ISERROR(SEARCH("Expedia",Y1214)))</formula>
    </cfRule>
    <cfRule type="containsText" dxfId="2000" priority="3820" operator="containsText" text="Re-join">
      <formula>NOT(ISERROR(SEARCH("Re-join",Y1214)))</formula>
    </cfRule>
    <cfRule type="containsText" dxfId="1999" priority="3821" operator="containsText" text="Resigned">
      <formula>NOT(ISERROR(SEARCH("Resigned",Y1214)))</formula>
    </cfRule>
  </conditionalFormatting>
  <conditionalFormatting sqref="Y1233 AA1233">
    <cfRule type="containsText" dxfId="1998" priority="3813" operator="containsText" text="Dismissed">
      <formula>NOT(ISERROR(SEARCH("Dismissed",Y1233)))</formula>
    </cfRule>
  </conditionalFormatting>
  <conditionalFormatting sqref="Y1233 AA1233">
    <cfRule type="containsText" dxfId="1997" priority="3805" operator="containsText" text="WU">
      <formula>NOT(ISERROR(SEARCH("WU",Y1233)))</formula>
    </cfRule>
    <cfRule type="containsText" dxfId="1996" priority="3806" operator="containsText" text="A2 Program">
      <formula>NOT(ISERROR(SEARCH("A2 Program",Y1233)))</formula>
    </cfRule>
    <cfRule type="containsText" dxfId="1995" priority="3807" operator="containsText" text="Local">
      <formula>NOT(ISERROR(SEARCH("Local",Y1233)))</formula>
    </cfRule>
    <cfRule type="containsText" dxfId="1994" priority="3808" operator="containsText" text="Nearshore">
      <formula>NOT(ISERROR(SEARCH("Nearshore",Y1233)))</formula>
    </cfRule>
    <cfRule type="containsText" dxfId="1993" priority="3809" operator="containsText" text="Freedom">
      <formula>NOT(ISERROR(SEARCH("Freedom",Y1233)))</formula>
    </cfRule>
    <cfRule type="containsText" dxfId="1992" priority="3810" operator="containsText" text="Expedia">
      <formula>NOT(ISERROR(SEARCH("Expedia",Y1233)))</formula>
    </cfRule>
    <cfRule type="containsText" dxfId="1991" priority="3811" operator="containsText" text="Re-join">
      <formula>NOT(ISERROR(SEARCH("Re-join",Y1233)))</formula>
    </cfRule>
    <cfRule type="containsText" dxfId="1990" priority="3812" operator="containsText" text="Resigned">
      <formula>NOT(ISERROR(SEARCH("Resigned",Y1233)))</formula>
    </cfRule>
  </conditionalFormatting>
  <conditionalFormatting sqref="Y1266 AA1266">
    <cfRule type="containsText" dxfId="1989" priority="3804" operator="containsText" text="Dismissed">
      <formula>NOT(ISERROR(SEARCH("Dismissed",Y1266)))</formula>
    </cfRule>
  </conditionalFormatting>
  <conditionalFormatting sqref="Y1266 AA1266">
    <cfRule type="containsText" dxfId="1988" priority="3796" operator="containsText" text="WU">
      <formula>NOT(ISERROR(SEARCH("WU",Y1266)))</formula>
    </cfRule>
    <cfRule type="containsText" dxfId="1987" priority="3797" operator="containsText" text="A2 Program">
      <formula>NOT(ISERROR(SEARCH("A2 Program",Y1266)))</formula>
    </cfRule>
    <cfRule type="containsText" dxfId="1986" priority="3798" operator="containsText" text="Local">
      <formula>NOT(ISERROR(SEARCH("Local",Y1266)))</formula>
    </cfRule>
    <cfRule type="containsText" dxfId="1985" priority="3799" operator="containsText" text="Nearshore">
      <formula>NOT(ISERROR(SEARCH("Nearshore",Y1266)))</formula>
    </cfRule>
    <cfRule type="containsText" dxfId="1984" priority="3800" operator="containsText" text="Freedom">
      <formula>NOT(ISERROR(SEARCH("Freedom",Y1266)))</formula>
    </cfRule>
    <cfRule type="containsText" dxfId="1983" priority="3801" operator="containsText" text="Expedia">
      <formula>NOT(ISERROR(SEARCH("Expedia",Y1266)))</formula>
    </cfRule>
    <cfRule type="containsText" dxfId="1982" priority="3802" operator="containsText" text="Re-join">
      <formula>NOT(ISERROR(SEARCH("Re-join",Y1266)))</formula>
    </cfRule>
    <cfRule type="containsText" dxfId="1981" priority="3803" operator="containsText" text="Resigned">
      <formula>NOT(ISERROR(SEARCH("Resigned",Y1266)))</formula>
    </cfRule>
  </conditionalFormatting>
  <conditionalFormatting sqref="Y1270 AA1270">
    <cfRule type="containsText" dxfId="1980" priority="3795" operator="containsText" text="Dismissed">
      <formula>NOT(ISERROR(SEARCH("Dismissed",Y1270)))</formula>
    </cfRule>
  </conditionalFormatting>
  <conditionalFormatting sqref="Y1270 AA1270">
    <cfRule type="containsText" dxfId="1979" priority="3787" operator="containsText" text="WU">
      <formula>NOT(ISERROR(SEARCH("WU",Y1270)))</formula>
    </cfRule>
    <cfRule type="containsText" dxfId="1978" priority="3788" operator="containsText" text="A2 Program">
      <formula>NOT(ISERROR(SEARCH("A2 Program",Y1270)))</formula>
    </cfRule>
    <cfRule type="containsText" dxfId="1977" priority="3789" operator="containsText" text="Local">
      <formula>NOT(ISERROR(SEARCH("Local",Y1270)))</formula>
    </cfRule>
    <cfRule type="containsText" dxfId="1976" priority="3790" operator="containsText" text="Nearshore">
      <formula>NOT(ISERROR(SEARCH("Nearshore",Y1270)))</formula>
    </cfRule>
    <cfRule type="containsText" dxfId="1975" priority="3791" operator="containsText" text="Freedom">
      <formula>NOT(ISERROR(SEARCH("Freedom",Y1270)))</formula>
    </cfRule>
    <cfRule type="containsText" dxfId="1974" priority="3792" operator="containsText" text="Expedia">
      <formula>NOT(ISERROR(SEARCH("Expedia",Y1270)))</formula>
    </cfRule>
    <cfRule type="containsText" dxfId="1973" priority="3793" operator="containsText" text="Re-join">
      <formula>NOT(ISERROR(SEARCH("Re-join",Y1270)))</formula>
    </cfRule>
    <cfRule type="containsText" dxfId="1972" priority="3794" operator="containsText" text="Resigned">
      <formula>NOT(ISERROR(SEARCH("Resigned",Y1270)))</formula>
    </cfRule>
  </conditionalFormatting>
  <conditionalFormatting sqref="Y1272 AA1272">
    <cfRule type="containsText" dxfId="1971" priority="3786" operator="containsText" text="Dismissed">
      <formula>NOT(ISERROR(SEARCH("Dismissed",Y1272)))</formula>
    </cfRule>
  </conditionalFormatting>
  <conditionalFormatting sqref="Y1272 AA1272">
    <cfRule type="containsText" dxfId="1970" priority="3778" operator="containsText" text="WU">
      <formula>NOT(ISERROR(SEARCH("WU",Y1272)))</formula>
    </cfRule>
    <cfRule type="containsText" dxfId="1969" priority="3779" operator="containsText" text="A2 Program">
      <formula>NOT(ISERROR(SEARCH("A2 Program",Y1272)))</formula>
    </cfRule>
    <cfRule type="containsText" dxfId="1968" priority="3780" operator="containsText" text="Local">
      <formula>NOT(ISERROR(SEARCH("Local",Y1272)))</formula>
    </cfRule>
    <cfRule type="containsText" dxfId="1967" priority="3781" operator="containsText" text="Nearshore">
      <formula>NOT(ISERROR(SEARCH("Nearshore",Y1272)))</formula>
    </cfRule>
    <cfRule type="containsText" dxfId="1966" priority="3782" operator="containsText" text="Freedom">
      <formula>NOT(ISERROR(SEARCH("Freedom",Y1272)))</formula>
    </cfRule>
    <cfRule type="containsText" dxfId="1965" priority="3783" operator="containsText" text="Expedia">
      <formula>NOT(ISERROR(SEARCH("Expedia",Y1272)))</formula>
    </cfRule>
    <cfRule type="containsText" dxfId="1964" priority="3784" operator="containsText" text="Re-join">
      <formula>NOT(ISERROR(SEARCH("Re-join",Y1272)))</formula>
    </cfRule>
    <cfRule type="containsText" dxfId="1963" priority="3785" operator="containsText" text="Resigned">
      <formula>NOT(ISERROR(SEARCH("Resigned",Y1272)))</formula>
    </cfRule>
  </conditionalFormatting>
  <conditionalFormatting sqref="Y1300 AA1300">
    <cfRule type="containsText" dxfId="1962" priority="3768" operator="containsText" text="Dismissed">
      <formula>NOT(ISERROR(SEARCH("Dismissed",Y1300)))</formula>
    </cfRule>
  </conditionalFormatting>
  <conditionalFormatting sqref="Y1300 AA1300">
    <cfRule type="containsText" dxfId="1961" priority="3760" operator="containsText" text="WU">
      <formula>NOT(ISERROR(SEARCH("WU",Y1300)))</formula>
    </cfRule>
    <cfRule type="containsText" dxfId="1960" priority="3761" operator="containsText" text="A2 Program">
      <formula>NOT(ISERROR(SEARCH("A2 Program",Y1300)))</formula>
    </cfRule>
    <cfRule type="containsText" dxfId="1959" priority="3762" operator="containsText" text="Local">
      <formula>NOT(ISERROR(SEARCH("Local",Y1300)))</formula>
    </cfRule>
    <cfRule type="containsText" dxfId="1958" priority="3763" operator="containsText" text="Nearshore">
      <formula>NOT(ISERROR(SEARCH("Nearshore",Y1300)))</formula>
    </cfRule>
    <cfRule type="containsText" dxfId="1957" priority="3764" operator="containsText" text="Freedom">
      <formula>NOT(ISERROR(SEARCH("Freedom",Y1300)))</formula>
    </cfRule>
    <cfRule type="containsText" dxfId="1956" priority="3765" operator="containsText" text="Expedia">
      <formula>NOT(ISERROR(SEARCH("Expedia",Y1300)))</formula>
    </cfRule>
    <cfRule type="containsText" dxfId="1955" priority="3766" operator="containsText" text="Re-join">
      <formula>NOT(ISERROR(SEARCH("Re-join",Y1300)))</formula>
    </cfRule>
    <cfRule type="containsText" dxfId="1954" priority="3767" operator="containsText" text="Resigned">
      <formula>NOT(ISERROR(SEARCH("Resigned",Y1300)))</formula>
    </cfRule>
  </conditionalFormatting>
  <conditionalFormatting sqref="Y1306 AA1306">
    <cfRule type="containsText" dxfId="1953" priority="3759" operator="containsText" text="Dismissed">
      <formula>NOT(ISERROR(SEARCH("Dismissed",Y1306)))</formula>
    </cfRule>
  </conditionalFormatting>
  <conditionalFormatting sqref="Y1306 AA1306">
    <cfRule type="containsText" dxfId="1952" priority="3751" operator="containsText" text="WU">
      <formula>NOT(ISERROR(SEARCH("WU",Y1306)))</formula>
    </cfRule>
    <cfRule type="containsText" dxfId="1951" priority="3752" operator="containsText" text="A2 Program">
      <formula>NOT(ISERROR(SEARCH("A2 Program",Y1306)))</formula>
    </cfRule>
    <cfRule type="containsText" dxfId="1950" priority="3753" operator="containsText" text="Local">
      <formula>NOT(ISERROR(SEARCH("Local",Y1306)))</formula>
    </cfRule>
    <cfRule type="containsText" dxfId="1949" priority="3754" operator="containsText" text="Nearshore">
      <formula>NOT(ISERROR(SEARCH("Nearshore",Y1306)))</formula>
    </cfRule>
    <cfRule type="containsText" dxfId="1948" priority="3755" operator="containsText" text="Freedom">
      <formula>NOT(ISERROR(SEARCH("Freedom",Y1306)))</formula>
    </cfRule>
    <cfRule type="containsText" dxfId="1947" priority="3756" operator="containsText" text="Expedia">
      <formula>NOT(ISERROR(SEARCH("Expedia",Y1306)))</formula>
    </cfRule>
    <cfRule type="containsText" dxfId="1946" priority="3757" operator="containsText" text="Re-join">
      <formula>NOT(ISERROR(SEARCH("Re-join",Y1306)))</formula>
    </cfRule>
    <cfRule type="containsText" dxfId="1945" priority="3758" operator="containsText" text="Resigned">
      <formula>NOT(ISERROR(SEARCH("Resigned",Y1306)))</formula>
    </cfRule>
  </conditionalFormatting>
  <conditionalFormatting sqref="Y1320 AA1320">
    <cfRule type="containsText" dxfId="1944" priority="3750" operator="containsText" text="Dismissed">
      <formula>NOT(ISERROR(SEARCH("Dismissed",Y1320)))</formula>
    </cfRule>
  </conditionalFormatting>
  <conditionalFormatting sqref="Y1320 AA1320">
    <cfRule type="containsText" dxfId="1943" priority="3742" operator="containsText" text="WU">
      <formula>NOT(ISERROR(SEARCH("WU",Y1320)))</formula>
    </cfRule>
    <cfRule type="containsText" dxfId="1942" priority="3743" operator="containsText" text="A2 Program">
      <formula>NOT(ISERROR(SEARCH("A2 Program",Y1320)))</formula>
    </cfRule>
    <cfRule type="containsText" dxfId="1941" priority="3744" operator="containsText" text="Local">
      <formula>NOT(ISERROR(SEARCH("Local",Y1320)))</formula>
    </cfRule>
    <cfRule type="containsText" dxfId="1940" priority="3745" operator="containsText" text="Nearshore">
      <formula>NOT(ISERROR(SEARCH("Nearshore",Y1320)))</formula>
    </cfRule>
    <cfRule type="containsText" dxfId="1939" priority="3746" operator="containsText" text="Freedom">
      <formula>NOT(ISERROR(SEARCH("Freedom",Y1320)))</formula>
    </cfRule>
    <cfRule type="containsText" dxfId="1938" priority="3747" operator="containsText" text="Expedia">
      <formula>NOT(ISERROR(SEARCH("Expedia",Y1320)))</formula>
    </cfRule>
    <cfRule type="containsText" dxfId="1937" priority="3748" operator="containsText" text="Re-join">
      <formula>NOT(ISERROR(SEARCH("Re-join",Y1320)))</formula>
    </cfRule>
    <cfRule type="containsText" dxfId="1936" priority="3749" operator="containsText" text="Resigned">
      <formula>NOT(ISERROR(SEARCH("Resigned",Y1320)))</formula>
    </cfRule>
  </conditionalFormatting>
  <conditionalFormatting sqref="Y1330 AA1330">
    <cfRule type="containsText" dxfId="1935" priority="3741" operator="containsText" text="Dismissed">
      <formula>NOT(ISERROR(SEARCH("Dismissed",Y1330)))</formula>
    </cfRule>
  </conditionalFormatting>
  <conditionalFormatting sqref="Y1330 AA1330">
    <cfRule type="containsText" dxfId="1934" priority="3733" operator="containsText" text="WU">
      <formula>NOT(ISERROR(SEARCH("WU",Y1330)))</formula>
    </cfRule>
    <cfRule type="containsText" dxfId="1933" priority="3734" operator="containsText" text="A2 Program">
      <formula>NOT(ISERROR(SEARCH("A2 Program",Y1330)))</formula>
    </cfRule>
    <cfRule type="containsText" dxfId="1932" priority="3735" operator="containsText" text="Local">
      <formula>NOT(ISERROR(SEARCH("Local",Y1330)))</formula>
    </cfRule>
    <cfRule type="containsText" dxfId="1931" priority="3736" operator="containsText" text="Nearshore">
      <formula>NOT(ISERROR(SEARCH("Nearshore",Y1330)))</formula>
    </cfRule>
    <cfRule type="containsText" dxfId="1930" priority="3737" operator="containsText" text="Freedom">
      <formula>NOT(ISERROR(SEARCH("Freedom",Y1330)))</formula>
    </cfRule>
    <cfRule type="containsText" dxfId="1929" priority="3738" operator="containsText" text="Expedia">
      <formula>NOT(ISERROR(SEARCH("Expedia",Y1330)))</formula>
    </cfRule>
    <cfRule type="containsText" dxfId="1928" priority="3739" operator="containsText" text="Re-join">
      <formula>NOT(ISERROR(SEARCH("Re-join",Y1330)))</formula>
    </cfRule>
    <cfRule type="containsText" dxfId="1927" priority="3740" operator="containsText" text="Resigned">
      <formula>NOT(ISERROR(SEARCH("Resigned",Y1330)))</formula>
    </cfRule>
  </conditionalFormatting>
  <conditionalFormatting sqref="Y1338 AA1338">
    <cfRule type="containsText" dxfId="1926" priority="3732" operator="containsText" text="Dismissed">
      <formula>NOT(ISERROR(SEARCH("Dismissed",Y1338)))</formula>
    </cfRule>
  </conditionalFormatting>
  <conditionalFormatting sqref="Y1338 AA1338">
    <cfRule type="containsText" dxfId="1925" priority="3724" operator="containsText" text="WU">
      <formula>NOT(ISERROR(SEARCH("WU",Y1338)))</formula>
    </cfRule>
    <cfRule type="containsText" dxfId="1924" priority="3725" operator="containsText" text="A2 Program">
      <formula>NOT(ISERROR(SEARCH("A2 Program",Y1338)))</formula>
    </cfRule>
    <cfRule type="containsText" dxfId="1923" priority="3726" operator="containsText" text="Local">
      <formula>NOT(ISERROR(SEARCH("Local",Y1338)))</formula>
    </cfRule>
    <cfRule type="containsText" dxfId="1922" priority="3727" operator="containsText" text="Nearshore">
      <formula>NOT(ISERROR(SEARCH("Nearshore",Y1338)))</formula>
    </cfRule>
    <cfRule type="containsText" dxfId="1921" priority="3728" operator="containsText" text="Freedom">
      <formula>NOT(ISERROR(SEARCH("Freedom",Y1338)))</formula>
    </cfRule>
    <cfRule type="containsText" dxfId="1920" priority="3729" operator="containsText" text="Expedia">
      <formula>NOT(ISERROR(SEARCH("Expedia",Y1338)))</formula>
    </cfRule>
    <cfRule type="containsText" dxfId="1919" priority="3730" operator="containsText" text="Re-join">
      <formula>NOT(ISERROR(SEARCH("Re-join",Y1338)))</formula>
    </cfRule>
    <cfRule type="containsText" dxfId="1918" priority="3731" operator="containsText" text="Resigned">
      <formula>NOT(ISERROR(SEARCH("Resigned",Y1338)))</formula>
    </cfRule>
  </conditionalFormatting>
  <conditionalFormatting sqref="Y1340 AA1340">
    <cfRule type="containsText" dxfId="1917" priority="3723" operator="containsText" text="Dismissed">
      <formula>NOT(ISERROR(SEARCH("Dismissed",Y1340)))</formula>
    </cfRule>
  </conditionalFormatting>
  <conditionalFormatting sqref="Y1340 AA1340">
    <cfRule type="containsText" dxfId="1916" priority="3715" operator="containsText" text="WU">
      <formula>NOT(ISERROR(SEARCH("WU",Y1340)))</formula>
    </cfRule>
    <cfRule type="containsText" dxfId="1915" priority="3716" operator="containsText" text="A2 Program">
      <formula>NOT(ISERROR(SEARCH("A2 Program",Y1340)))</formula>
    </cfRule>
    <cfRule type="containsText" dxfId="1914" priority="3717" operator="containsText" text="Local">
      <formula>NOT(ISERROR(SEARCH("Local",Y1340)))</formula>
    </cfRule>
    <cfRule type="containsText" dxfId="1913" priority="3718" operator="containsText" text="Nearshore">
      <formula>NOT(ISERROR(SEARCH("Nearshore",Y1340)))</formula>
    </cfRule>
    <cfRule type="containsText" dxfId="1912" priority="3719" operator="containsText" text="Freedom">
      <formula>NOT(ISERROR(SEARCH("Freedom",Y1340)))</formula>
    </cfRule>
    <cfRule type="containsText" dxfId="1911" priority="3720" operator="containsText" text="Expedia">
      <formula>NOT(ISERROR(SEARCH("Expedia",Y1340)))</formula>
    </cfRule>
    <cfRule type="containsText" dxfId="1910" priority="3721" operator="containsText" text="Re-join">
      <formula>NOT(ISERROR(SEARCH("Re-join",Y1340)))</formula>
    </cfRule>
    <cfRule type="containsText" dxfId="1909" priority="3722" operator="containsText" text="Resigned">
      <formula>NOT(ISERROR(SEARCH("Resigned",Y1340)))</formula>
    </cfRule>
  </conditionalFormatting>
  <conditionalFormatting sqref="Y1354:Y1357 Y1359:Y1372 Y1374:Y1384 Y1386:Y1390 AA1386:AA1390 AA1374:AA1384 AA1354:AA1357 AA1359:AA1372">
    <cfRule type="containsText" dxfId="1908" priority="3714" operator="containsText" text="Dismissed">
      <formula>NOT(ISERROR(SEARCH("Dismissed",Y1354)))</formula>
    </cfRule>
  </conditionalFormatting>
  <conditionalFormatting sqref="Y1354:Y1357 Y1359:Y1372 Y1374:Y1384 Y1386:Y1390 AA1386:AA1390 AA1374:AA1384 AA1354:AA1357 AA1359:AA1372">
    <cfRule type="containsText" dxfId="1907" priority="3706" operator="containsText" text="WU">
      <formula>NOT(ISERROR(SEARCH("WU",Y1354)))</formula>
    </cfRule>
    <cfRule type="containsText" dxfId="1906" priority="3707" operator="containsText" text="A2 Program">
      <formula>NOT(ISERROR(SEARCH("A2 Program",Y1354)))</formula>
    </cfRule>
    <cfRule type="containsText" dxfId="1905" priority="3708" operator="containsText" text="Local">
      <formula>NOT(ISERROR(SEARCH("Local",Y1354)))</formula>
    </cfRule>
    <cfRule type="containsText" dxfId="1904" priority="3709" operator="containsText" text="Nearshore">
      <formula>NOT(ISERROR(SEARCH("Nearshore",Y1354)))</formula>
    </cfRule>
    <cfRule type="containsText" dxfId="1903" priority="3710" operator="containsText" text="Freedom">
      <formula>NOT(ISERROR(SEARCH("Freedom",Y1354)))</formula>
    </cfRule>
    <cfRule type="containsText" dxfId="1902" priority="3711" operator="containsText" text="Expedia">
      <formula>NOT(ISERROR(SEARCH("Expedia",Y1354)))</formula>
    </cfRule>
    <cfRule type="containsText" dxfId="1901" priority="3712" operator="containsText" text="Re-join">
      <formula>NOT(ISERROR(SEARCH("Re-join",Y1354)))</formula>
    </cfRule>
    <cfRule type="containsText" dxfId="1900" priority="3713" operator="containsText" text="Resigned">
      <formula>NOT(ISERROR(SEARCH("Resigned",Y1354)))</formula>
    </cfRule>
  </conditionalFormatting>
  <conditionalFormatting sqref="Y1391 AA1391">
    <cfRule type="containsText" dxfId="1899" priority="3705" operator="containsText" text="Dismissed">
      <formula>NOT(ISERROR(SEARCH("Dismissed",Y1391)))</formula>
    </cfRule>
  </conditionalFormatting>
  <conditionalFormatting sqref="Y1391 AA1391">
    <cfRule type="containsText" dxfId="1898" priority="3697" operator="containsText" text="WU">
      <formula>NOT(ISERROR(SEARCH("WU",Y1391)))</formula>
    </cfRule>
    <cfRule type="containsText" dxfId="1897" priority="3698" operator="containsText" text="A2 Program">
      <formula>NOT(ISERROR(SEARCH("A2 Program",Y1391)))</formula>
    </cfRule>
    <cfRule type="containsText" dxfId="1896" priority="3699" operator="containsText" text="Local">
      <formula>NOT(ISERROR(SEARCH("Local",Y1391)))</formula>
    </cfRule>
    <cfRule type="containsText" dxfId="1895" priority="3700" operator="containsText" text="Nearshore">
      <formula>NOT(ISERROR(SEARCH("Nearshore",Y1391)))</formula>
    </cfRule>
    <cfRule type="containsText" dxfId="1894" priority="3701" operator="containsText" text="Freedom">
      <formula>NOT(ISERROR(SEARCH("Freedom",Y1391)))</formula>
    </cfRule>
    <cfRule type="containsText" dxfId="1893" priority="3702" operator="containsText" text="Expedia">
      <formula>NOT(ISERROR(SEARCH("Expedia",Y1391)))</formula>
    </cfRule>
    <cfRule type="containsText" dxfId="1892" priority="3703" operator="containsText" text="Re-join">
      <formula>NOT(ISERROR(SEARCH("Re-join",Y1391)))</formula>
    </cfRule>
    <cfRule type="containsText" dxfId="1891" priority="3704" operator="containsText" text="Resigned">
      <formula>NOT(ISERROR(SEARCH("Resigned",Y1391)))</formula>
    </cfRule>
  </conditionalFormatting>
  <conditionalFormatting sqref="Y1392 AA1392">
    <cfRule type="containsText" dxfId="1890" priority="3696" operator="containsText" text="Dismissed">
      <formula>NOT(ISERROR(SEARCH("Dismissed",Y1392)))</formula>
    </cfRule>
  </conditionalFormatting>
  <conditionalFormatting sqref="Y1392 AA1392">
    <cfRule type="containsText" dxfId="1889" priority="3688" operator="containsText" text="WU">
      <formula>NOT(ISERROR(SEARCH("WU",Y1392)))</formula>
    </cfRule>
    <cfRule type="containsText" dxfId="1888" priority="3689" operator="containsText" text="A2 Program">
      <formula>NOT(ISERROR(SEARCH("A2 Program",Y1392)))</formula>
    </cfRule>
    <cfRule type="containsText" dxfId="1887" priority="3690" operator="containsText" text="Local">
      <formula>NOT(ISERROR(SEARCH("Local",Y1392)))</formula>
    </cfRule>
    <cfRule type="containsText" dxfId="1886" priority="3691" operator="containsText" text="Nearshore">
      <formula>NOT(ISERROR(SEARCH("Nearshore",Y1392)))</formula>
    </cfRule>
    <cfRule type="containsText" dxfId="1885" priority="3692" operator="containsText" text="Freedom">
      <formula>NOT(ISERROR(SEARCH("Freedom",Y1392)))</formula>
    </cfRule>
    <cfRule type="containsText" dxfId="1884" priority="3693" operator="containsText" text="Expedia">
      <formula>NOT(ISERROR(SEARCH("Expedia",Y1392)))</formula>
    </cfRule>
    <cfRule type="containsText" dxfId="1883" priority="3694" operator="containsText" text="Re-join">
      <formula>NOT(ISERROR(SEARCH("Re-join",Y1392)))</formula>
    </cfRule>
    <cfRule type="containsText" dxfId="1882" priority="3695" operator="containsText" text="Resigned">
      <formula>NOT(ISERROR(SEARCH("Resigned",Y1392)))</formula>
    </cfRule>
  </conditionalFormatting>
  <conditionalFormatting sqref="Y1398 AA1398">
    <cfRule type="containsText" dxfId="1881" priority="3687" operator="containsText" text="Dismissed">
      <formula>NOT(ISERROR(SEARCH("Dismissed",Y1398)))</formula>
    </cfRule>
  </conditionalFormatting>
  <conditionalFormatting sqref="Y1398 AA1398">
    <cfRule type="containsText" dxfId="1880" priority="3679" operator="containsText" text="WU">
      <formula>NOT(ISERROR(SEARCH("WU",Y1398)))</formula>
    </cfRule>
    <cfRule type="containsText" dxfId="1879" priority="3680" operator="containsText" text="A2 Program">
      <formula>NOT(ISERROR(SEARCH("A2 Program",Y1398)))</formula>
    </cfRule>
    <cfRule type="containsText" dxfId="1878" priority="3681" operator="containsText" text="Local">
      <formula>NOT(ISERROR(SEARCH("Local",Y1398)))</formula>
    </cfRule>
    <cfRule type="containsText" dxfId="1877" priority="3682" operator="containsText" text="Nearshore">
      <formula>NOT(ISERROR(SEARCH("Nearshore",Y1398)))</formula>
    </cfRule>
    <cfRule type="containsText" dxfId="1876" priority="3683" operator="containsText" text="Freedom">
      <formula>NOT(ISERROR(SEARCH("Freedom",Y1398)))</formula>
    </cfRule>
    <cfRule type="containsText" dxfId="1875" priority="3684" operator="containsText" text="Expedia">
      <formula>NOT(ISERROR(SEARCH("Expedia",Y1398)))</formula>
    </cfRule>
    <cfRule type="containsText" dxfId="1874" priority="3685" operator="containsText" text="Re-join">
      <formula>NOT(ISERROR(SEARCH("Re-join",Y1398)))</formula>
    </cfRule>
    <cfRule type="containsText" dxfId="1873" priority="3686" operator="containsText" text="Resigned">
      <formula>NOT(ISERROR(SEARCH("Resigned",Y1398)))</formula>
    </cfRule>
  </conditionalFormatting>
  <conditionalFormatting sqref="Y1394 AA1394">
    <cfRule type="containsText" dxfId="1872" priority="3678" operator="containsText" text="Dismissed">
      <formula>NOT(ISERROR(SEARCH("Dismissed",Y1394)))</formula>
    </cfRule>
  </conditionalFormatting>
  <conditionalFormatting sqref="Y1394 AA1394">
    <cfRule type="containsText" dxfId="1871" priority="3670" operator="containsText" text="WU">
      <formula>NOT(ISERROR(SEARCH("WU",Y1394)))</formula>
    </cfRule>
    <cfRule type="containsText" dxfId="1870" priority="3671" operator="containsText" text="A2 Program">
      <formula>NOT(ISERROR(SEARCH("A2 Program",Y1394)))</formula>
    </cfRule>
    <cfRule type="containsText" dxfId="1869" priority="3672" operator="containsText" text="Local">
      <formula>NOT(ISERROR(SEARCH("Local",Y1394)))</formula>
    </cfRule>
    <cfRule type="containsText" dxfId="1868" priority="3673" operator="containsText" text="Nearshore">
      <formula>NOT(ISERROR(SEARCH("Nearshore",Y1394)))</formula>
    </cfRule>
    <cfRule type="containsText" dxfId="1867" priority="3674" operator="containsText" text="Freedom">
      <formula>NOT(ISERROR(SEARCH("Freedom",Y1394)))</formula>
    </cfRule>
    <cfRule type="containsText" dxfId="1866" priority="3675" operator="containsText" text="Expedia">
      <formula>NOT(ISERROR(SEARCH("Expedia",Y1394)))</formula>
    </cfRule>
    <cfRule type="containsText" dxfId="1865" priority="3676" operator="containsText" text="Re-join">
      <formula>NOT(ISERROR(SEARCH("Re-join",Y1394)))</formula>
    </cfRule>
    <cfRule type="containsText" dxfId="1864" priority="3677" operator="containsText" text="Resigned">
      <formula>NOT(ISERROR(SEARCH("Resigned",Y1394)))</formula>
    </cfRule>
  </conditionalFormatting>
  <conditionalFormatting sqref="Y253">
    <cfRule type="expression" dxfId="1863" priority="2904">
      <formula>$E253=#REF!</formula>
    </cfRule>
  </conditionalFormatting>
  <conditionalFormatting sqref="X253">
    <cfRule type="containsText" dxfId="1862" priority="2901" operator="containsText" text="Dismissed">
      <formula>NOT(ISERROR(SEARCH("Dismissed",X253)))</formula>
    </cfRule>
  </conditionalFormatting>
  <conditionalFormatting sqref="X253">
    <cfRule type="containsText" dxfId="1861" priority="2898" operator="containsText" text="Yes">
      <formula>NOT(ISERROR(SEARCH("Yes",X253)))</formula>
    </cfRule>
  </conditionalFormatting>
  <conditionalFormatting sqref="Y254">
    <cfRule type="expression" dxfId="1860" priority="2882">
      <formula>$E254=#REF!</formula>
    </cfRule>
  </conditionalFormatting>
  <conditionalFormatting sqref="Y255">
    <cfRule type="expression" dxfId="1859" priority="2879">
      <formula>$E255=#REF!</formula>
    </cfRule>
  </conditionalFormatting>
  <conditionalFormatting sqref="X164">
    <cfRule type="containsText" dxfId="1858" priority="2816" operator="containsText" text="Dismissed">
      <formula>NOT(ISERROR(SEARCH("Dismissed",X164)))</formula>
    </cfRule>
  </conditionalFormatting>
  <conditionalFormatting sqref="X164">
    <cfRule type="containsText" dxfId="1857" priority="2813" operator="containsText" text="Yes">
      <formula>NOT(ISERROR(SEARCH("Yes",X164)))</formula>
    </cfRule>
  </conditionalFormatting>
  <conditionalFormatting sqref="X180">
    <cfRule type="containsText" dxfId="1856" priority="2796" operator="containsText" text="Dismissed">
      <formula>NOT(ISERROR(SEARCH("Dismissed",X180)))</formula>
    </cfRule>
  </conditionalFormatting>
  <conditionalFormatting sqref="X180">
    <cfRule type="containsText" dxfId="1855" priority="2793" operator="containsText" text="Yes">
      <formula>NOT(ISERROR(SEARCH("Yes",X180)))</formula>
    </cfRule>
  </conditionalFormatting>
  <conditionalFormatting sqref="X200">
    <cfRule type="containsText" dxfId="1854" priority="2776" operator="containsText" text="Dismissed">
      <formula>NOT(ISERROR(SEARCH("Dismissed",X200)))</formula>
    </cfRule>
  </conditionalFormatting>
  <conditionalFormatting sqref="X200">
    <cfRule type="containsText" dxfId="1853" priority="2773" operator="containsText" text="Yes">
      <formula>NOT(ISERROR(SEARCH("Yes",X200)))</formula>
    </cfRule>
  </conditionalFormatting>
  <conditionalFormatting sqref="X219">
    <cfRule type="containsText" dxfId="1852" priority="2756" operator="containsText" text="Dismissed">
      <formula>NOT(ISERROR(SEARCH("Dismissed",X219)))</formula>
    </cfRule>
  </conditionalFormatting>
  <conditionalFormatting sqref="X219">
    <cfRule type="containsText" dxfId="1851" priority="2753" operator="containsText" text="Yes">
      <formula>NOT(ISERROR(SEARCH("Yes",X219)))</formula>
    </cfRule>
  </conditionalFormatting>
  <conditionalFormatting sqref="X251">
    <cfRule type="containsText" dxfId="1850" priority="2716" operator="containsText" text="Dismissed">
      <formula>NOT(ISERROR(SEARCH("Dismissed",X251)))</formula>
    </cfRule>
  </conditionalFormatting>
  <conditionalFormatting sqref="X251">
    <cfRule type="containsText" dxfId="1849" priority="2713" operator="containsText" text="Yes">
      <formula>NOT(ISERROR(SEARCH("Yes",X251)))</formula>
    </cfRule>
  </conditionalFormatting>
  <conditionalFormatting sqref="X269">
    <cfRule type="containsText" dxfId="1848" priority="2696" operator="containsText" text="Dismissed">
      <formula>NOT(ISERROR(SEARCH("Dismissed",X269)))</formula>
    </cfRule>
  </conditionalFormatting>
  <conditionalFormatting sqref="X269">
    <cfRule type="containsText" dxfId="1847" priority="2693" operator="containsText" text="Yes">
      <formula>NOT(ISERROR(SEARCH("Yes",X269)))</formula>
    </cfRule>
  </conditionalFormatting>
  <conditionalFormatting sqref="X231">
    <cfRule type="containsText" dxfId="1846" priority="2676" operator="containsText" text="Dismissed">
      <formula>NOT(ISERROR(SEARCH("Dismissed",X231)))</formula>
    </cfRule>
  </conditionalFormatting>
  <conditionalFormatting sqref="X231">
    <cfRule type="containsText" dxfId="1845" priority="2673" operator="containsText" text="Yes">
      <formula>NOT(ISERROR(SEARCH("Yes",X231)))</formula>
    </cfRule>
  </conditionalFormatting>
  <conditionalFormatting sqref="X304">
    <cfRule type="containsText" dxfId="1844" priority="2656" operator="containsText" text="Dismissed">
      <formula>NOT(ISERROR(SEARCH("Dismissed",X304)))</formula>
    </cfRule>
  </conditionalFormatting>
  <conditionalFormatting sqref="X304">
    <cfRule type="containsText" dxfId="1843" priority="2653" operator="containsText" text="Yes">
      <formula>NOT(ISERROR(SEARCH("Yes",X304)))</formula>
    </cfRule>
  </conditionalFormatting>
  <conditionalFormatting sqref="X323">
    <cfRule type="containsText" dxfId="1842" priority="2636" operator="containsText" text="Dismissed">
      <formula>NOT(ISERROR(SEARCH("Dismissed",X323)))</formula>
    </cfRule>
  </conditionalFormatting>
  <conditionalFormatting sqref="X323">
    <cfRule type="containsText" dxfId="1841" priority="2633" operator="containsText" text="Yes">
      <formula>NOT(ISERROR(SEARCH("Yes",X323)))</formula>
    </cfRule>
  </conditionalFormatting>
  <conditionalFormatting sqref="X341">
    <cfRule type="containsText" dxfId="1840" priority="2616" operator="containsText" text="Dismissed">
      <formula>NOT(ISERROR(SEARCH("Dismissed",X341)))</formula>
    </cfRule>
  </conditionalFormatting>
  <conditionalFormatting sqref="X341">
    <cfRule type="containsText" dxfId="1839" priority="2613" operator="containsText" text="Yes">
      <formula>NOT(ISERROR(SEARCH("Yes",X341)))</formula>
    </cfRule>
  </conditionalFormatting>
  <conditionalFormatting sqref="X360">
    <cfRule type="containsText" dxfId="1838" priority="2596" operator="containsText" text="Dismissed">
      <formula>NOT(ISERROR(SEARCH("Dismissed",X360)))</formula>
    </cfRule>
  </conditionalFormatting>
  <conditionalFormatting sqref="X360">
    <cfRule type="containsText" dxfId="1837" priority="2593" operator="containsText" text="Yes">
      <formula>NOT(ISERROR(SEARCH("Yes",X360)))</formula>
    </cfRule>
  </conditionalFormatting>
  <conditionalFormatting sqref="X378">
    <cfRule type="containsText" dxfId="1836" priority="2576" operator="containsText" text="Dismissed">
      <formula>NOT(ISERROR(SEARCH("Dismissed",X378)))</formula>
    </cfRule>
  </conditionalFormatting>
  <conditionalFormatting sqref="X378">
    <cfRule type="containsText" dxfId="1835" priority="2573" operator="containsText" text="Yes">
      <formula>NOT(ISERROR(SEARCH("Yes",X378)))</formula>
    </cfRule>
  </conditionalFormatting>
  <conditionalFormatting sqref="X392">
    <cfRule type="containsText" dxfId="1834" priority="2556" operator="containsText" text="Dismissed">
      <formula>NOT(ISERROR(SEARCH("Dismissed",X392)))</formula>
    </cfRule>
  </conditionalFormatting>
  <conditionalFormatting sqref="X392">
    <cfRule type="containsText" dxfId="1833" priority="2553" operator="containsText" text="Yes">
      <formula>NOT(ISERROR(SEARCH("Yes",X392)))</formula>
    </cfRule>
  </conditionalFormatting>
  <conditionalFormatting sqref="X408">
    <cfRule type="containsText" dxfId="1832" priority="2536" operator="containsText" text="Dismissed">
      <formula>NOT(ISERROR(SEARCH("Dismissed",X408)))</formula>
    </cfRule>
  </conditionalFormatting>
  <conditionalFormatting sqref="X408">
    <cfRule type="containsText" dxfId="1831" priority="2533" operator="containsText" text="Yes">
      <formula>NOT(ISERROR(SEARCH("Yes",X408)))</formula>
    </cfRule>
  </conditionalFormatting>
  <conditionalFormatting sqref="X427">
    <cfRule type="containsText" dxfId="1830" priority="2516" operator="containsText" text="Dismissed">
      <formula>NOT(ISERROR(SEARCH("Dismissed",X427)))</formula>
    </cfRule>
  </conditionalFormatting>
  <conditionalFormatting sqref="X427">
    <cfRule type="containsText" dxfId="1829" priority="2513" operator="containsText" text="Yes">
      <formula>NOT(ISERROR(SEARCH("Yes",X427)))</formula>
    </cfRule>
  </conditionalFormatting>
  <conditionalFormatting sqref="X446">
    <cfRule type="containsText" dxfId="1828" priority="2496" operator="containsText" text="Dismissed">
      <formula>NOT(ISERROR(SEARCH("Dismissed",X446)))</formula>
    </cfRule>
  </conditionalFormatting>
  <conditionalFormatting sqref="X446">
    <cfRule type="containsText" dxfId="1827" priority="2493" operator="containsText" text="Yes">
      <formula>NOT(ISERROR(SEARCH("Yes",X446)))</formula>
    </cfRule>
  </conditionalFormatting>
  <conditionalFormatting sqref="X466">
    <cfRule type="containsText" dxfId="1826" priority="2476" operator="containsText" text="Dismissed">
      <formula>NOT(ISERROR(SEARCH("Dismissed",X466)))</formula>
    </cfRule>
  </conditionalFormatting>
  <conditionalFormatting sqref="X466">
    <cfRule type="containsText" dxfId="1825" priority="2473" operator="containsText" text="Yes">
      <formula>NOT(ISERROR(SEARCH("Yes",X466)))</formula>
    </cfRule>
  </conditionalFormatting>
  <conditionalFormatting sqref="X481">
    <cfRule type="containsText" dxfId="1824" priority="2456" operator="containsText" text="Dismissed">
      <formula>NOT(ISERROR(SEARCH("Dismissed",X481)))</formula>
    </cfRule>
  </conditionalFormatting>
  <conditionalFormatting sqref="X481">
    <cfRule type="containsText" dxfId="1823" priority="2453" operator="containsText" text="Yes">
      <formula>NOT(ISERROR(SEARCH("Yes",X481)))</formula>
    </cfRule>
  </conditionalFormatting>
  <conditionalFormatting sqref="X502">
    <cfRule type="containsText" dxfId="1822" priority="2436" operator="containsText" text="Dismissed">
      <formula>NOT(ISERROR(SEARCH("Dismissed",X502)))</formula>
    </cfRule>
  </conditionalFormatting>
  <conditionalFormatting sqref="X502">
    <cfRule type="containsText" dxfId="1821" priority="2433" operator="containsText" text="Yes">
      <formula>NOT(ISERROR(SEARCH("Yes",X502)))</formula>
    </cfRule>
  </conditionalFormatting>
  <conditionalFormatting sqref="X519">
    <cfRule type="containsText" dxfId="1820" priority="2416" operator="containsText" text="Dismissed">
      <formula>NOT(ISERROR(SEARCH("Dismissed",X519)))</formula>
    </cfRule>
  </conditionalFormatting>
  <conditionalFormatting sqref="X519">
    <cfRule type="containsText" dxfId="1819" priority="2413" operator="containsText" text="Yes">
      <formula>NOT(ISERROR(SEARCH("Yes",X519)))</formula>
    </cfRule>
  </conditionalFormatting>
  <conditionalFormatting sqref="X536">
    <cfRule type="containsText" dxfId="1818" priority="2396" operator="containsText" text="Dismissed">
      <formula>NOT(ISERROR(SEARCH("Dismissed",X536)))</formula>
    </cfRule>
  </conditionalFormatting>
  <conditionalFormatting sqref="X536">
    <cfRule type="containsText" dxfId="1817" priority="2393" operator="containsText" text="Yes">
      <formula>NOT(ISERROR(SEARCH("Yes",X536)))</formula>
    </cfRule>
  </conditionalFormatting>
  <conditionalFormatting sqref="X550">
    <cfRule type="containsText" dxfId="1816" priority="2376" operator="containsText" text="Dismissed">
      <formula>NOT(ISERROR(SEARCH("Dismissed",X550)))</formula>
    </cfRule>
  </conditionalFormatting>
  <conditionalFormatting sqref="X550">
    <cfRule type="containsText" dxfId="1815" priority="2373" operator="containsText" text="Yes">
      <formula>NOT(ISERROR(SEARCH("Yes",X550)))</formula>
    </cfRule>
  </conditionalFormatting>
  <conditionalFormatting sqref="X571">
    <cfRule type="containsText" dxfId="1814" priority="2356" operator="containsText" text="Dismissed">
      <formula>NOT(ISERROR(SEARCH("Dismissed",X571)))</formula>
    </cfRule>
  </conditionalFormatting>
  <conditionalFormatting sqref="X571">
    <cfRule type="containsText" dxfId="1813" priority="2353" operator="containsText" text="Yes">
      <formula>NOT(ISERROR(SEARCH("Yes",X571)))</formula>
    </cfRule>
  </conditionalFormatting>
  <conditionalFormatting sqref="X586">
    <cfRule type="containsText" dxfId="1812" priority="2336" operator="containsText" text="Dismissed">
      <formula>NOT(ISERROR(SEARCH("Dismissed",X586)))</formula>
    </cfRule>
  </conditionalFormatting>
  <conditionalFormatting sqref="X586">
    <cfRule type="containsText" dxfId="1811" priority="2333" operator="containsText" text="Yes">
      <formula>NOT(ISERROR(SEARCH("Yes",X586)))</formula>
    </cfRule>
  </conditionalFormatting>
  <conditionalFormatting sqref="X599">
    <cfRule type="containsText" dxfId="1810" priority="2316" operator="containsText" text="Dismissed">
      <formula>NOT(ISERROR(SEARCH("Dismissed",X599)))</formula>
    </cfRule>
  </conditionalFormatting>
  <conditionalFormatting sqref="X599">
    <cfRule type="containsText" dxfId="1809" priority="2313" operator="containsText" text="Yes">
      <formula>NOT(ISERROR(SEARCH("Yes",X599)))</formula>
    </cfRule>
  </conditionalFormatting>
  <conditionalFormatting sqref="X620">
    <cfRule type="containsText" dxfId="1808" priority="2296" operator="containsText" text="Dismissed">
      <formula>NOT(ISERROR(SEARCH("Dismissed",X620)))</formula>
    </cfRule>
  </conditionalFormatting>
  <conditionalFormatting sqref="X620">
    <cfRule type="containsText" dxfId="1807" priority="2293" operator="containsText" text="Yes">
      <formula>NOT(ISERROR(SEARCH("Yes",X620)))</formula>
    </cfRule>
  </conditionalFormatting>
  <conditionalFormatting sqref="X637">
    <cfRule type="containsText" dxfId="1806" priority="2276" operator="containsText" text="Dismissed">
      <formula>NOT(ISERROR(SEARCH("Dismissed",X637)))</formula>
    </cfRule>
  </conditionalFormatting>
  <conditionalFormatting sqref="X637">
    <cfRule type="containsText" dxfId="1805" priority="2273" operator="containsText" text="Yes">
      <formula>NOT(ISERROR(SEARCH("Yes",X637)))</formula>
    </cfRule>
  </conditionalFormatting>
  <conditionalFormatting sqref="X653">
    <cfRule type="containsText" dxfId="1804" priority="2256" operator="containsText" text="Dismissed">
      <formula>NOT(ISERROR(SEARCH("Dismissed",X653)))</formula>
    </cfRule>
  </conditionalFormatting>
  <conditionalFormatting sqref="X653">
    <cfRule type="containsText" dxfId="1803" priority="2253" operator="containsText" text="Yes">
      <formula>NOT(ISERROR(SEARCH("Yes",X653)))</formula>
    </cfRule>
  </conditionalFormatting>
  <conditionalFormatting sqref="X668">
    <cfRule type="containsText" dxfId="1802" priority="2236" operator="containsText" text="Dismissed">
      <formula>NOT(ISERROR(SEARCH("Dismissed",X668)))</formula>
    </cfRule>
  </conditionalFormatting>
  <conditionalFormatting sqref="X668">
    <cfRule type="containsText" dxfId="1801" priority="2233" operator="containsText" text="Yes">
      <formula>NOT(ISERROR(SEARCH("Yes",X668)))</formula>
    </cfRule>
  </conditionalFormatting>
  <conditionalFormatting sqref="X679">
    <cfRule type="containsText" dxfId="1800" priority="2216" operator="containsText" text="Dismissed">
      <formula>NOT(ISERROR(SEARCH("Dismissed",X679)))</formula>
    </cfRule>
  </conditionalFormatting>
  <conditionalFormatting sqref="X679">
    <cfRule type="containsText" dxfId="1799" priority="2213" operator="containsText" text="Yes">
      <formula>NOT(ISERROR(SEARCH("Yes",X679)))</formula>
    </cfRule>
  </conditionalFormatting>
  <conditionalFormatting sqref="X689">
    <cfRule type="containsText" dxfId="1798" priority="2196" operator="containsText" text="Dismissed">
      <formula>NOT(ISERROR(SEARCH("Dismissed",X689)))</formula>
    </cfRule>
  </conditionalFormatting>
  <conditionalFormatting sqref="X689">
    <cfRule type="containsText" dxfId="1797" priority="2193" operator="containsText" text="Yes">
      <formula>NOT(ISERROR(SEARCH("Yes",X689)))</formula>
    </cfRule>
  </conditionalFormatting>
  <conditionalFormatting sqref="X700">
    <cfRule type="containsText" dxfId="1796" priority="2176" operator="containsText" text="Dismissed">
      <formula>NOT(ISERROR(SEARCH("Dismissed",X700)))</formula>
    </cfRule>
  </conditionalFormatting>
  <conditionalFormatting sqref="X700">
    <cfRule type="containsText" dxfId="1795" priority="2173" operator="containsText" text="Yes">
      <formula>NOT(ISERROR(SEARCH("Yes",X700)))</formula>
    </cfRule>
  </conditionalFormatting>
  <conditionalFormatting sqref="X715">
    <cfRule type="containsText" dxfId="1794" priority="2156" operator="containsText" text="Dismissed">
      <formula>NOT(ISERROR(SEARCH("Dismissed",X715)))</formula>
    </cfRule>
  </conditionalFormatting>
  <conditionalFormatting sqref="X715">
    <cfRule type="containsText" dxfId="1793" priority="2153" operator="containsText" text="Yes">
      <formula>NOT(ISERROR(SEARCH("Yes",X715)))</formula>
    </cfRule>
  </conditionalFormatting>
  <conditionalFormatting sqref="X726">
    <cfRule type="containsText" dxfId="1792" priority="2136" operator="containsText" text="Dismissed">
      <formula>NOT(ISERROR(SEARCH("Dismissed",X726)))</formula>
    </cfRule>
  </conditionalFormatting>
  <conditionalFormatting sqref="X726">
    <cfRule type="containsText" dxfId="1791" priority="2133" operator="containsText" text="Yes">
      <formula>NOT(ISERROR(SEARCH("Yes",X726)))</formula>
    </cfRule>
  </conditionalFormatting>
  <conditionalFormatting sqref="X742">
    <cfRule type="containsText" dxfId="1790" priority="2116" operator="containsText" text="Dismissed">
      <formula>NOT(ISERROR(SEARCH("Dismissed",X742)))</formula>
    </cfRule>
  </conditionalFormatting>
  <conditionalFormatting sqref="X742">
    <cfRule type="containsText" dxfId="1789" priority="2113" operator="containsText" text="Yes">
      <formula>NOT(ISERROR(SEARCH("Yes",X742)))</formula>
    </cfRule>
  </conditionalFormatting>
  <conditionalFormatting sqref="X757">
    <cfRule type="containsText" dxfId="1788" priority="2096" operator="containsText" text="Dismissed">
      <formula>NOT(ISERROR(SEARCH("Dismissed",X757)))</formula>
    </cfRule>
  </conditionalFormatting>
  <conditionalFormatting sqref="X757">
    <cfRule type="containsText" dxfId="1787" priority="2093" operator="containsText" text="Yes">
      <formula>NOT(ISERROR(SEARCH("Yes",X757)))</formula>
    </cfRule>
  </conditionalFormatting>
  <conditionalFormatting sqref="X766">
    <cfRule type="containsText" dxfId="1786" priority="2076" operator="containsText" text="Dismissed">
      <formula>NOT(ISERROR(SEARCH("Dismissed",X766)))</formula>
    </cfRule>
  </conditionalFormatting>
  <conditionalFormatting sqref="X766">
    <cfRule type="containsText" dxfId="1785" priority="2073" operator="containsText" text="Yes">
      <formula>NOT(ISERROR(SEARCH("Yes",X766)))</formula>
    </cfRule>
  </conditionalFormatting>
  <conditionalFormatting sqref="X776">
    <cfRule type="containsText" dxfId="1784" priority="2056" operator="containsText" text="Dismissed">
      <formula>NOT(ISERROR(SEARCH("Dismissed",X776)))</formula>
    </cfRule>
  </conditionalFormatting>
  <conditionalFormatting sqref="X776">
    <cfRule type="containsText" dxfId="1783" priority="2053" operator="containsText" text="Yes">
      <formula>NOT(ISERROR(SEARCH("Yes",X776)))</formula>
    </cfRule>
  </conditionalFormatting>
  <conditionalFormatting sqref="X788">
    <cfRule type="containsText" dxfId="1782" priority="2036" operator="containsText" text="Dismissed">
      <formula>NOT(ISERROR(SEARCH("Dismissed",X788)))</formula>
    </cfRule>
  </conditionalFormatting>
  <conditionalFormatting sqref="X788">
    <cfRule type="containsText" dxfId="1781" priority="2033" operator="containsText" text="Yes">
      <formula>NOT(ISERROR(SEARCH("Yes",X788)))</formula>
    </cfRule>
  </conditionalFormatting>
  <conditionalFormatting sqref="X799">
    <cfRule type="containsText" dxfId="1780" priority="2016" operator="containsText" text="Dismissed">
      <formula>NOT(ISERROR(SEARCH("Dismissed",X799)))</formula>
    </cfRule>
  </conditionalFormatting>
  <conditionalFormatting sqref="X799">
    <cfRule type="containsText" dxfId="1779" priority="2013" operator="containsText" text="Yes">
      <formula>NOT(ISERROR(SEARCH("Yes",X799)))</formula>
    </cfRule>
  </conditionalFormatting>
  <conditionalFormatting sqref="X812">
    <cfRule type="containsText" dxfId="1778" priority="1996" operator="containsText" text="Dismissed">
      <formula>NOT(ISERROR(SEARCH("Dismissed",X812)))</formula>
    </cfRule>
  </conditionalFormatting>
  <conditionalFormatting sqref="X812">
    <cfRule type="containsText" dxfId="1777" priority="1993" operator="containsText" text="Yes">
      <formula>NOT(ISERROR(SEARCH("Yes",X812)))</formula>
    </cfRule>
  </conditionalFormatting>
  <conditionalFormatting sqref="X821">
    <cfRule type="containsText" dxfId="1776" priority="1976" operator="containsText" text="Dismissed">
      <formula>NOT(ISERROR(SEARCH("Dismissed",X821)))</formula>
    </cfRule>
  </conditionalFormatting>
  <conditionalFormatting sqref="X821">
    <cfRule type="containsText" dxfId="1775" priority="1973" operator="containsText" text="Yes">
      <formula>NOT(ISERROR(SEARCH("Yes",X821)))</formula>
    </cfRule>
  </conditionalFormatting>
  <conditionalFormatting sqref="X833">
    <cfRule type="containsText" dxfId="1774" priority="1956" operator="containsText" text="Dismissed">
      <formula>NOT(ISERROR(SEARCH("Dismissed",X833)))</formula>
    </cfRule>
  </conditionalFormatting>
  <conditionalFormatting sqref="X833">
    <cfRule type="containsText" dxfId="1773" priority="1953" operator="containsText" text="Yes">
      <formula>NOT(ISERROR(SEARCH("Yes",X833)))</formula>
    </cfRule>
  </conditionalFormatting>
  <conditionalFormatting sqref="X849">
    <cfRule type="containsText" dxfId="1772" priority="1936" operator="containsText" text="Dismissed">
      <formula>NOT(ISERROR(SEARCH("Dismissed",X849)))</formula>
    </cfRule>
  </conditionalFormatting>
  <conditionalFormatting sqref="X849">
    <cfRule type="containsText" dxfId="1771" priority="1933" operator="containsText" text="Yes">
      <formula>NOT(ISERROR(SEARCH("Yes",X849)))</formula>
    </cfRule>
  </conditionalFormatting>
  <conditionalFormatting sqref="X860">
    <cfRule type="containsText" dxfId="1770" priority="1916" operator="containsText" text="Dismissed">
      <formula>NOT(ISERROR(SEARCH("Dismissed",X860)))</formula>
    </cfRule>
  </conditionalFormatting>
  <conditionalFormatting sqref="X860">
    <cfRule type="containsText" dxfId="1769" priority="1913" operator="containsText" text="Yes">
      <formula>NOT(ISERROR(SEARCH("Yes",X860)))</formula>
    </cfRule>
  </conditionalFormatting>
  <conditionalFormatting sqref="X866">
    <cfRule type="containsText" dxfId="1768" priority="1896" operator="containsText" text="Dismissed">
      <formula>NOT(ISERROR(SEARCH("Dismissed",X866)))</formula>
    </cfRule>
  </conditionalFormatting>
  <conditionalFormatting sqref="X866">
    <cfRule type="containsText" dxfId="1767" priority="1893" operator="containsText" text="Yes">
      <formula>NOT(ISERROR(SEARCH("Yes",X866)))</formula>
    </cfRule>
  </conditionalFormatting>
  <conditionalFormatting sqref="X877">
    <cfRule type="containsText" dxfId="1766" priority="1856" operator="containsText" text="Dismissed">
      <formula>NOT(ISERROR(SEARCH("Dismissed",X877)))</formula>
    </cfRule>
  </conditionalFormatting>
  <conditionalFormatting sqref="X877">
    <cfRule type="containsText" dxfId="1765" priority="1853" operator="containsText" text="Yes">
      <formula>NOT(ISERROR(SEARCH("Yes",X877)))</formula>
    </cfRule>
  </conditionalFormatting>
  <conditionalFormatting sqref="X890">
    <cfRule type="containsText" dxfId="1764" priority="1836" operator="containsText" text="Dismissed">
      <formula>NOT(ISERROR(SEARCH("Dismissed",X890)))</formula>
    </cfRule>
  </conditionalFormatting>
  <conditionalFormatting sqref="X890">
    <cfRule type="containsText" dxfId="1763" priority="1833" operator="containsText" text="Yes">
      <formula>NOT(ISERROR(SEARCH("Yes",X890)))</formula>
    </cfRule>
  </conditionalFormatting>
  <conditionalFormatting sqref="X901">
    <cfRule type="containsText" dxfId="1762" priority="1816" operator="containsText" text="Dismissed">
      <formula>NOT(ISERROR(SEARCH("Dismissed",X901)))</formula>
    </cfRule>
  </conditionalFormatting>
  <conditionalFormatting sqref="X901">
    <cfRule type="containsText" dxfId="1761" priority="1813" operator="containsText" text="Yes">
      <formula>NOT(ISERROR(SEARCH("Yes",X901)))</formula>
    </cfRule>
  </conditionalFormatting>
  <conditionalFormatting sqref="X912">
    <cfRule type="containsText" dxfId="1760" priority="1796" operator="containsText" text="Dismissed">
      <formula>NOT(ISERROR(SEARCH("Dismissed",X912)))</formula>
    </cfRule>
  </conditionalFormatting>
  <conditionalFormatting sqref="X912">
    <cfRule type="containsText" dxfId="1759" priority="1793" operator="containsText" text="Yes">
      <formula>NOT(ISERROR(SEARCH("Yes",X912)))</formula>
    </cfRule>
  </conditionalFormatting>
  <conditionalFormatting sqref="X921">
    <cfRule type="containsText" dxfId="1758" priority="1776" operator="containsText" text="Dismissed">
      <formula>NOT(ISERROR(SEARCH("Dismissed",X921)))</formula>
    </cfRule>
  </conditionalFormatting>
  <conditionalFormatting sqref="X921">
    <cfRule type="containsText" dxfId="1757" priority="1773" operator="containsText" text="Yes">
      <formula>NOT(ISERROR(SEARCH("Yes",X921)))</formula>
    </cfRule>
  </conditionalFormatting>
  <conditionalFormatting sqref="X933">
    <cfRule type="containsText" dxfId="1756" priority="1756" operator="containsText" text="Dismissed">
      <formula>NOT(ISERROR(SEARCH("Dismissed",X933)))</formula>
    </cfRule>
  </conditionalFormatting>
  <conditionalFormatting sqref="X933">
    <cfRule type="containsText" dxfId="1755" priority="1753" operator="containsText" text="Yes">
      <formula>NOT(ISERROR(SEARCH("Yes",X933)))</formula>
    </cfRule>
  </conditionalFormatting>
  <conditionalFormatting sqref="X945">
    <cfRule type="containsText" dxfId="1754" priority="1736" operator="containsText" text="Dismissed">
      <formula>NOT(ISERROR(SEARCH("Dismissed",X945)))</formula>
    </cfRule>
  </conditionalFormatting>
  <conditionalFormatting sqref="X945">
    <cfRule type="containsText" dxfId="1753" priority="1733" operator="containsText" text="Yes">
      <formula>NOT(ISERROR(SEARCH("Yes",X945)))</formula>
    </cfRule>
  </conditionalFormatting>
  <conditionalFormatting sqref="X954">
    <cfRule type="containsText" dxfId="1752" priority="1716" operator="containsText" text="Dismissed">
      <formula>NOT(ISERROR(SEARCH("Dismissed",X954)))</formula>
    </cfRule>
  </conditionalFormatting>
  <conditionalFormatting sqref="X954">
    <cfRule type="containsText" dxfId="1751" priority="1713" operator="containsText" text="Yes">
      <formula>NOT(ISERROR(SEARCH("Yes",X954)))</formula>
    </cfRule>
  </conditionalFormatting>
  <conditionalFormatting sqref="X966">
    <cfRule type="containsText" dxfId="1750" priority="1696" operator="containsText" text="Dismissed">
      <formula>NOT(ISERROR(SEARCH("Dismissed",X966)))</formula>
    </cfRule>
  </conditionalFormatting>
  <conditionalFormatting sqref="X966">
    <cfRule type="containsText" dxfId="1749" priority="1693" operator="containsText" text="Yes">
      <formula>NOT(ISERROR(SEARCH("Yes",X966)))</formula>
    </cfRule>
  </conditionalFormatting>
  <conditionalFormatting sqref="X977">
    <cfRule type="containsText" dxfId="1748" priority="1676" operator="containsText" text="Dismissed">
      <formula>NOT(ISERROR(SEARCH("Dismissed",X977)))</formula>
    </cfRule>
  </conditionalFormatting>
  <conditionalFormatting sqref="X977">
    <cfRule type="containsText" dxfId="1747" priority="1673" operator="containsText" text="Yes">
      <formula>NOT(ISERROR(SEARCH("Yes",X977)))</formula>
    </cfRule>
  </conditionalFormatting>
  <conditionalFormatting sqref="X985">
    <cfRule type="containsText" dxfId="1746" priority="1656" operator="containsText" text="Dismissed">
      <formula>NOT(ISERROR(SEARCH("Dismissed",X985)))</formula>
    </cfRule>
  </conditionalFormatting>
  <conditionalFormatting sqref="X985">
    <cfRule type="containsText" dxfId="1745" priority="1653" operator="containsText" text="Yes">
      <formula>NOT(ISERROR(SEARCH("Yes",X985)))</formula>
    </cfRule>
  </conditionalFormatting>
  <conditionalFormatting sqref="X992">
    <cfRule type="containsText" dxfId="1744" priority="1636" operator="containsText" text="Dismissed">
      <formula>NOT(ISERROR(SEARCH("Dismissed",X992)))</formula>
    </cfRule>
  </conditionalFormatting>
  <conditionalFormatting sqref="X992">
    <cfRule type="containsText" dxfId="1743" priority="1633" operator="containsText" text="Yes">
      <formula>NOT(ISERROR(SEARCH("Yes",X992)))</formula>
    </cfRule>
  </conditionalFormatting>
  <conditionalFormatting sqref="X1008">
    <cfRule type="containsText" dxfId="1742" priority="1616" operator="containsText" text="Dismissed">
      <formula>NOT(ISERROR(SEARCH("Dismissed",X1008)))</formula>
    </cfRule>
  </conditionalFormatting>
  <conditionalFormatting sqref="X1008">
    <cfRule type="containsText" dxfId="1741" priority="1613" operator="containsText" text="Yes">
      <formula>NOT(ISERROR(SEARCH("Yes",X1008)))</formula>
    </cfRule>
  </conditionalFormatting>
  <conditionalFormatting sqref="X1024">
    <cfRule type="containsText" dxfId="1740" priority="1596" operator="containsText" text="Dismissed">
      <formula>NOT(ISERROR(SEARCH("Dismissed",X1024)))</formula>
    </cfRule>
  </conditionalFormatting>
  <conditionalFormatting sqref="X1024">
    <cfRule type="containsText" dxfId="1739" priority="1593" operator="containsText" text="Yes">
      <formula>NOT(ISERROR(SEARCH("Yes",X1024)))</formula>
    </cfRule>
  </conditionalFormatting>
  <conditionalFormatting sqref="X1032">
    <cfRule type="containsText" dxfId="1738" priority="1576" operator="containsText" text="Dismissed">
      <formula>NOT(ISERROR(SEARCH("Dismissed",X1032)))</formula>
    </cfRule>
  </conditionalFormatting>
  <conditionalFormatting sqref="X1032">
    <cfRule type="containsText" dxfId="1737" priority="1573" operator="containsText" text="Yes">
      <formula>NOT(ISERROR(SEARCH("Yes",X1032)))</formula>
    </cfRule>
  </conditionalFormatting>
  <conditionalFormatting sqref="X1044">
    <cfRule type="containsText" dxfId="1736" priority="1556" operator="containsText" text="Dismissed">
      <formula>NOT(ISERROR(SEARCH("Dismissed",X1044)))</formula>
    </cfRule>
  </conditionalFormatting>
  <conditionalFormatting sqref="X1044">
    <cfRule type="containsText" dxfId="1735" priority="1553" operator="containsText" text="Yes">
      <formula>NOT(ISERROR(SEARCH("Yes",X1044)))</formula>
    </cfRule>
  </conditionalFormatting>
  <conditionalFormatting sqref="X1059">
    <cfRule type="containsText" dxfId="1734" priority="1536" operator="containsText" text="Dismissed">
      <formula>NOT(ISERROR(SEARCH("Dismissed",X1059)))</formula>
    </cfRule>
  </conditionalFormatting>
  <conditionalFormatting sqref="X1059">
    <cfRule type="containsText" dxfId="1733" priority="1533" operator="containsText" text="Yes">
      <formula>NOT(ISERROR(SEARCH("Yes",X1059)))</formula>
    </cfRule>
  </conditionalFormatting>
  <conditionalFormatting sqref="X1073">
    <cfRule type="containsText" dxfId="1732" priority="1516" operator="containsText" text="Dismissed">
      <formula>NOT(ISERROR(SEARCH("Dismissed",X1073)))</formula>
    </cfRule>
  </conditionalFormatting>
  <conditionalFormatting sqref="X1073">
    <cfRule type="containsText" dxfId="1731" priority="1513" operator="containsText" text="Yes">
      <formula>NOT(ISERROR(SEARCH("Yes",X1073)))</formula>
    </cfRule>
  </conditionalFormatting>
  <conditionalFormatting sqref="X1088">
    <cfRule type="containsText" dxfId="1730" priority="1496" operator="containsText" text="Dismissed">
      <formula>NOT(ISERROR(SEARCH("Dismissed",X1088)))</formula>
    </cfRule>
  </conditionalFormatting>
  <conditionalFormatting sqref="X1088">
    <cfRule type="containsText" dxfId="1729" priority="1493" operator="containsText" text="Yes">
      <formula>NOT(ISERROR(SEARCH("Yes",X1088)))</formula>
    </cfRule>
  </conditionalFormatting>
  <conditionalFormatting sqref="X1103">
    <cfRule type="containsText" dxfId="1728" priority="1476" operator="containsText" text="Dismissed">
      <formula>NOT(ISERROR(SEARCH("Dismissed",X1103)))</formula>
    </cfRule>
  </conditionalFormatting>
  <conditionalFormatting sqref="X1103">
    <cfRule type="containsText" dxfId="1727" priority="1473" operator="containsText" text="Yes">
      <formula>NOT(ISERROR(SEARCH("Yes",X1103)))</formula>
    </cfRule>
  </conditionalFormatting>
  <conditionalFormatting sqref="X1121">
    <cfRule type="containsText" dxfId="1726" priority="1456" operator="containsText" text="Dismissed">
      <formula>NOT(ISERROR(SEARCH("Dismissed",X1121)))</formula>
    </cfRule>
  </conditionalFormatting>
  <conditionalFormatting sqref="X1121">
    <cfRule type="containsText" dxfId="1725" priority="1453" operator="containsText" text="Yes">
      <formula>NOT(ISERROR(SEARCH("Yes",X1121)))</formula>
    </cfRule>
  </conditionalFormatting>
  <conditionalFormatting sqref="X1139">
    <cfRule type="containsText" dxfId="1724" priority="1436" operator="containsText" text="Dismissed">
      <formula>NOT(ISERROR(SEARCH("Dismissed",X1139)))</formula>
    </cfRule>
  </conditionalFormatting>
  <conditionalFormatting sqref="X1139">
    <cfRule type="containsText" dxfId="1723" priority="1433" operator="containsText" text="Yes">
      <formula>NOT(ISERROR(SEARCH("Yes",X1139)))</formula>
    </cfRule>
  </conditionalFormatting>
  <conditionalFormatting sqref="X1157">
    <cfRule type="containsText" dxfId="1722" priority="1416" operator="containsText" text="Dismissed">
      <formula>NOT(ISERROR(SEARCH("Dismissed",X1157)))</formula>
    </cfRule>
  </conditionalFormatting>
  <conditionalFormatting sqref="X1157">
    <cfRule type="containsText" dxfId="1721" priority="1413" operator="containsText" text="Yes">
      <formula>NOT(ISERROR(SEARCH("Yes",X1157)))</formula>
    </cfRule>
  </conditionalFormatting>
  <conditionalFormatting sqref="X1171">
    <cfRule type="containsText" dxfId="1720" priority="1396" operator="containsText" text="Dismissed">
      <formula>NOT(ISERROR(SEARCH("Dismissed",X1171)))</formula>
    </cfRule>
  </conditionalFormatting>
  <conditionalFormatting sqref="X1171">
    <cfRule type="containsText" dxfId="1719" priority="1393" operator="containsText" text="Yes">
      <formula>NOT(ISERROR(SEARCH("Yes",X1171)))</formula>
    </cfRule>
  </conditionalFormatting>
  <conditionalFormatting sqref="X1187">
    <cfRule type="containsText" dxfId="1718" priority="1376" operator="containsText" text="Dismissed">
      <formula>NOT(ISERROR(SEARCH("Dismissed",X1187)))</formula>
    </cfRule>
  </conditionalFormatting>
  <conditionalFormatting sqref="X1187">
    <cfRule type="containsText" dxfId="1717" priority="1373" operator="containsText" text="Yes">
      <formula>NOT(ISERROR(SEARCH("Yes",X1187)))</formula>
    </cfRule>
  </conditionalFormatting>
  <conditionalFormatting sqref="X1202">
    <cfRule type="containsText" dxfId="1716" priority="1356" operator="containsText" text="Dismissed">
      <formula>NOT(ISERROR(SEARCH("Dismissed",X1202)))</formula>
    </cfRule>
  </conditionalFormatting>
  <conditionalFormatting sqref="X1202">
    <cfRule type="containsText" dxfId="1715" priority="1353" operator="containsText" text="Yes">
      <formula>NOT(ISERROR(SEARCH("Yes",X1202)))</formula>
    </cfRule>
  </conditionalFormatting>
  <conditionalFormatting sqref="X1217">
    <cfRule type="containsText" dxfId="1714" priority="1336" operator="containsText" text="Dismissed">
      <formula>NOT(ISERROR(SEARCH("Dismissed",X1217)))</formula>
    </cfRule>
  </conditionalFormatting>
  <conditionalFormatting sqref="X1217">
    <cfRule type="containsText" dxfId="1713" priority="1333" operator="containsText" text="Yes">
      <formula>NOT(ISERROR(SEARCH("Yes",X1217)))</formula>
    </cfRule>
  </conditionalFormatting>
  <conditionalFormatting sqref="X1232">
    <cfRule type="containsText" dxfId="1712" priority="1316" operator="containsText" text="Dismissed">
      <formula>NOT(ISERROR(SEARCH("Dismissed",X1232)))</formula>
    </cfRule>
  </conditionalFormatting>
  <conditionalFormatting sqref="X1232">
    <cfRule type="containsText" dxfId="1711" priority="1313" operator="containsText" text="Yes">
      <formula>NOT(ISERROR(SEARCH("Yes",X1232)))</formula>
    </cfRule>
  </conditionalFormatting>
  <conditionalFormatting sqref="X1248">
    <cfRule type="containsText" dxfId="1710" priority="1296" operator="containsText" text="Dismissed">
      <formula>NOT(ISERROR(SEARCH("Dismissed",X1248)))</formula>
    </cfRule>
  </conditionalFormatting>
  <conditionalFormatting sqref="X1248">
    <cfRule type="containsText" dxfId="1709" priority="1293" operator="containsText" text="Yes">
      <formula>NOT(ISERROR(SEARCH("Yes",X1248)))</formula>
    </cfRule>
  </conditionalFormatting>
  <conditionalFormatting sqref="X1260">
    <cfRule type="containsText" dxfId="1708" priority="1276" operator="containsText" text="Dismissed">
      <formula>NOT(ISERROR(SEARCH("Dismissed",X1260)))</formula>
    </cfRule>
  </conditionalFormatting>
  <conditionalFormatting sqref="X1260">
    <cfRule type="containsText" dxfId="1707" priority="1273" operator="containsText" text="Yes">
      <formula>NOT(ISERROR(SEARCH("Yes",X1260)))</formula>
    </cfRule>
  </conditionalFormatting>
  <conditionalFormatting sqref="X1274">
    <cfRule type="containsText" dxfId="1706" priority="1256" operator="containsText" text="Dismissed">
      <formula>NOT(ISERROR(SEARCH("Dismissed",X1274)))</formula>
    </cfRule>
  </conditionalFormatting>
  <conditionalFormatting sqref="X1274">
    <cfRule type="containsText" dxfId="1705" priority="1253" operator="containsText" text="Yes">
      <formula>NOT(ISERROR(SEARCH("Yes",X1274)))</formula>
    </cfRule>
  </conditionalFormatting>
  <conditionalFormatting sqref="X1288">
    <cfRule type="containsText" dxfId="1704" priority="1236" operator="containsText" text="Dismissed">
      <formula>NOT(ISERROR(SEARCH("Dismissed",X1288)))</formula>
    </cfRule>
  </conditionalFormatting>
  <conditionalFormatting sqref="X1288">
    <cfRule type="containsText" dxfId="1703" priority="1233" operator="containsText" text="Yes">
      <formula>NOT(ISERROR(SEARCH("Yes",X1288)))</formula>
    </cfRule>
  </conditionalFormatting>
  <conditionalFormatting sqref="X1304">
    <cfRule type="containsText" dxfId="1702" priority="1216" operator="containsText" text="Dismissed">
      <formula>NOT(ISERROR(SEARCH("Dismissed",X1304)))</formula>
    </cfRule>
  </conditionalFormatting>
  <conditionalFormatting sqref="X1304">
    <cfRule type="containsText" dxfId="1701" priority="1213" operator="containsText" text="Yes">
      <formula>NOT(ISERROR(SEARCH("Yes",X1304)))</formula>
    </cfRule>
  </conditionalFormatting>
  <conditionalFormatting sqref="X1315">
    <cfRule type="containsText" dxfId="1700" priority="1196" operator="containsText" text="Dismissed">
      <formula>NOT(ISERROR(SEARCH("Dismissed",X1315)))</formula>
    </cfRule>
  </conditionalFormatting>
  <conditionalFormatting sqref="X1315">
    <cfRule type="containsText" dxfId="1699" priority="1193" operator="containsText" text="Yes">
      <formula>NOT(ISERROR(SEARCH("Yes",X1315)))</formula>
    </cfRule>
  </conditionalFormatting>
  <conditionalFormatting sqref="X1332">
    <cfRule type="containsText" dxfId="1698" priority="1176" operator="containsText" text="Dismissed">
      <formula>NOT(ISERROR(SEARCH("Dismissed",X1332)))</formula>
    </cfRule>
  </conditionalFormatting>
  <conditionalFormatting sqref="X1332">
    <cfRule type="containsText" dxfId="1697" priority="1173" operator="containsText" text="Yes">
      <formula>NOT(ISERROR(SEARCH("Yes",X1332)))</formula>
    </cfRule>
  </conditionalFormatting>
  <conditionalFormatting sqref="X1343">
    <cfRule type="containsText" dxfId="1696" priority="1156" operator="containsText" text="Dismissed">
      <formula>NOT(ISERROR(SEARCH("Dismissed",X1343)))</formula>
    </cfRule>
  </conditionalFormatting>
  <conditionalFormatting sqref="X1343">
    <cfRule type="containsText" dxfId="1695" priority="1153" operator="containsText" text="Yes">
      <formula>NOT(ISERROR(SEARCH("Yes",X1343)))</formula>
    </cfRule>
  </conditionalFormatting>
  <conditionalFormatting sqref="X1358">
    <cfRule type="containsText" dxfId="1694" priority="1136" operator="containsText" text="Dismissed">
      <formula>NOT(ISERROR(SEARCH("Dismissed",X1358)))</formula>
    </cfRule>
  </conditionalFormatting>
  <conditionalFormatting sqref="X1358">
    <cfRule type="containsText" dxfId="1693" priority="1133" operator="containsText" text="Yes">
      <formula>NOT(ISERROR(SEARCH("Yes",X1358)))</formula>
    </cfRule>
  </conditionalFormatting>
  <conditionalFormatting sqref="X1373">
    <cfRule type="containsText" dxfId="1692" priority="1116" operator="containsText" text="Dismissed">
      <formula>NOT(ISERROR(SEARCH("Dismissed",X1373)))</formula>
    </cfRule>
  </conditionalFormatting>
  <conditionalFormatting sqref="X1373">
    <cfRule type="containsText" dxfId="1691" priority="1113" operator="containsText" text="Yes">
      <formula>NOT(ISERROR(SEARCH("Yes",X1373)))</formula>
    </cfRule>
  </conditionalFormatting>
  <conditionalFormatting sqref="X1385">
    <cfRule type="containsText" dxfId="1690" priority="1096" operator="containsText" text="Dismissed">
      <formula>NOT(ISERROR(SEARCH("Dismissed",X1385)))</formula>
    </cfRule>
  </conditionalFormatting>
  <conditionalFormatting sqref="X1385">
    <cfRule type="containsText" dxfId="1689" priority="1093" operator="containsText" text="Yes">
      <formula>NOT(ISERROR(SEARCH("Yes",X1385)))</formula>
    </cfRule>
  </conditionalFormatting>
  <conditionalFormatting sqref="X1397">
    <cfRule type="containsText" dxfId="1688" priority="1076" operator="containsText" text="Dismissed">
      <formula>NOT(ISERROR(SEARCH("Dismissed",X1397)))</formula>
    </cfRule>
  </conditionalFormatting>
  <conditionalFormatting sqref="X1397">
    <cfRule type="containsText" dxfId="1687" priority="1073" operator="containsText" text="Yes">
      <formula>NOT(ISERROR(SEARCH("Yes",X1397)))</formula>
    </cfRule>
  </conditionalFormatting>
  <conditionalFormatting sqref="X1409">
    <cfRule type="containsText" dxfId="1686" priority="1056" operator="containsText" text="Dismissed">
      <formula>NOT(ISERROR(SEARCH("Dismissed",X1409)))</formula>
    </cfRule>
  </conditionalFormatting>
  <conditionalFormatting sqref="X1409">
    <cfRule type="containsText" dxfId="1685" priority="1053" operator="containsText" text="Yes">
      <formula>NOT(ISERROR(SEARCH("Yes",X1409)))</formula>
    </cfRule>
  </conditionalFormatting>
  <conditionalFormatting sqref="X1425">
    <cfRule type="containsText" dxfId="1684" priority="1036" operator="containsText" text="Dismissed">
      <formula>NOT(ISERROR(SEARCH("Dismissed",X1425)))</formula>
    </cfRule>
  </conditionalFormatting>
  <conditionalFormatting sqref="X1425">
    <cfRule type="containsText" dxfId="1683" priority="1033" operator="containsText" text="Yes">
      <formula>NOT(ISERROR(SEARCH("Yes",X1425)))</formula>
    </cfRule>
  </conditionalFormatting>
  <conditionalFormatting sqref="X1442">
    <cfRule type="containsText" dxfId="1682" priority="1016" operator="containsText" text="Dismissed">
      <formula>NOT(ISERROR(SEARCH("Dismissed",X1442)))</formula>
    </cfRule>
  </conditionalFormatting>
  <conditionalFormatting sqref="X1442">
    <cfRule type="containsText" dxfId="1681" priority="1013" operator="containsText" text="Yes">
      <formula>NOT(ISERROR(SEARCH("Yes",X1442)))</formula>
    </cfRule>
  </conditionalFormatting>
  <conditionalFormatting sqref="X1458">
    <cfRule type="containsText" dxfId="1680" priority="996" operator="containsText" text="Dismissed">
      <formula>NOT(ISERROR(SEARCH("Dismissed",X1458)))</formula>
    </cfRule>
  </conditionalFormatting>
  <conditionalFormatting sqref="X1458">
    <cfRule type="containsText" dxfId="1679" priority="993" operator="containsText" text="Yes">
      <formula>NOT(ISERROR(SEARCH("Yes",X1458)))</formula>
    </cfRule>
  </conditionalFormatting>
  <conditionalFormatting sqref="X1474">
    <cfRule type="containsText" dxfId="1678" priority="976" operator="containsText" text="Dismissed">
      <formula>NOT(ISERROR(SEARCH("Dismissed",X1474)))</formula>
    </cfRule>
  </conditionalFormatting>
  <conditionalFormatting sqref="X1474">
    <cfRule type="containsText" dxfId="1677" priority="973" operator="containsText" text="Yes">
      <formula>NOT(ISERROR(SEARCH("Yes",X1474)))</formula>
    </cfRule>
  </conditionalFormatting>
  <conditionalFormatting sqref="X1485">
    <cfRule type="containsText" dxfId="1676" priority="956" operator="containsText" text="Dismissed">
      <formula>NOT(ISERROR(SEARCH("Dismissed",X1485)))</formula>
    </cfRule>
  </conditionalFormatting>
  <conditionalFormatting sqref="X1485">
    <cfRule type="containsText" dxfId="1675" priority="953" operator="containsText" text="Yes">
      <formula>NOT(ISERROR(SEARCH("Yes",X1485)))</formula>
    </cfRule>
  </conditionalFormatting>
  <conditionalFormatting sqref="X1500">
    <cfRule type="containsText" dxfId="1674" priority="936" operator="containsText" text="Dismissed">
      <formula>NOT(ISERROR(SEARCH("Dismissed",X1500)))</formula>
    </cfRule>
  </conditionalFormatting>
  <conditionalFormatting sqref="X1500">
    <cfRule type="containsText" dxfId="1673" priority="933" operator="containsText" text="Yes">
      <formula>NOT(ISERROR(SEARCH("Yes",X1500)))</formula>
    </cfRule>
  </conditionalFormatting>
  <conditionalFormatting sqref="X1511">
    <cfRule type="containsText" dxfId="1672" priority="916" operator="containsText" text="Dismissed">
      <formula>NOT(ISERROR(SEARCH("Dismissed",X1511)))</formula>
    </cfRule>
  </conditionalFormatting>
  <conditionalFormatting sqref="X1511">
    <cfRule type="containsText" dxfId="1671" priority="913" operator="containsText" text="Yes">
      <formula>NOT(ISERROR(SEARCH("Yes",X1511)))</formula>
    </cfRule>
  </conditionalFormatting>
  <conditionalFormatting sqref="X1520">
    <cfRule type="containsText" dxfId="1670" priority="896" operator="containsText" text="Dismissed">
      <formula>NOT(ISERROR(SEARCH("Dismissed",X1520)))</formula>
    </cfRule>
  </conditionalFormatting>
  <conditionalFormatting sqref="X1520">
    <cfRule type="containsText" dxfId="1669" priority="893" operator="containsText" text="Yes">
      <formula>NOT(ISERROR(SEARCH("Yes",X1520)))</formula>
    </cfRule>
  </conditionalFormatting>
  <conditionalFormatting sqref="Z1:Z1650 Z1652:Z2242 Z2268:Z2789 Z2792:Z1048576">
    <cfRule type="containsText" dxfId="1668" priority="879" operator="containsText" text="No">
      <formula>NOT(ISERROR(SEARCH("No",Z1)))</formula>
    </cfRule>
    <cfRule type="containsText" dxfId="1667" priority="880" operator="containsText" text="Yes">
      <formula>NOT(ISERROR(SEARCH("Yes",Z1)))</formula>
    </cfRule>
  </conditionalFormatting>
  <conditionalFormatting sqref="AA1500">
    <cfRule type="expression" dxfId="1666" priority="878">
      <formula>$E1500=#REF!</formula>
    </cfRule>
  </conditionalFormatting>
  <conditionalFormatting sqref="AA1483">
    <cfRule type="expression" dxfId="1665" priority="877">
      <formula>$E1483=#REF!</formula>
    </cfRule>
  </conditionalFormatting>
  <conditionalFormatting sqref="AA1481">
    <cfRule type="expression" dxfId="1664" priority="876">
      <formula>$E1481=#REF!</formula>
    </cfRule>
  </conditionalFormatting>
  <conditionalFormatting sqref="AA1518">
    <cfRule type="expression" dxfId="1663" priority="852">
      <formula>$E1518=#REF!</formula>
    </cfRule>
  </conditionalFormatting>
  <conditionalFormatting sqref="AA1511">
    <cfRule type="expression" dxfId="1662" priority="845">
      <formula>$E1511=#REF!</formula>
    </cfRule>
  </conditionalFormatting>
  <conditionalFormatting sqref="AA1513">
    <cfRule type="expression" dxfId="1661" priority="844">
      <formula>$E1513=#REF!</formula>
    </cfRule>
  </conditionalFormatting>
  <conditionalFormatting sqref="AA1515">
    <cfRule type="expression" dxfId="1660" priority="843">
      <formula>$E1515=#REF!</formula>
    </cfRule>
  </conditionalFormatting>
  <conditionalFormatting sqref="Y1519">
    <cfRule type="expression" dxfId="1659" priority="841">
      <formula>$E1519=#REF!</formula>
    </cfRule>
  </conditionalFormatting>
  <conditionalFormatting sqref="AA1519">
    <cfRule type="expression" dxfId="1658" priority="840">
      <formula>$E1519=#REF!</formula>
    </cfRule>
  </conditionalFormatting>
  <conditionalFormatting sqref="Y1523">
    <cfRule type="expression" dxfId="1657" priority="839">
      <formula>$E1523=#REF!</formula>
    </cfRule>
  </conditionalFormatting>
  <conditionalFormatting sqref="AA1523">
    <cfRule type="expression" dxfId="1656" priority="838">
      <formula>$E1523=#REF!</formula>
    </cfRule>
  </conditionalFormatting>
  <conditionalFormatting sqref="AA1522">
    <cfRule type="expression" dxfId="1655" priority="835">
      <formula>$E1522=#REF!</formula>
    </cfRule>
  </conditionalFormatting>
  <conditionalFormatting sqref="Y1522">
    <cfRule type="expression" dxfId="1654" priority="836">
      <formula>$E1522=#REF!</formula>
    </cfRule>
  </conditionalFormatting>
  <conditionalFormatting sqref="Y1521">
    <cfRule type="expression" dxfId="1653" priority="834">
      <formula>$E1521=#REF!</formula>
    </cfRule>
  </conditionalFormatting>
  <conditionalFormatting sqref="AA1489">
    <cfRule type="expression" dxfId="1652" priority="833">
      <formula>$E1489=#REF!</formula>
    </cfRule>
  </conditionalFormatting>
  <conditionalFormatting sqref="AA1490">
    <cfRule type="expression" dxfId="1651" priority="625">
      <formula>$E1490=#REF!</formula>
    </cfRule>
  </conditionalFormatting>
  <conditionalFormatting sqref="AA1652">
    <cfRule type="expression" dxfId="1650" priority="8971">
      <formula>$E1652=#REF!</formula>
    </cfRule>
  </conditionalFormatting>
  <conditionalFormatting sqref="W1673:W1677 W1680:W1681 W1684:W1685 W1687:W1688 W1690 W1:W1669 W1692:W1959 W2106:W2107 W2109 W2111 W2113 W1961:W2104 W2268:W2281 W2115:W2242 W2283:W2704 W2792:W2812 W2814:W2816 W2706:W2789 W2818:W2829 W2831 W2833 W2835:W2848 W2850:W2960 W2962:W1048576">
    <cfRule type="containsText" dxfId="1649" priority="602" operator="containsText" text="B1">
      <formula>NOT(ISERROR(SEARCH("B1",W1)))</formula>
    </cfRule>
    <cfRule type="containsText" dxfId="1648" priority="603" operator="containsText" text="A2">
      <formula>NOT(ISERROR(SEARCH("A2",W1)))</formula>
    </cfRule>
    <cfRule type="containsText" dxfId="1647" priority="604" operator="containsText" text="Domestic">
      <formula>NOT(ISERROR(SEARCH("Domestic",W1)))</formula>
    </cfRule>
    <cfRule type="containsText" dxfId="1646" priority="605" operator="containsText" text="Re-join">
      <formula>NOT(ISERROR(SEARCH("Re-join",W1)))</formula>
    </cfRule>
    <cfRule type="containsText" dxfId="1645" priority="606" operator="containsText" text="Resigned">
      <formula>NOT(ISERROR(SEARCH("Resigned",W1)))</formula>
    </cfRule>
    <cfRule type="containsText" dxfId="1644" priority="607" operator="containsText" text="Dismissed">
      <formula>NOT(ISERROR(SEARCH("Dismissed",W1)))</formula>
    </cfRule>
    <cfRule type="containsText" dxfId="1643" priority="608" operator="containsText" text="Nearshore">
      <formula>NOT(ISERROR(SEARCH("Nearshore",W1)))</formula>
    </cfRule>
    <cfRule type="containsText" dxfId="1642" priority="609" operator="containsText" text="Freedom">
      <formula>NOT(ISERROR(SEARCH("Freedom",W1)))</formula>
    </cfRule>
    <cfRule type="containsText" dxfId="1641" priority="610" operator="containsText" text="WU">
      <formula>NOT(ISERROR(SEARCH("WU",W1)))</formula>
    </cfRule>
    <cfRule type="containsText" dxfId="1640" priority="611" operator="containsText" text="Expedia">
      <formula>NOT(ISERROR(SEARCH("Expedia",W1)))</formula>
    </cfRule>
  </conditionalFormatting>
  <conditionalFormatting sqref="X1670:X1672">
    <cfRule type="containsText" dxfId="1639" priority="601" operator="containsText" text="Dismissed">
      <formula>NOT(ISERROR(SEARCH("Dismissed",X1670)))</formula>
    </cfRule>
  </conditionalFormatting>
  <conditionalFormatting sqref="X1670:X1672">
    <cfRule type="containsText" dxfId="1638" priority="600" operator="containsText" text="Yes">
      <formula>NOT(ISERROR(SEARCH("Yes",X1670)))</formula>
    </cfRule>
  </conditionalFormatting>
  <conditionalFormatting sqref="W1670:W1671">
    <cfRule type="containsText" dxfId="1637" priority="590" operator="containsText" text="B1">
      <formula>NOT(ISERROR(SEARCH("B1",W1670)))</formula>
    </cfRule>
    <cfRule type="containsText" dxfId="1636" priority="591" operator="containsText" text="A2">
      <formula>NOT(ISERROR(SEARCH("A2",W1670)))</formula>
    </cfRule>
    <cfRule type="containsText" dxfId="1635" priority="592" operator="containsText" text="Domestic">
      <formula>NOT(ISERROR(SEARCH("Domestic",W1670)))</formula>
    </cfRule>
    <cfRule type="containsText" dxfId="1634" priority="593" operator="containsText" text="Re-join">
      <formula>NOT(ISERROR(SEARCH("Re-join",W1670)))</formula>
    </cfRule>
    <cfRule type="containsText" dxfId="1633" priority="594" operator="containsText" text="Resigned">
      <formula>NOT(ISERROR(SEARCH("Resigned",W1670)))</formula>
    </cfRule>
    <cfRule type="containsText" dxfId="1632" priority="595" operator="containsText" text="Dismissed">
      <formula>NOT(ISERROR(SEARCH("Dismissed",W1670)))</formula>
    </cfRule>
    <cfRule type="containsText" dxfId="1631" priority="596" operator="containsText" text="Nearshore">
      <formula>NOT(ISERROR(SEARCH("Nearshore",W1670)))</formula>
    </cfRule>
    <cfRule type="containsText" dxfId="1630" priority="597" operator="containsText" text="Freedom">
      <formula>NOT(ISERROR(SEARCH("Freedom",W1670)))</formula>
    </cfRule>
    <cfRule type="containsText" dxfId="1629" priority="598" operator="containsText" text="WU">
      <formula>NOT(ISERROR(SEARCH("WU",W1670)))</formula>
    </cfRule>
    <cfRule type="containsText" dxfId="1628" priority="599" operator="containsText" text="Expedia">
      <formula>NOT(ISERROR(SEARCH("Expedia",W1670)))</formula>
    </cfRule>
  </conditionalFormatting>
  <conditionalFormatting sqref="X1678:X1679">
    <cfRule type="containsText" dxfId="1627" priority="589" operator="containsText" text="Dismissed">
      <formula>NOT(ISERROR(SEARCH("Dismissed",X1678)))</formula>
    </cfRule>
  </conditionalFormatting>
  <conditionalFormatting sqref="X1678:X1679">
    <cfRule type="containsText" dxfId="1626" priority="588" operator="containsText" text="Yes">
      <formula>NOT(ISERROR(SEARCH("Yes",X1678)))</formula>
    </cfRule>
  </conditionalFormatting>
  <conditionalFormatting sqref="W1678:W1679">
    <cfRule type="containsText" dxfId="1625" priority="578" operator="containsText" text="B1">
      <formula>NOT(ISERROR(SEARCH("B1",W1678)))</formula>
    </cfRule>
    <cfRule type="containsText" dxfId="1624" priority="579" operator="containsText" text="A2">
      <formula>NOT(ISERROR(SEARCH("A2",W1678)))</formula>
    </cfRule>
    <cfRule type="containsText" dxfId="1623" priority="580" operator="containsText" text="Domestic">
      <formula>NOT(ISERROR(SEARCH("Domestic",W1678)))</formula>
    </cfRule>
    <cfRule type="containsText" dxfId="1622" priority="581" operator="containsText" text="Re-join">
      <formula>NOT(ISERROR(SEARCH("Re-join",W1678)))</formula>
    </cfRule>
    <cfRule type="containsText" dxfId="1621" priority="582" operator="containsText" text="Resigned">
      <formula>NOT(ISERROR(SEARCH("Resigned",W1678)))</formula>
    </cfRule>
    <cfRule type="containsText" dxfId="1620" priority="583" operator="containsText" text="Dismissed">
      <formula>NOT(ISERROR(SEARCH("Dismissed",W1678)))</formula>
    </cfRule>
    <cfRule type="containsText" dxfId="1619" priority="584" operator="containsText" text="Nearshore">
      <formula>NOT(ISERROR(SEARCH("Nearshore",W1678)))</formula>
    </cfRule>
    <cfRule type="containsText" dxfId="1618" priority="585" operator="containsText" text="Freedom">
      <formula>NOT(ISERROR(SEARCH("Freedom",W1678)))</formula>
    </cfRule>
    <cfRule type="containsText" dxfId="1617" priority="586" operator="containsText" text="WU">
      <formula>NOT(ISERROR(SEARCH("WU",W1678)))</formula>
    </cfRule>
    <cfRule type="containsText" dxfId="1616" priority="587" operator="containsText" text="Expedia">
      <formula>NOT(ISERROR(SEARCH("Expedia",W1678)))</formula>
    </cfRule>
  </conditionalFormatting>
  <conditionalFormatting sqref="X1682:X1683">
    <cfRule type="containsText" dxfId="1615" priority="577" operator="containsText" text="Dismissed">
      <formula>NOT(ISERROR(SEARCH("Dismissed",X1682)))</formula>
    </cfRule>
  </conditionalFormatting>
  <conditionalFormatting sqref="X1682:X1683">
    <cfRule type="containsText" dxfId="1614" priority="576" operator="containsText" text="Yes">
      <formula>NOT(ISERROR(SEARCH("Yes",X1682)))</formula>
    </cfRule>
  </conditionalFormatting>
  <conditionalFormatting sqref="W1682:W1683">
    <cfRule type="containsText" dxfId="1613" priority="566" operator="containsText" text="B1">
      <formula>NOT(ISERROR(SEARCH("B1",W1682)))</formula>
    </cfRule>
    <cfRule type="containsText" dxfId="1612" priority="567" operator="containsText" text="A2">
      <formula>NOT(ISERROR(SEARCH("A2",W1682)))</formula>
    </cfRule>
    <cfRule type="containsText" dxfId="1611" priority="568" operator="containsText" text="Domestic">
      <formula>NOT(ISERROR(SEARCH("Domestic",W1682)))</formula>
    </cfRule>
    <cfRule type="containsText" dxfId="1610" priority="569" operator="containsText" text="Re-join">
      <formula>NOT(ISERROR(SEARCH("Re-join",W1682)))</formula>
    </cfRule>
    <cfRule type="containsText" dxfId="1609" priority="570" operator="containsText" text="Resigned">
      <formula>NOT(ISERROR(SEARCH("Resigned",W1682)))</formula>
    </cfRule>
    <cfRule type="containsText" dxfId="1608" priority="571" operator="containsText" text="Dismissed">
      <formula>NOT(ISERROR(SEARCH("Dismissed",W1682)))</formula>
    </cfRule>
    <cfRule type="containsText" dxfId="1607" priority="572" operator="containsText" text="Nearshore">
      <formula>NOT(ISERROR(SEARCH("Nearshore",W1682)))</formula>
    </cfRule>
    <cfRule type="containsText" dxfId="1606" priority="573" operator="containsText" text="Freedom">
      <formula>NOT(ISERROR(SEARCH("Freedom",W1682)))</formula>
    </cfRule>
    <cfRule type="containsText" dxfId="1605" priority="574" operator="containsText" text="WU">
      <formula>NOT(ISERROR(SEARCH("WU",W1682)))</formula>
    </cfRule>
    <cfRule type="containsText" dxfId="1604" priority="575" operator="containsText" text="Expedia">
      <formula>NOT(ISERROR(SEARCH("Expedia",W1682)))</formula>
    </cfRule>
  </conditionalFormatting>
  <conditionalFormatting sqref="X1686">
    <cfRule type="containsText" dxfId="1603" priority="565" operator="containsText" text="Dismissed">
      <formula>NOT(ISERROR(SEARCH("Dismissed",X1686)))</formula>
    </cfRule>
  </conditionalFormatting>
  <conditionalFormatting sqref="X1686">
    <cfRule type="containsText" dxfId="1602" priority="564" operator="containsText" text="Yes">
      <formula>NOT(ISERROR(SEARCH("Yes",X1686)))</formula>
    </cfRule>
  </conditionalFormatting>
  <conditionalFormatting sqref="W1686">
    <cfRule type="containsText" dxfId="1601" priority="554" operator="containsText" text="B1">
      <formula>NOT(ISERROR(SEARCH("B1",W1686)))</formula>
    </cfRule>
    <cfRule type="containsText" dxfId="1600" priority="555" operator="containsText" text="A2">
      <formula>NOT(ISERROR(SEARCH("A2",W1686)))</formula>
    </cfRule>
    <cfRule type="containsText" dxfId="1599" priority="556" operator="containsText" text="Domestic">
      <formula>NOT(ISERROR(SEARCH("Domestic",W1686)))</formula>
    </cfRule>
    <cfRule type="containsText" dxfId="1598" priority="557" operator="containsText" text="Re-join">
      <formula>NOT(ISERROR(SEARCH("Re-join",W1686)))</formula>
    </cfRule>
    <cfRule type="containsText" dxfId="1597" priority="558" operator="containsText" text="Resigned">
      <formula>NOT(ISERROR(SEARCH("Resigned",W1686)))</formula>
    </cfRule>
    <cfRule type="containsText" dxfId="1596" priority="559" operator="containsText" text="Dismissed">
      <formula>NOT(ISERROR(SEARCH("Dismissed",W1686)))</formula>
    </cfRule>
    <cfRule type="containsText" dxfId="1595" priority="560" operator="containsText" text="Nearshore">
      <formula>NOT(ISERROR(SEARCH("Nearshore",W1686)))</formula>
    </cfRule>
    <cfRule type="containsText" dxfId="1594" priority="561" operator="containsText" text="Freedom">
      <formula>NOT(ISERROR(SEARCH("Freedom",W1686)))</formula>
    </cfRule>
    <cfRule type="containsText" dxfId="1593" priority="562" operator="containsText" text="WU">
      <formula>NOT(ISERROR(SEARCH("WU",W1686)))</formula>
    </cfRule>
    <cfRule type="containsText" dxfId="1592" priority="563" operator="containsText" text="Expedia">
      <formula>NOT(ISERROR(SEARCH("Expedia",W1686)))</formula>
    </cfRule>
  </conditionalFormatting>
  <conditionalFormatting sqref="X1689">
    <cfRule type="containsText" dxfId="1591" priority="553" operator="containsText" text="Dismissed">
      <formula>NOT(ISERROR(SEARCH("Dismissed",X1689)))</formula>
    </cfRule>
  </conditionalFormatting>
  <conditionalFormatting sqref="X1689">
    <cfRule type="containsText" dxfId="1590" priority="552" operator="containsText" text="Yes">
      <formula>NOT(ISERROR(SEARCH("Yes",X1689)))</formula>
    </cfRule>
  </conditionalFormatting>
  <conditionalFormatting sqref="W1689">
    <cfRule type="containsText" dxfId="1589" priority="542" operator="containsText" text="B1">
      <formula>NOT(ISERROR(SEARCH("B1",W1689)))</formula>
    </cfRule>
    <cfRule type="containsText" dxfId="1588" priority="543" operator="containsText" text="A2">
      <formula>NOT(ISERROR(SEARCH("A2",W1689)))</formula>
    </cfRule>
    <cfRule type="containsText" dxfId="1587" priority="544" operator="containsText" text="Domestic">
      <formula>NOT(ISERROR(SEARCH("Domestic",W1689)))</formula>
    </cfRule>
    <cfRule type="containsText" dxfId="1586" priority="545" operator="containsText" text="Re-join">
      <formula>NOT(ISERROR(SEARCH("Re-join",W1689)))</formula>
    </cfRule>
    <cfRule type="containsText" dxfId="1585" priority="546" operator="containsText" text="Resigned">
      <formula>NOT(ISERROR(SEARCH("Resigned",W1689)))</formula>
    </cfRule>
    <cfRule type="containsText" dxfId="1584" priority="547" operator="containsText" text="Dismissed">
      <formula>NOT(ISERROR(SEARCH("Dismissed",W1689)))</formula>
    </cfRule>
    <cfRule type="containsText" dxfId="1583" priority="548" operator="containsText" text="Nearshore">
      <formula>NOT(ISERROR(SEARCH("Nearshore",W1689)))</formula>
    </cfRule>
    <cfRule type="containsText" dxfId="1582" priority="549" operator="containsText" text="Freedom">
      <formula>NOT(ISERROR(SEARCH("Freedom",W1689)))</formula>
    </cfRule>
    <cfRule type="containsText" dxfId="1581" priority="550" operator="containsText" text="WU">
      <formula>NOT(ISERROR(SEARCH("WU",W1689)))</formula>
    </cfRule>
    <cfRule type="containsText" dxfId="1580" priority="551" operator="containsText" text="Expedia">
      <formula>NOT(ISERROR(SEARCH("Expedia",W1689)))</formula>
    </cfRule>
  </conditionalFormatting>
  <conditionalFormatting sqref="X1691">
    <cfRule type="containsText" dxfId="1579" priority="541" operator="containsText" text="Dismissed">
      <formula>NOT(ISERROR(SEARCH("Dismissed",X1691)))</formula>
    </cfRule>
  </conditionalFormatting>
  <conditionalFormatting sqref="X1691">
    <cfRule type="containsText" dxfId="1578" priority="540" operator="containsText" text="Yes">
      <formula>NOT(ISERROR(SEARCH("Yes",X1691)))</formula>
    </cfRule>
  </conditionalFormatting>
  <conditionalFormatting sqref="W1691">
    <cfRule type="containsText" dxfId="1577" priority="530" operator="containsText" text="B1">
      <formula>NOT(ISERROR(SEARCH("B1",W1691)))</formula>
    </cfRule>
    <cfRule type="containsText" dxfId="1576" priority="531" operator="containsText" text="A2">
      <formula>NOT(ISERROR(SEARCH("A2",W1691)))</formula>
    </cfRule>
    <cfRule type="containsText" dxfId="1575" priority="532" operator="containsText" text="Domestic">
      <formula>NOT(ISERROR(SEARCH("Domestic",W1691)))</formula>
    </cfRule>
    <cfRule type="containsText" dxfId="1574" priority="533" operator="containsText" text="Re-join">
      <formula>NOT(ISERROR(SEARCH("Re-join",W1691)))</formula>
    </cfRule>
    <cfRule type="containsText" dxfId="1573" priority="534" operator="containsText" text="Resigned">
      <formula>NOT(ISERROR(SEARCH("Resigned",W1691)))</formula>
    </cfRule>
    <cfRule type="containsText" dxfId="1572" priority="535" operator="containsText" text="Dismissed">
      <formula>NOT(ISERROR(SEARCH("Dismissed",W1691)))</formula>
    </cfRule>
    <cfRule type="containsText" dxfId="1571" priority="536" operator="containsText" text="Nearshore">
      <formula>NOT(ISERROR(SEARCH("Nearshore",W1691)))</formula>
    </cfRule>
    <cfRule type="containsText" dxfId="1570" priority="537" operator="containsText" text="Freedom">
      <formula>NOT(ISERROR(SEARCH("Freedom",W1691)))</formula>
    </cfRule>
    <cfRule type="containsText" dxfId="1569" priority="538" operator="containsText" text="WU">
      <formula>NOT(ISERROR(SEARCH("WU",W1691)))</formula>
    </cfRule>
    <cfRule type="containsText" dxfId="1568" priority="539" operator="containsText" text="Expedia">
      <formula>NOT(ISERROR(SEARCH("Expedia",W1691)))</formula>
    </cfRule>
  </conditionalFormatting>
  <conditionalFormatting sqref="W1672">
    <cfRule type="containsText" dxfId="1567" priority="520" operator="containsText" text="B1">
      <formula>NOT(ISERROR(SEARCH("B1",W1672)))</formula>
    </cfRule>
    <cfRule type="containsText" dxfId="1566" priority="521" operator="containsText" text="A2">
      <formula>NOT(ISERROR(SEARCH("A2",W1672)))</formula>
    </cfRule>
    <cfRule type="containsText" dxfId="1565" priority="522" operator="containsText" text="Domestic">
      <formula>NOT(ISERROR(SEARCH("Domestic",W1672)))</formula>
    </cfRule>
    <cfRule type="containsText" dxfId="1564" priority="523" operator="containsText" text="Re-join">
      <formula>NOT(ISERROR(SEARCH("Re-join",W1672)))</formula>
    </cfRule>
    <cfRule type="containsText" dxfId="1563" priority="524" operator="containsText" text="Resigned">
      <formula>NOT(ISERROR(SEARCH("Resigned",W1672)))</formula>
    </cfRule>
    <cfRule type="containsText" dxfId="1562" priority="525" operator="containsText" text="Dismissed">
      <formula>NOT(ISERROR(SEARCH("Dismissed",W1672)))</formula>
    </cfRule>
    <cfRule type="containsText" dxfId="1561" priority="526" operator="containsText" text="Nearshore">
      <formula>NOT(ISERROR(SEARCH("Nearshore",W1672)))</formula>
    </cfRule>
    <cfRule type="containsText" dxfId="1560" priority="527" operator="containsText" text="Freedom">
      <formula>NOT(ISERROR(SEARCH("Freedom",W1672)))</formula>
    </cfRule>
    <cfRule type="containsText" dxfId="1559" priority="528" operator="containsText" text="WU">
      <formula>NOT(ISERROR(SEARCH("WU",W1672)))</formula>
    </cfRule>
    <cfRule type="containsText" dxfId="1558" priority="529" operator="containsText" text="Expedia">
      <formula>NOT(ISERROR(SEARCH("Expedia",W1672)))</formula>
    </cfRule>
  </conditionalFormatting>
  <conditionalFormatting sqref="T1775">
    <cfRule type="duplicateValues" dxfId="1557" priority="519"/>
  </conditionalFormatting>
  <conditionalFormatting sqref="X1:X1959 X1961:X2104 X2106:X2107 X2109 X2111 X2113 X2115:X2242 X2268:X2789 X2792:X2812 X2814:X2816 X2818:X2829 X2831 X2833 X2835:X2848 X2850:X2960 X2962:X1048576">
    <cfRule type="containsText" dxfId="1556" priority="518" operator="containsText" text="No">
      <formula>NOT(ISERROR(SEARCH("No",X1)))</formula>
    </cfRule>
  </conditionalFormatting>
  <conditionalFormatting sqref="W1:W1959 W2106:W2107 W2109 W2111 W2113 W1961:W2104 W2268:W2281 W2115:W2242 W2283:W2704 W2792:W2812 W2814:W2816 W2706:W2789 W2818:W2829 W2831 W2833 W2835:W2848 W2850:W2960 W2962:W1048576">
    <cfRule type="containsText" dxfId="1555" priority="513" operator="containsText" text="Du Enterprise">
      <formula>NOT(ISERROR(SEARCH("Du Enterprise",W1)))</formula>
    </cfRule>
  </conditionalFormatting>
  <conditionalFormatting sqref="X1960">
    <cfRule type="containsText" dxfId="1554" priority="512" operator="containsText" text="Dismissed">
      <formula>NOT(ISERROR(SEARCH("Dismissed",X1960)))</formula>
    </cfRule>
  </conditionalFormatting>
  <conditionalFormatting sqref="X1960">
    <cfRule type="containsText" dxfId="1553" priority="511" operator="containsText" text="Yes">
      <formula>NOT(ISERROR(SEARCH("Yes",X1960)))</formula>
    </cfRule>
  </conditionalFormatting>
  <conditionalFormatting sqref="W1960">
    <cfRule type="containsText" dxfId="1552" priority="501" operator="containsText" text="B1">
      <formula>NOT(ISERROR(SEARCH("B1",W1960)))</formula>
    </cfRule>
    <cfRule type="containsText" dxfId="1551" priority="502" operator="containsText" text="A2">
      <formula>NOT(ISERROR(SEARCH("A2",W1960)))</formula>
    </cfRule>
    <cfRule type="containsText" dxfId="1550" priority="503" operator="containsText" text="Domestic">
      <formula>NOT(ISERROR(SEARCH("Domestic",W1960)))</formula>
    </cfRule>
    <cfRule type="containsText" dxfId="1549" priority="504" operator="containsText" text="Re-join">
      <formula>NOT(ISERROR(SEARCH("Re-join",W1960)))</formula>
    </cfRule>
    <cfRule type="containsText" dxfId="1548" priority="505" operator="containsText" text="Resigned">
      <formula>NOT(ISERROR(SEARCH("Resigned",W1960)))</formula>
    </cfRule>
    <cfRule type="containsText" dxfId="1547" priority="506" operator="containsText" text="Dismissed">
      <formula>NOT(ISERROR(SEARCH("Dismissed",W1960)))</formula>
    </cfRule>
    <cfRule type="containsText" dxfId="1546" priority="507" operator="containsText" text="Nearshore">
      <formula>NOT(ISERROR(SEARCH("Nearshore",W1960)))</formula>
    </cfRule>
    <cfRule type="containsText" dxfId="1545" priority="508" operator="containsText" text="Freedom">
      <formula>NOT(ISERROR(SEARCH("Freedom",W1960)))</formula>
    </cfRule>
    <cfRule type="containsText" dxfId="1544" priority="509" operator="containsText" text="WU">
      <formula>NOT(ISERROR(SEARCH("WU",W1960)))</formula>
    </cfRule>
    <cfRule type="containsText" dxfId="1543" priority="510" operator="containsText" text="Expedia">
      <formula>NOT(ISERROR(SEARCH("Expedia",W1960)))</formula>
    </cfRule>
  </conditionalFormatting>
  <conditionalFormatting sqref="X1960">
    <cfRule type="containsText" dxfId="1542" priority="500" operator="containsText" text="No">
      <formula>NOT(ISERROR(SEARCH("No",X1960)))</formula>
    </cfRule>
  </conditionalFormatting>
  <conditionalFormatting sqref="W1960">
    <cfRule type="containsText" dxfId="1541" priority="499" operator="containsText" text="Du Enterprise">
      <formula>NOT(ISERROR(SEARCH("Du Enterprise",W1960)))</formula>
    </cfRule>
  </conditionalFormatting>
  <conditionalFormatting sqref="X2105">
    <cfRule type="containsText" dxfId="1540" priority="447" operator="containsText" text="Dismissed">
      <formula>NOT(ISERROR(SEARCH("Dismissed",X2105)))</formula>
    </cfRule>
  </conditionalFormatting>
  <conditionalFormatting sqref="X2105">
    <cfRule type="containsText" dxfId="1539" priority="446" operator="containsText" text="Yes">
      <formula>NOT(ISERROR(SEARCH("Yes",X2105)))</formula>
    </cfRule>
  </conditionalFormatting>
  <conditionalFormatting sqref="W2105">
    <cfRule type="containsText" dxfId="1538" priority="436" operator="containsText" text="B1">
      <formula>NOT(ISERROR(SEARCH("B1",W2105)))</formula>
    </cfRule>
    <cfRule type="containsText" dxfId="1537" priority="437" operator="containsText" text="A2">
      <formula>NOT(ISERROR(SEARCH("A2",W2105)))</formula>
    </cfRule>
    <cfRule type="containsText" dxfId="1536" priority="438" operator="containsText" text="Domestic">
      <formula>NOT(ISERROR(SEARCH("Domestic",W2105)))</formula>
    </cfRule>
    <cfRule type="containsText" dxfId="1535" priority="439" operator="containsText" text="Re-join">
      <formula>NOT(ISERROR(SEARCH("Re-join",W2105)))</formula>
    </cfRule>
    <cfRule type="containsText" dxfId="1534" priority="440" operator="containsText" text="Resigned">
      <formula>NOT(ISERROR(SEARCH("Resigned",W2105)))</formula>
    </cfRule>
    <cfRule type="containsText" dxfId="1533" priority="441" operator="containsText" text="Dismissed">
      <formula>NOT(ISERROR(SEARCH("Dismissed",W2105)))</formula>
    </cfRule>
    <cfRule type="containsText" dxfId="1532" priority="442" operator="containsText" text="Nearshore">
      <formula>NOT(ISERROR(SEARCH("Nearshore",W2105)))</formula>
    </cfRule>
    <cfRule type="containsText" dxfId="1531" priority="443" operator="containsText" text="Freedom">
      <formula>NOT(ISERROR(SEARCH("Freedom",W2105)))</formula>
    </cfRule>
    <cfRule type="containsText" dxfId="1530" priority="444" operator="containsText" text="WU">
      <formula>NOT(ISERROR(SEARCH("WU",W2105)))</formula>
    </cfRule>
    <cfRule type="containsText" dxfId="1529" priority="445" operator="containsText" text="Expedia">
      <formula>NOT(ISERROR(SEARCH("Expedia",W2105)))</formula>
    </cfRule>
  </conditionalFormatting>
  <conditionalFormatting sqref="X2105">
    <cfRule type="containsText" dxfId="1528" priority="435" operator="containsText" text="No">
      <formula>NOT(ISERROR(SEARCH("No",X2105)))</formula>
    </cfRule>
  </conditionalFormatting>
  <conditionalFormatting sqref="W2105">
    <cfRule type="containsText" dxfId="1527" priority="434" operator="containsText" text="Du Enterprise">
      <formula>NOT(ISERROR(SEARCH("Du Enterprise",W2105)))</formula>
    </cfRule>
  </conditionalFormatting>
  <conditionalFormatting sqref="X2108">
    <cfRule type="containsText" dxfId="1526" priority="433" operator="containsText" text="Dismissed">
      <formula>NOT(ISERROR(SEARCH("Dismissed",X2108)))</formula>
    </cfRule>
  </conditionalFormatting>
  <conditionalFormatting sqref="X2108">
    <cfRule type="containsText" dxfId="1525" priority="432" operator="containsText" text="Yes">
      <formula>NOT(ISERROR(SEARCH("Yes",X2108)))</formula>
    </cfRule>
  </conditionalFormatting>
  <conditionalFormatting sqref="X2108">
    <cfRule type="containsText" dxfId="1524" priority="421" operator="containsText" text="No">
      <formula>NOT(ISERROR(SEARCH("No",X2108)))</formula>
    </cfRule>
  </conditionalFormatting>
  <conditionalFormatting sqref="X2110">
    <cfRule type="containsText" dxfId="1523" priority="419" operator="containsText" text="Dismissed">
      <formula>NOT(ISERROR(SEARCH("Dismissed",X2110)))</formula>
    </cfRule>
  </conditionalFormatting>
  <conditionalFormatting sqref="X2110">
    <cfRule type="containsText" dxfId="1522" priority="418" operator="containsText" text="Yes">
      <formula>NOT(ISERROR(SEARCH("Yes",X2110)))</formula>
    </cfRule>
  </conditionalFormatting>
  <conditionalFormatting sqref="X2110">
    <cfRule type="containsText" dxfId="1521" priority="407" operator="containsText" text="No">
      <formula>NOT(ISERROR(SEARCH("No",X2110)))</formula>
    </cfRule>
  </conditionalFormatting>
  <conditionalFormatting sqref="X2112">
    <cfRule type="containsText" dxfId="1520" priority="405" operator="containsText" text="Dismissed">
      <formula>NOT(ISERROR(SEARCH("Dismissed",X2112)))</formula>
    </cfRule>
  </conditionalFormatting>
  <conditionalFormatting sqref="X2112">
    <cfRule type="containsText" dxfId="1519" priority="404" operator="containsText" text="Yes">
      <formula>NOT(ISERROR(SEARCH("Yes",X2112)))</formula>
    </cfRule>
  </conditionalFormatting>
  <conditionalFormatting sqref="X2112">
    <cfRule type="containsText" dxfId="1518" priority="393" operator="containsText" text="No">
      <formula>NOT(ISERROR(SEARCH("No",X2112)))</formula>
    </cfRule>
  </conditionalFormatting>
  <conditionalFormatting sqref="X2114">
    <cfRule type="containsText" dxfId="1517" priority="391" operator="containsText" text="Dismissed">
      <formula>NOT(ISERROR(SEARCH("Dismissed",X2114)))</formula>
    </cfRule>
  </conditionalFormatting>
  <conditionalFormatting sqref="X2114">
    <cfRule type="containsText" dxfId="1516" priority="390" operator="containsText" text="Yes">
      <formula>NOT(ISERROR(SEARCH("Yes",X2114)))</formula>
    </cfRule>
  </conditionalFormatting>
  <conditionalFormatting sqref="X2114">
    <cfRule type="containsText" dxfId="1515" priority="379" operator="containsText" text="No">
      <formula>NOT(ISERROR(SEARCH("No",X2114)))</formula>
    </cfRule>
  </conditionalFormatting>
  <conditionalFormatting sqref="W2108">
    <cfRule type="containsText" dxfId="1514" priority="367" operator="containsText" text="B1">
      <formula>NOT(ISERROR(SEARCH("B1",W2108)))</formula>
    </cfRule>
    <cfRule type="containsText" dxfId="1513" priority="368" operator="containsText" text="A2">
      <formula>NOT(ISERROR(SEARCH("A2",W2108)))</formula>
    </cfRule>
    <cfRule type="containsText" dxfId="1512" priority="369" operator="containsText" text="Domestic">
      <formula>NOT(ISERROR(SEARCH("Domestic",W2108)))</formula>
    </cfRule>
    <cfRule type="containsText" dxfId="1511" priority="370" operator="containsText" text="Re-join">
      <formula>NOT(ISERROR(SEARCH("Re-join",W2108)))</formula>
    </cfRule>
    <cfRule type="containsText" dxfId="1510" priority="371" operator="containsText" text="Resigned">
      <formula>NOT(ISERROR(SEARCH("Resigned",W2108)))</formula>
    </cfRule>
    <cfRule type="containsText" dxfId="1509" priority="372" operator="containsText" text="Dismissed">
      <formula>NOT(ISERROR(SEARCH("Dismissed",W2108)))</formula>
    </cfRule>
    <cfRule type="containsText" dxfId="1508" priority="373" operator="containsText" text="Nearshore">
      <formula>NOT(ISERROR(SEARCH("Nearshore",W2108)))</formula>
    </cfRule>
    <cfRule type="containsText" dxfId="1507" priority="374" operator="containsText" text="Freedom">
      <formula>NOT(ISERROR(SEARCH("Freedom",W2108)))</formula>
    </cfRule>
    <cfRule type="containsText" dxfId="1506" priority="375" operator="containsText" text="WU">
      <formula>NOT(ISERROR(SEARCH("WU",W2108)))</formula>
    </cfRule>
    <cfRule type="containsText" dxfId="1505" priority="376" operator="containsText" text="Expedia">
      <formula>NOT(ISERROR(SEARCH("Expedia",W2108)))</formula>
    </cfRule>
  </conditionalFormatting>
  <conditionalFormatting sqref="W2108">
    <cfRule type="containsText" dxfId="1504" priority="366" operator="containsText" text="Du Enterprise">
      <formula>NOT(ISERROR(SEARCH("Du Enterprise",W2108)))</formula>
    </cfRule>
  </conditionalFormatting>
  <conditionalFormatting sqref="W2110">
    <cfRule type="containsText" dxfId="1503" priority="356" operator="containsText" text="B1">
      <formula>NOT(ISERROR(SEARCH("B1",W2110)))</formula>
    </cfRule>
    <cfRule type="containsText" dxfId="1502" priority="357" operator="containsText" text="A2">
      <formula>NOT(ISERROR(SEARCH("A2",W2110)))</formula>
    </cfRule>
    <cfRule type="containsText" dxfId="1501" priority="358" operator="containsText" text="Domestic">
      <formula>NOT(ISERROR(SEARCH("Domestic",W2110)))</formula>
    </cfRule>
    <cfRule type="containsText" dxfId="1500" priority="359" operator="containsText" text="Re-join">
      <formula>NOT(ISERROR(SEARCH("Re-join",W2110)))</formula>
    </cfRule>
    <cfRule type="containsText" dxfId="1499" priority="360" operator="containsText" text="Resigned">
      <formula>NOT(ISERROR(SEARCH("Resigned",W2110)))</formula>
    </cfRule>
    <cfRule type="containsText" dxfId="1498" priority="361" operator="containsText" text="Dismissed">
      <formula>NOT(ISERROR(SEARCH("Dismissed",W2110)))</formula>
    </cfRule>
    <cfRule type="containsText" dxfId="1497" priority="362" operator="containsText" text="Nearshore">
      <formula>NOT(ISERROR(SEARCH("Nearshore",W2110)))</formula>
    </cfRule>
    <cfRule type="containsText" dxfId="1496" priority="363" operator="containsText" text="Freedom">
      <formula>NOT(ISERROR(SEARCH("Freedom",W2110)))</formula>
    </cfRule>
    <cfRule type="containsText" dxfId="1495" priority="364" operator="containsText" text="WU">
      <formula>NOT(ISERROR(SEARCH("WU",W2110)))</formula>
    </cfRule>
    <cfRule type="containsText" dxfId="1494" priority="365" operator="containsText" text="Expedia">
      <formula>NOT(ISERROR(SEARCH("Expedia",W2110)))</formula>
    </cfRule>
  </conditionalFormatting>
  <conditionalFormatting sqref="W2110">
    <cfRule type="containsText" dxfId="1493" priority="355" operator="containsText" text="Du Enterprise">
      <formula>NOT(ISERROR(SEARCH("Du Enterprise",W2110)))</formula>
    </cfRule>
  </conditionalFormatting>
  <conditionalFormatting sqref="W2112">
    <cfRule type="containsText" dxfId="1492" priority="345" operator="containsText" text="B1">
      <formula>NOT(ISERROR(SEARCH("B1",W2112)))</formula>
    </cfRule>
    <cfRule type="containsText" dxfId="1491" priority="346" operator="containsText" text="A2">
      <formula>NOT(ISERROR(SEARCH("A2",W2112)))</formula>
    </cfRule>
    <cfRule type="containsText" dxfId="1490" priority="347" operator="containsText" text="Domestic">
      <formula>NOT(ISERROR(SEARCH("Domestic",W2112)))</formula>
    </cfRule>
    <cfRule type="containsText" dxfId="1489" priority="348" operator="containsText" text="Re-join">
      <formula>NOT(ISERROR(SEARCH("Re-join",W2112)))</formula>
    </cfRule>
    <cfRule type="containsText" dxfId="1488" priority="349" operator="containsText" text="Resigned">
      <formula>NOT(ISERROR(SEARCH("Resigned",W2112)))</formula>
    </cfRule>
    <cfRule type="containsText" dxfId="1487" priority="350" operator="containsText" text="Dismissed">
      <formula>NOT(ISERROR(SEARCH("Dismissed",W2112)))</formula>
    </cfRule>
    <cfRule type="containsText" dxfId="1486" priority="351" operator="containsText" text="Nearshore">
      <formula>NOT(ISERROR(SEARCH("Nearshore",W2112)))</formula>
    </cfRule>
    <cfRule type="containsText" dxfId="1485" priority="352" operator="containsText" text="Freedom">
      <formula>NOT(ISERROR(SEARCH("Freedom",W2112)))</formula>
    </cfRule>
    <cfRule type="containsText" dxfId="1484" priority="353" operator="containsText" text="WU">
      <formula>NOT(ISERROR(SEARCH("WU",W2112)))</formula>
    </cfRule>
    <cfRule type="containsText" dxfId="1483" priority="354" operator="containsText" text="Expedia">
      <formula>NOT(ISERROR(SEARCH("Expedia",W2112)))</formula>
    </cfRule>
  </conditionalFormatting>
  <conditionalFormatting sqref="W2112">
    <cfRule type="containsText" dxfId="1482" priority="344" operator="containsText" text="Du Enterprise">
      <formula>NOT(ISERROR(SEARCH("Du Enterprise",W2112)))</formula>
    </cfRule>
  </conditionalFormatting>
  <conditionalFormatting sqref="W2114">
    <cfRule type="containsText" dxfId="1481" priority="334" operator="containsText" text="B1">
      <formula>NOT(ISERROR(SEARCH("B1",W2114)))</formula>
    </cfRule>
    <cfRule type="containsText" dxfId="1480" priority="335" operator="containsText" text="A2">
      <formula>NOT(ISERROR(SEARCH("A2",W2114)))</formula>
    </cfRule>
    <cfRule type="containsText" dxfId="1479" priority="336" operator="containsText" text="Domestic">
      <formula>NOT(ISERROR(SEARCH("Domestic",W2114)))</formula>
    </cfRule>
    <cfRule type="containsText" dxfId="1478" priority="337" operator="containsText" text="Re-join">
      <formula>NOT(ISERROR(SEARCH("Re-join",W2114)))</formula>
    </cfRule>
    <cfRule type="containsText" dxfId="1477" priority="338" operator="containsText" text="Resigned">
      <formula>NOT(ISERROR(SEARCH("Resigned",W2114)))</formula>
    </cfRule>
    <cfRule type="containsText" dxfId="1476" priority="339" operator="containsText" text="Dismissed">
      <formula>NOT(ISERROR(SEARCH("Dismissed",W2114)))</formula>
    </cfRule>
    <cfRule type="containsText" dxfId="1475" priority="340" operator="containsText" text="Nearshore">
      <formula>NOT(ISERROR(SEARCH("Nearshore",W2114)))</formula>
    </cfRule>
    <cfRule type="containsText" dxfId="1474" priority="341" operator="containsText" text="Freedom">
      <formula>NOT(ISERROR(SEARCH("Freedom",W2114)))</formula>
    </cfRule>
    <cfRule type="containsText" dxfId="1473" priority="342" operator="containsText" text="WU">
      <formula>NOT(ISERROR(SEARCH("WU",W2114)))</formula>
    </cfRule>
    <cfRule type="containsText" dxfId="1472" priority="343" operator="containsText" text="Expedia">
      <formula>NOT(ISERROR(SEARCH("Expedia",W2114)))</formula>
    </cfRule>
  </conditionalFormatting>
  <conditionalFormatting sqref="W2114">
    <cfRule type="containsText" dxfId="1471" priority="333" operator="containsText" text="Du Enterprise">
      <formula>NOT(ISERROR(SEARCH("Du Enterprise",W2114)))</formula>
    </cfRule>
  </conditionalFormatting>
  <conditionalFormatting sqref="E2:E1048576">
    <cfRule type="duplicateValues" dxfId="1470" priority="288"/>
  </conditionalFormatting>
  <conditionalFormatting sqref="D2:D1048576">
    <cfRule type="duplicateValues" dxfId="1469" priority="287"/>
  </conditionalFormatting>
  <conditionalFormatting sqref="H2:H1048576">
    <cfRule type="duplicateValues" dxfId="1468" priority="276"/>
  </conditionalFormatting>
  <conditionalFormatting sqref="X2253:X2267">
    <cfRule type="containsText" dxfId="1467" priority="274" operator="containsText" text="Dismissed">
      <formula>NOT(ISERROR(SEARCH("Dismissed",X2253)))</formula>
    </cfRule>
  </conditionalFormatting>
  <conditionalFormatting sqref="X2253:X2267">
    <cfRule type="containsText" dxfId="1466" priority="273" operator="containsText" text="Yes">
      <formula>NOT(ISERROR(SEARCH("Yes",X2253)))</formula>
    </cfRule>
  </conditionalFormatting>
  <conditionalFormatting sqref="Z2253:Z2267">
    <cfRule type="containsText" dxfId="1465" priority="271" operator="containsText" text="No">
      <formula>NOT(ISERROR(SEARCH("No",Z2253)))</formula>
    </cfRule>
    <cfRule type="containsText" dxfId="1464" priority="272" operator="containsText" text="Yes">
      <formula>NOT(ISERROR(SEARCH("Yes",Z2253)))</formula>
    </cfRule>
  </conditionalFormatting>
  <conditionalFormatting sqref="W2253:W2267">
    <cfRule type="containsText" dxfId="1463" priority="261" operator="containsText" text="B1">
      <formula>NOT(ISERROR(SEARCH("B1",W2253)))</formula>
    </cfRule>
    <cfRule type="containsText" dxfId="1462" priority="262" operator="containsText" text="A2">
      <formula>NOT(ISERROR(SEARCH("A2",W2253)))</formula>
    </cfRule>
    <cfRule type="containsText" dxfId="1461" priority="263" operator="containsText" text="Domestic">
      <formula>NOT(ISERROR(SEARCH("Domestic",W2253)))</formula>
    </cfRule>
    <cfRule type="containsText" dxfId="1460" priority="264" operator="containsText" text="Re-join">
      <formula>NOT(ISERROR(SEARCH("Re-join",W2253)))</formula>
    </cfRule>
    <cfRule type="containsText" dxfId="1459" priority="265" operator="containsText" text="Resigned">
      <formula>NOT(ISERROR(SEARCH("Resigned",W2253)))</formula>
    </cfRule>
    <cfRule type="containsText" dxfId="1458" priority="266" operator="containsText" text="Dismissed">
      <formula>NOT(ISERROR(SEARCH("Dismissed",W2253)))</formula>
    </cfRule>
    <cfRule type="containsText" dxfId="1457" priority="267" operator="containsText" text="Nearshore">
      <formula>NOT(ISERROR(SEARCH("Nearshore",W2253)))</formula>
    </cfRule>
    <cfRule type="containsText" dxfId="1456" priority="268" operator="containsText" text="Freedom">
      <formula>NOT(ISERROR(SEARCH("Freedom",W2253)))</formula>
    </cfRule>
    <cfRule type="containsText" dxfId="1455" priority="269" operator="containsText" text="WU">
      <formula>NOT(ISERROR(SEARCH("WU",W2253)))</formula>
    </cfRule>
    <cfRule type="containsText" dxfId="1454" priority="270" operator="containsText" text="Expedia">
      <formula>NOT(ISERROR(SEARCH("Expedia",W2253)))</formula>
    </cfRule>
  </conditionalFormatting>
  <conditionalFormatting sqref="X2253:X2267">
    <cfRule type="containsText" dxfId="1453" priority="260" operator="containsText" text="No">
      <formula>NOT(ISERROR(SEARCH("No",X2253)))</formula>
    </cfRule>
  </conditionalFormatting>
  <conditionalFormatting sqref="W2253:W2267">
    <cfRule type="containsText" dxfId="1452" priority="259" operator="containsText" text="Du Enterprise">
      <formula>NOT(ISERROR(SEARCH("Du Enterprise",W2253)))</formula>
    </cfRule>
  </conditionalFormatting>
  <conditionalFormatting sqref="J2263 AA2263 Y2263">
    <cfRule type="expression" dxfId="1451" priority="275">
      <formula>$E2255=#REF!</formula>
    </cfRule>
  </conditionalFormatting>
  <conditionalFormatting sqref="X2243:X2252">
    <cfRule type="containsText" dxfId="1450" priority="239" operator="containsText" text="Dismissed">
      <formula>NOT(ISERROR(SEARCH("Dismissed",X2243)))</formula>
    </cfRule>
  </conditionalFormatting>
  <conditionalFormatting sqref="X2243:X2252">
    <cfRule type="containsText" dxfId="1449" priority="238" operator="containsText" text="Yes">
      <formula>NOT(ISERROR(SEARCH("Yes",X2243)))</formula>
    </cfRule>
  </conditionalFormatting>
  <conditionalFormatting sqref="Z2243:Z2252">
    <cfRule type="containsText" dxfId="1448" priority="236" operator="containsText" text="No">
      <formula>NOT(ISERROR(SEARCH("No",Z2243)))</formula>
    </cfRule>
    <cfRule type="containsText" dxfId="1447" priority="237" operator="containsText" text="Yes">
      <formula>NOT(ISERROR(SEARCH("Yes",Z2243)))</formula>
    </cfRule>
  </conditionalFormatting>
  <conditionalFormatting sqref="W2243:W2252">
    <cfRule type="containsText" dxfId="1446" priority="226" operator="containsText" text="B1">
      <formula>NOT(ISERROR(SEARCH("B1",W2243)))</formula>
    </cfRule>
    <cfRule type="containsText" dxfId="1445" priority="227" operator="containsText" text="A2">
      <formula>NOT(ISERROR(SEARCH("A2",W2243)))</formula>
    </cfRule>
    <cfRule type="containsText" dxfId="1444" priority="228" operator="containsText" text="Domestic">
      <formula>NOT(ISERROR(SEARCH("Domestic",W2243)))</formula>
    </cfRule>
    <cfRule type="containsText" dxfId="1443" priority="229" operator="containsText" text="Re-join">
      <formula>NOT(ISERROR(SEARCH("Re-join",W2243)))</formula>
    </cfRule>
    <cfRule type="containsText" dxfId="1442" priority="230" operator="containsText" text="Resigned">
      <formula>NOT(ISERROR(SEARCH("Resigned",W2243)))</formula>
    </cfRule>
    <cfRule type="containsText" dxfId="1441" priority="231" operator="containsText" text="Dismissed">
      <formula>NOT(ISERROR(SEARCH("Dismissed",W2243)))</formula>
    </cfRule>
    <cfRule type="containsText" dxfId="1440" priority="232" operator="containsText" text="Nearshore">
      <formula>NOT(ISERROR(SEARCH("Nearshore",W2243)))</formula>
    </cfRule>
    <cfRule type="containsText" dxfId="1439" priority="233" operator="containsText" text="Freedom">
      <formula>NOT(ISERROR(SEARCH("Freedom",W2243)))</formula>
    </cfRule>
    <cfRule type="containsText" dxfId="1438" priority="234" operator="containsText" text="WU">
      <formula>NOT(ISERROR(SEARCH("WU",W2243)))</formula>
    </cfRule>
    <cfRule type="containsText" dxfId="1437" priority="235" operator="containsText" text="Expedia">
      <formula>NOT(ISERROR(SEARCH("Expedia",W2243)))</formula>
    </cfRule>
  </conditionalFormatting>
  <conditionalFormatting sqref="X2243:X2252">
    <cfRule type="containsText" dxfId="1436" priority="225" operator="containsText" text="No">
      <formula>NOT(ISERROR(SEARCH("No",X2243)))</formula>
    </cfRule>
  </conditionalFormatting>
  <conditionalFormatting sqref="W2243:W2252">
    <cfRule type="containsText" dxfId="1435" priority="223" operator="containsText" text="Du Enterprise">
      <formula>NOT(ISERROR(SEARCH("Du Enterprise",W2243)))</formula>
    </cfRule>
  </conditionalFormatting>
  <conditionalFormatting sqref="Y2245">
    <cfRule type="expression" dxfId="1434" priority="221">
      <formula>$E2245=#REF!</formula>
    </cfRule>
  </conditionalFormatting>
  <conditionalFormatting sqref="Y2247:Y2248">
    <cfRule type="expression" dxfId="1433" priority="220">
      <formula>$E2247=#REF!</formula>
    </cfRule>
  </conditionalFormatting>
  <conditionalFormatting sqref="Y2251:Y2252">
    <cfRule type="expression" dxfId="1432" priority="219">
      <formula>$E2251=#REF!</formula>
    </cfRule>
  </conditionalFormatting>
  <conditionalFormatting sqref="W2282">
    <cfRule type="containsText" dxfId="1431" priority="208" operator="containsText" text="B1">
      <formula>NOT(ISERROR(SEARCH("B1",W2282)))</formula>
    </cfRule>
    <cfRule type="containsText" dxfId="1430" priority="209" operator="containsText" text="A2">
      <formula>NOT(ISERROR(SEARCH("A2",W2282)))</formula>
    </cfRule>
    <cfRule type="containsText" dxfId="1429" priority="210" operator="containsText" text="Domestic">
      <formula>NOT(ISERROR(SEARCH("Domestic",W2282)))</formula>
    </cfRule>
    <cfRule type="containsText" dxfId="1428" priority="211" operator="containsText" text="Re-join">
      <formula>NOT(ISERROR(SEARCH("Re-join",W2282)))</formula>
    </cfRule>
    <cfRule type="containsText" dxfId="1427" priority="212" operator="containsText" text="Resigned">
      <formula>NOT(ISERROR(SEARCH("Resigned",W2282)))</formula>
    </cfRule>
    <cfRule type="containsText" dxfId="1426" priority="213" operator="containsText" text="Dismissed">
      <formula>NOT(ISERROR(SEARCH("Dismissed",W2282)))</formula>
    </cfRule>
    <cfRule type="containsText" dxfId="1425" priority="214" operator="containsText" text="Nearshore">
      <formula>NOT(ISERROR(SEARCH("Nearshore",W2282)))</formula>
    </cfRule>
    <cfRule type="containsText" dxfId="1424" priority="215" operator="containsText" text="Freedom">
      <formula>NOT(ISERROR(SEARCH("Freedom",W2282)))</formula>
    </cfRule>
    <cfRule type="containsText" dxfId="1423" priority="216" operator="containsText" text="WU">
      <formula>NOT(ISERROR(SEARCH("WU",W2282)))</formula>
    </cfRule>
    <cfRule type="containsText" dxfId="1422" priority="217" operator="containsText" text="Expedia">
      <formula>NOT(ISERROR(SEARCH("Expedia",W2282)))</formula>
    </cfRule>
  </conditionalFormatting>
  <conditionalFormatting sqref="W2282">
    <cfRule type="containsText" dxfId="1421" priority="207" operator="containsText" text="Du Enterprise">
      <formula>NOT(ISERROR(SEARCH("Du Enterprise",W2282)))</formula>
    </cfRule>
  </conditionalFormatting>
  <conditionalFormatting sqref="F2:F2985 F2987:F1048576">
    <cfRule type="duplicateValues" dxfId="1420" priority="159"/>
  </conditionalFormatting>
  <conditionalFormatting sqref="G2611">
    <cfRule type="duplicateValues" dxfId="1419" priority="153"/>
  </conditionalFormatting>
  <conditionalFormatting sqref="W2705">
    <cfRule type="containsText" dxfId="1418" priority="143" operator="containsText" text="B1">
      <formula>NOT(ISERROR(SEARCH("B1",W2705)))</formula>
    </cfRule>
    <cfRule type="containsText" dxfId="1417" priority="144" operator="containsText" text="A2">
      <formula>NOT(ISERROR(SEARCH("A2",W2705)))</formula>
    </cfRule>
    <cfRule type="containsText" dxfId="1416" priority="145" operator="containsText" text="Domestic">
      <formula>NOT(ISERROR(SEARCH("Domestic",W2705)))</formula>
    </cfRule>
    <cfRule type="containsText" dxfId="1415" priority="146" operator="containsText" text="Re-join">
      <formula>NOT(ISERROR(SEARCH("Re-join",W2705)))</formula>
    </cfRule>
    <cfRule type="containsText" dxfId="1414" priority="147" operator="containsText" text="Resigned">
      <formula>NOT(ISERROR(SEARCH("Resigned",W2705)))</formula>
    </cfRule>
    <cfRule type="containsText" dxfId="1413" priority="148" operator="containsText" text="Dismissed">
      <formula>NOT(ISERROR(SEARCH("Dismissed",W2705)))</formula>
    </cfRule>
    <cfRule type="containsText" dxfId="1412" priority="149" operator="containsText" text="Nearshore">
      <formula>NOT(ISERROR(SEARCH("Nearshore",W2705)))</formula>
    </cfRule>
    <cfRule type="containsText" dxfId="1411" priority="150" operator="containsText" text="Freedom">
      <formula>NOT(ISERROR(SEARCH("Freedom",W2705)))</formula>
    </cfRule>
    <cfRule type="containsText" dxfId="1410" priority="151" operator="containsText" text="WU">
      <formula>NOT(ISERROR(SEARCH("WU",W2705)))</formula>
    </cfRule>
    <cfRule type="containsText" dxfId="1409" priority="152" operator="containsText" text="Expedia">
      <formula>NOT(ISERROR(SEARCH("Expedia",W2705)))</formula>
    </cfRule>
  </conditionalFormatting>
  <conditionalFormatting sqref="W2705">
    <cfRule type="containsText" dxfId="1408" priority="142" operator="containsText" text="Du Enterprise">
      <formula>NOT(ISERROR(SEARCH("Du Enterprise",W2705)))</formula>
    </cfRule>
  </conditionalFormatting>
  <conditionalFormatting sqref="X2790">
    <cfRule type="containsText" dxfId="1407" priority="141" operator="containsText" text="Dismissed">
      <formula>NOT(ISERROR(SEARCH("Dismissed",X2790)))</formula>
    </cfRule>
  </conditionalFormatting>
  <conditionalFormatting sqref="X2790">
    <cfRule type="containsText" dxfId="1406" priority="140" operator="containsText" text="Yes">
      <formula>NOT(ISERROR(SEARCH("Yes",X2790)))</formula>
    </cfRule>
  </conditionalFormatting>
  <conditionalFormatting sqref="Z2790">
    <cfRule type="containsText" dxfId="1405" priority="138" operator="containsText" text="No">
      <formula>NOT(ISERROR(SEARCH("No",Z2790)))</formula>
    </cfRule>
    <cfRule type="containsText" dxfId="1404" priority="139" operator="containsText" text="Yes">
      <formula>NOT(ISERROR(SEARCH("Yes",Z2790)))</formula>
    </cfRule>
  </conditionalFormatting>
  <conditionalFormatting sqref="W2790">
    <cfRule type="containsText" dxfId="1403" priority="128" operator="containsText" text="B1">
      <formula>NOT(ISERROR(SEARCH("B1",W2790)))</formula>
    </cfRule>
    <cfRule type="containsText" dxfId="1402" priority="129" operator="containsText" text="A2">
      <formula>NOT(ISERROR(SEARCH("A2",W2790)))</formula>
    </cfRule>
    <cfRule type="containsText" dxfId="1401" priority="130" operator="containsText" text="Domestic">
      <formula>NOT(ISERROR(SEARCH("Domestic",W2790)))</formula>
    </cfRule>
    <cfRule type="containsText" dxfId="1400" priority="131" operator="containsText" text="Re-join">
      <formula>NOT(ISERROR(SEARCH("Re-join",W2790)))</formula>
    </cfRule>
    <cfRule type="containsText" dxfId="1399" priority="132" operator="containsText" text="Resigned">
      <formula>NOT(ISERROR(SEARCH("Resigned",W2790)))</formula>
    </cfRule>
    <cfRule type="containsText" dxfId="1398" priority="133" operator="containsText" text="Dismissed">
      <formula>NOT(ISERROR(SEARCH("Dismissed",W2790)))</formula>
    </cfRule>
    <cfRule type="containsText" dxfId="1397" priority="134" operator="containsText" text="Nearshore">
      <formula>NOT(ISERROR(SEARCH("Nearshore",W2790)))</formula>
    </cfRule>
    <cfRule type="containsText" dxfId="1396" priority="135" operator="containsText" text="Freedom">
      <formula>NOT(ISERROR(SEARCH("Freedom",W2790)))</formula>
    </cfRule>
    <cfRule type="containsText" dxfId="1395" priority="136" operator="containsText" text="WU">
      <formula>NOT(ISERROR(SEARCH("WU",W2790)))</formula>
    </cfRule>
    <cfRule type="containsText" dxfId="1394" priority="137" operator="containsText" text="Expedia">
      <formula>NOT(ISERROR(SEARCH("Expedia",W2790)))</formula>
    </cfRule>
  </conditionalFormatting>
  <conditionalFormatting sqref="X2790">
    <cfRule type="containsText" dxfId="1393" priority="127" operator="containsText" text="No">
      <formula>NOT(ISERROR(SEARCH("No",X2790)))</formula>
    </cfRule>
  </conditionalFormatting>
  <conditionalFormatting sqref="W2790">
    <cfRule type="containsText" dxfId="1392" priority="126" operator="containsText" text="Du Enterprise">
      <formula>NOT(ISERROR(SEARCH("Du Enterprise",W2790)))</formula>
    </cfRule>
  </conditionalFormatting>
  <conditionalFormatting sqref="X2791">
    <cfRule type="containsText" dxfId="1391" priority="125" operator="containsText" text="Dismissed">
      <formula>NOT(ISERROR(SEARCH("Dismissed",X2791)))</formula>
    </cfRule>
  </conditionalFormatting>
  <conditionalFormatting sqref="X2791">
    <cfRule type="containsText" dxfId="1390" priority="124" operator="containsText" text="Yes">
      <formula>NOT(ISERROR(SEARCH("Yes",X2791)))</formula>
    </cfRule>
  </conditionalFormatting>
  <conditionalFormatting sqref="Z2791">
    <cfRule type="containsText" dxfId="1389" priority="122" operator="containsText" text="No">
      <formula>NOT(ISERROR(SEARCH("No",Z2791)))</formula>
    </cfRule>
    <cfRule type="containsText" dxfId="1388" priority="123" operator="containsText" text="Yes">
      <formula>NOT(ISERROR(SEARCH("Yes",Z2791)))</formula>
    </cfRule>
  </conditionalFormatting>
  <conditionalFormatting sqref="W2791">
    <cfRule type="containsText" dxfId="1387" priority="112" operator="containsText" text="B1">
      <formula>NOT(ISERROR(SEARCH("B1",W2791)))</formula>
    </cfRule>
    <cfRule type="containsText" dxfId="1386" priority="113" operator="containsText" text="A2">
      <formula>NOT(ISERROR(SEARCH("A2",W2791)))</formula>
    </cfRule>
    <cfRule type="containsText" dxfId="1385" priority="114" operator="containsText" text="Domestic">
      <formula>NOT(ISERROR(SEARCH("Domestic",W2791)))</formula>
    </cfRule>
    <cfRule type="containsText" dxfId="1384" priority="115" operator="containsText" text="Re-join">
      <formula>NOT(ISERROR(SEARCH("Re-join",W2791)))</formula>
    </cfRule>
    <cfRule type="containsText" dxfId="1383" priority="116" operator="containsText" text="Resigned">
      <formula>NOT(ISERROR(SEARCH("Resigned",W2791)))</formula>
    </cfRule>
    <cfRule type="containsText" dxfId="1382" priority="117" operator="containsText" text="Dismissed">
      <formula>NOT(ISERROR(SEARCH("Dismissed",W2791)))</formula>
    </cfRule>
    <cfRule type="containsText" dxfId="1381" priority="118" operator="containsText" text="Nearshore">
      <formula>NOT(ISERROR(SEARCH("Nearshore",W2791)))</formula>
    </cfRule>
    <cfRule type="containsText" dxfId="1380" priority="119" operator="containsText" text="Freedom">
      <formula>NOT(ISERROR(SEARCH("Freedom",W2791)))</formula>
    </cfRule>
    <cfRule type="containsText" dxfId="1379" priority="120" operator="containsText" text="WU">
      <formula>NOT(ISERROR(SEARCH("WU",W2791)))</formula>
    </cfRule>
    <cfRule type="containsText" dxfId="1378" priority="121" operator="containsText" text="Expedia">
      <formula>NOT(ISERROR(SEARCH("Expedia",W2791)))</formula>
    </cfRule>
  </conditionalFormatting>
  <conditionalFormatting sqref="X2791">
    <cfRule type="containsText" dxfId="1377" priority="111" operator="containsText" text="No">
      <formula>NOT(ISERROR(SEARCH("No",X2791)))</formula>
    </cfRule>
  </conditionalFormatting>
  <conditionalFormatting sqref="W2791">
    <cfRule type="containsText" dxfId="1376" priority="110" operator="containsText" text="Du Enterprise">
      <formula>NOT(ISERROR(SEARCH("Du Enterprise",W2791)))</formula>
    </cfRule>
  </conditionalFormatting>
  <conditionalFormatting sqref="X2813">
    <cfRule type="containsText" dxfId="1375" priority="109" operator="containsText" text="Dismissed">
      <formula>NOT(ISERROR(SEARCH("Dismissed",X2813)))</formula>
    </cfRule>
  </conditionalFormatting>
  <conditionalFormatting sqref="X2813">
    <cfRule type="containsText" dxfId="1374" priority="108" operator="containsText" text="Yes">
      <formula>NOT(ISERROR(SEARCH("Yes",X2813)))</formula>
    </cfRule>
  </conditionalFormatting>
  <conditionalFormatting sqref="W2813">
    <cfRule type="containsText" dxfId="1373" priority="98" operator="containsText" text="B1">
      <formula>NOT(ISERROR(SEARCH("B1",W2813)))</formula>
    </cfRule>
    <cfRule type="containsText" dxfId="1372" priority="99" operator="containsText" text="A2">
      <formula>NOT(ISERROR(SEARCH("A2",W2813)))</formula>
    </cfRule>
    <cfRule type="containsText" dxfId="1371" priority="100" operator="containsText" text="Domestic">
      <formula>NOT(ISERROR(SEARCH("Domestic",W2813)))</formula>
    </cfRule>
    <cfRule type="containsText" dxfId="1370" priority="101" operator="containsText" text="Re-join">
      <formula>NOT(ISERROR(SEARCH("Re-join",W2813)))</formula>
    </cfRule>
    <cfRule type="containsText" dxfId="1369" priority="102" operator="containsText" text="Resigned">
      <formula>NOT(ISERROR(SEARCH("Resigned",W2813)))</formula>
    </cfRule>
    <cfRule type="containsText" dxfId="1368" priority="103" operator="containsText" text="Dismissed">
      <formula>NOT(ISERROR(SEARCH("Dismissed",W2813)))</formula>
    </cfRule>
    <cfRule type="containsText" dxfId="1367" priority="104" operator="containsText" text="Nearshore">
      <formula>NOT(ISERROR(SEARCH("Nearshore",W2813)))</formula>
    </cfRule>
    <cfRule type="containsText" dxfId="1366" priority="105" operator="containsText" text="Freedom">
      <formula>NOT(ISERROR(SEARCH("Freedom",W2813)))</formula>
    </cfRule>
    <cfRule type="containsText" dxfId="1365" priority="106" operator="containsText" text="WU">
      <formula>NOT(ISERROR(SEARCH("WU",W2813)))</formula>
    </cfRule>
    <cfRule type="containsText" dxfId="1364" priority="107" operator="containsText" text="Expedia">
      <formula>NOT(ISERROR(SEARCH("Expedia",W2813)))</formula>
    </cfRule>
  </conditionalFormatting>
  <conditionalFormatting sqref="X2813">
    <cfRule type="containsText" dxfId="1363" priority="97" operator="containsText" text="No">
      <formula>NOT(ISERROR(SEARCH("No",X2813)))</formula>
    </cfRule>
  </conditionalFormatting>
  <conditionalFormatting sqref="W2813">
    <cfRule type="containsText" dxfId="1362" priority="96" operator="containsText" text="Du Enterprise">
      <formula>NOT(ISERROR(SEARCH("Du Enterprise",W2813)))</formula>
    </cfRule>
  </conditionalFormatting>
  <conditionalFormatting sqref="X2817">
    <cfRule type="containsText" dxfId="1361" priority="95" operator="containsText" text="Dismissed">
      <formula>NOT(ISERROR(SEARCH("Dismissed",X2817)))</formula>
    </cfRule>
  </conditionalFormatting>
  <conditionalFormatting sqref="X2817">
    <cfRule type="containsText" dxfId="1360" priority="94" operator="containsText" text="Yes">
      <formula>NOT(ISERROR(SEARCH("Yes",X2817)))</formula>
    </cfRule>
  </conditionalFormatting>
  <conditionalFormatting sqref="X2817">
    <cfRule type="containsText" dxfId="1359" priority="83" operator="containsText" text="No">
      <formula>NOT(ISERROR(SEARCH("No",X2817)))</formula>
    </cfRule>
  </conditionalFormatting>
  <conditionalFormatting sqref="W2817">
    <cfRule type="containsText" dxfId="1358" priority="71" operator="containsText" text="Du Enterprise">
      <formula>NOT(ISERROR(SEARCH("Du Enterprise",W2817)))</formula>
    </cfRule>
  </conditionalFormatting>
  <conditionalFormatting sqref="W2817">
    <cfRule type="containsText" dxfId="1357" priority="72" operator="containsText" text="B1">
      <formula>NOT(ISERROR(SEARCH("B1",W2817)))</formula>
    </cfRule>
    <cfRule type="containsText" dxfId="1356" priority="73" operator="containsText" text="A2">
      <formula>NOT(ISERROR(SEARCH("A2",W2817)))</formula>
    </cfRule>
    <cfRule type="containsText" dxfId="1355" priority="74" operator="containsText" text="Domestic">
      <formula>NOT(ISERROR(SEARCH("Domestic",W2817)))</formula>
    </cfRule>
    <cfRule type="containsText" dxfId="1354" priority="75" operator="containsText" text="Re-join">
      <formula>NOT(ISERROR(SEARCH("Re-join",W2817)))</formula>
    </cfRule>
    <cfRule type="containsText" dxfId="1353" priority="76" operator="containsText" text="Resigned">
      <formula>NOT(ISERROR(SEARCH("Resigned",W2817)))</formula>
    </cfRule>
    <cfRule type="containsText" dxfId="1352" priority="77" operator="containsText" text="Dismissed">
      <formula>NOT(ISERROR(SEARCH("Dismissed",W2817)))</formula>
    </cfRule>
    <cfRule type="containsText" dxfId="1351" priority="78" operator="containsText" text="Nearshore">
      <formula>NOT(ISERROR(SEARCH("Nearshore",W2817)))</formula>
    </cfRule>
    <cfRule type="containsText" dxfId="1350" priority="79" operator="containsText" text="Freedom">
      <formula>NOT(ISERROR(SEARCH("Freedom",W2817)))</formula>
    </cfRule>
    <cfRule type="containsText" dxfId="1349" priority="80" operator="containsText" text="WU">
      <formula>NOT(ISERROR(SEARCH("WU",W2817)))</formula>
    </cfRule>
    <cfRule type="containsText" dxfId="1348" priority="81" operator="containsText" text="Expedia">
      <formula>NOT(ISERROR(SEARCH("Expedia",W2817)))</formula>
    </cfRule>
  </conditionalFormatting>
  <conditionalFormatting sqref="X2830">
    <cfRule type="containsText" dxfId="1347" priority="70" operator="containsText" text="Dismissed">
      <formula>NOT(ISERROR(SEARCH("Dismissed",X2830)))</formula>
    </cfRule>
  </conditionalFormatting>
  <conditionalFormatting sqref="X2830">
    <cfRule type="containsText" dxfId="1346" priority="69" operator="containsText" text="Yes">
      <formula>NOT(ISERROR(SEARCH("Yes",X2830)))</formula>
    </cfRule>
  </conditionalFormatting>
  <conditionalFormatting sqref="W2830">
    <cfRule type="containsText" dxfId="1345" priority="59" operator="containsText" text="B1">
      <formula>NOT(ISERROR(SEARCH("B1",W2830)))</formula>
    </cfRule>
    <cfRule type="containsText" dxfId="1344" priority="60" operator="containsText" text="A2">
      <formula>NOT(ISERROR(SEARCH("A2",W2830)))</formula>
    </cfRule>
    <cfRule type="containsText" dxfId="1343" priority="61" operator="containsText" text="Domestic">
      <formula>NOT(ISERROR(SEARCH("Domestic",W2830)))</formula>
    </cfRule>
    <cfRule type="containsText" dxfId="1342" priority="62" operator="containsText" text="Re-join">
      <formula>NOT(ISERROR(SEARCH("Re-join",W2830)))</formula>
    </cfRule>
    <cfRule type="containsText" dxfId="1341" priority="63" operator="containsText" text="Resigned">
      <formula>NOT(ISERROR(SEARCH("Resigned",W2830)))</formula>
    </cfRule>
    <cfRule type="containsText" dxfId="1340" priority="64" operator="containsText" text="Dismissed">
      <formula>NOT(ISERROR(SEARCH("Dismissed",W2830)))</formula>
    </cfRule>
    <cfRule type="containsText" dxfId="1339" priority="65" operator="containsText" text="Nearshore">
      <formula>NOT(ISERROR(SEARCH("Nearshore",W2830)))</formula>
    </cfRule>
    <cfRule type="containsText" dxfId="1338" priority="66" operator="containsText" text="Freedom">
      <formula>NOT(ISERROR(SEARCH("Freedom",W2830)))</formula>
    </cfRule>
    <cfRule type="containsText" dxfId="1337" priority="67" operator="containsText" text="WU">
      <formula>NOT(ISERROR(SEARCH("WU",W2830)))</formula>
    </cfRule>
    <cfRule type="containsText" dxfId="1336" priority="68" operator="containsText" text="Expedia">
      <formula>NOT(ISERROR(SEARCH("Expedia",W2830)))</formula>
    </cfRule>
  </conditionalFormatting>
  <conditionalFormatting sqref="X2830">
    <cfRule type="containsText" dxfId="1335" priority="58" operator="containsText" text="No">
      <formula>NOT(ISERROR(SEARCH("No",X2830)))</formula>
    </cfRule>
  </conditionalFormatting>
  <conditionalFormatting sqref="W2830">
    <cfRule type="containsText" dxfId="1334" priority="57" operator="containsText" text="Du Enterprise">
      <formula>NOT(ISERROR(SEARCH("Du Enterprise",W2830)))</formula>
    </cfRule>
  </conditionalFormatting>
  <conditionalFormatting sqref="X2832">
    <cfRule type="containsText" dxfId="1333" priority="56" operator="containsText" text="Dismissed">
      <formula>NOT(ISERROR(SEARCH("Dismissed",X2832)))</formula>
    </cfRule>
  </conditionalFormatting>
  <conditionalFormatting sqref="X2832">
    <cfRule type="containsText" dxfId="1332" priority="55" operator="containsText" text="Yes">
      <formula>NOT(ISERROR(SEARCH("Yes",X2832)))</formula>
    </cfRule>
  </conditionalFormatting>
  <conditionalFormatting sqref="W2832">
    <cfRule type="containsText" dxfId="1331" priority="45" operator="containsText" text="B1">
      <formula>NOT(ISERROR(SEARCH("B1",W2832)))</formula>
    </cfRule>
    <cfRule type="containsText" dxfId="1330" priority="46" operator="containsText" text="A2">
      <formula>NOT(ISERROR(SEARCH("A2",W2832)))</formula>
    </cfRule>
    <cfRule type="containsText" dxfId="1329" priority="47" operator="containsText" text="Domestic">
      <formula>NOT(ISERROR(SEARCH("Domestic",W2832)))</formula>
    </cfRule>
    <cfRule type="containsText" dxfId="1328" priority="48" operator="containsText" text="Re-join">
      <formula>NOT(ISERROR(SEARCH("Re-join",W2832)))</formula>
    </cfRule>
    <cfRule type="containsText" dxfId="1327" priority="49" operator="containsText" text="Resigned">
      <formula>NOT(ISERROR(SEARCH("Resigned",W2832)))</formula>
    </cfRule>
    <cfRule type="containsText" dxfId="1326" priority="50" operator="containsText" text="Dismissed">
      <formula>NOT(ISERROR(SEARCH("Dismissed",W2832)))</formula>
    </cfRule>
    <cfRule type="containsText" dxfId="1325" priority="51" operator="containsText" text="Nearshore">
      <formula>NOT(ISERROR(SEARCH("Nearshore",W2832)))</formula>
    </cfRule>
    <cfRule type="containsText" dxfId="1324" priority="52" operator="containsText" text="Freedom">
      <formula>NOT(ISERROR(SEARCH("Freedom",W2832)))</formula>
    </cfRule>
    <cfRule type="containsText" dxfId="1323" priority="53" operator="containsText" text="WU">
      <formula>NOT(ISERROR(SEARCH("WU",W2832)))</formula>
    </cfRule>
    <cfRule type="containsText" dxfId="1322" priority="54" operator="containsText" text="Expedia">
      <formula>NOT(ISERROR(SEARCH("Expedia",W2832)))</formula>
    </cfRule>
  </conditionalFormatting>
  <conditionalFormatting sqref="X2832">
    <cfRule type="containsText" dxfId="1321" priority="44" operator="containsText" text="No">
      <formula>NOT(ISERROR(SEARCH("No",X2832)))</formula>
    </cfRule>
  </conditionalFormatting>
  <conditionalFormatting sqref="W2832">
    <cfRule type="containsText" dxfId="1320" priority="43" operator="containsText" text="Du Enterprise">
      <formula>NOT(ISERROR(SEARCH("Du Enterprise",W2832)))</formula>
    </cfRule>
  </conditionalFormatting>
  <conditionalFormatting sqref="X2834">
    <cfRule type="containsText" dxfId="1319" priority="42" operator="containsText" text="Dismissed">
      <formula>NOT(ISERROR(SEARCH("Dismissed",X2834)))</formula>
    </cfRule>
  </conditionalFormatting>
  <conditionalFormatting sqref="X2834">
    <cfRule type="containsText" dxfId="1318" priority="41" operator="containsText" text="Yes">
      <formula>NOT(ISERROR(SEARCH("Yes",X2834)))</formula>
    </cfRule>
  </conditionalFormatting>
  <conditionalFormatting sqref="W2834">
    <cfRule type="containsText" dxfId="1317" priority="31" operator="containsText" text="B1">
      <formula>NOT(ISERROR(SEARCH("B1",W2834)))</formula>
    </cfRule>
    <cfRule type="containsText" dxfId="1316" priority="32" operator="containsText" text="A2">
      <formula>NOT(ISERROR(SEARCH("A2",W2834)))</formula>
    </cfRule>
    <cfRule type="containsText" dxfId="1315" priority="33" operator="containsText" text="Domestic">
      <formula>NOT(ISERROR(SEARCH("Domestic",W2834)))</formula>
    </cfRule>
    <cfRule type="containsText" dxfId="1314" priority="34" operator="containsText" text="Re-join">
      <formula>NOT(ISERROR(SEARCH("Re-join",W2834)))</formula>
    </cfRule>
    <cfRule type="containsText" dxfId="1313" priority="35" operator="containsText" text="Resigned">
      <formula>NOT(ISERROR(SEARCH("Resigned",W2834)))</formula>
    </cfRule>
    <cfRule type="containsText" dxfId="1312" priority="36" operator="containsText" text="Dismissed">
      <formula>NOT(ISERROR(SEARCH("Dismissed",W2834)))</formula>
    </cfRule>
    <cfRule type="containsText" dxfId="1311" priority="37" operator="containsText" text="Nearshore">
      <formula>NOT(ISERROR(SEARCH("Nearshore",W2834)))</formula>
    </cfRule>
    <cfRule type="containsText" dxfId="1310" priority="38" operator="containsText" text="Freedom">
      <formula>NOT(ISERROR(SEARCH("Freedom",W2834)))</formula>
    </cfRule>
    <cfRule type="containsText" dxfId="1309" priority="39" operator="containsText" text="WU">
      <formula>NOT(ISERROR(SEARCH("WU",W2834)))</formula>
    </cfRule>
    <cfRule type="containsText" dxfId="1308" priority="40" operator="containsText" text="Expedia">
      <formula>NOT(ISERROR(SEARCH("Expedia",W2834)))</formula>
    </cfRule>
  </conditionalFormatting>
  <conditionalFormatting sqref="X2834">
    <cfRule type="containsText" dxfId="1307" priority="30" operator="containsText" text="No">
      <formula>NOT(ISERROR(SEARCH("No",X2834)))</formula>
    </cfRule>
  </conditionalFormatting>
  <conditionalFormatting sqref="W2834">
    <cfRule type="containsText" dxfId="1306" priority="29" operator="containsText" text="Du Enterprise">
      <formula>NOT(ISERROR(SEARCH("Du Enterprise",W2834)))</formula>
    </cfRule>
  </conditionalFormatting>
  <conditionalFormatting sqref="X2849">
    <cfRule type="containsText" dxfId="1305" priority="28" operator="containsText" text="Dismissed">
      <formula>NOT(ISERROR(SEARCH("Dismissed",X2849)))</formula>
    </cfRule>
  </conditionalFormatting>
  <conditionalFormatting sqref="X2849">
    <cfRule type="containsText" dxfId="1304" priority="27" operator="containsText" text="Yes">
      <formula>NOT(ISERROR(SEARCH("Yes",X2849)))</formula>
    </cfRule>
  </conditionalFormatting>
  <conditionalFormatting sqref="W2849">
    <cfRule type="containsText" dxfId="1303" priority="17" operator="containsText" text="B1">
      <formula>NOT(ISERROR(SEARCH("B1",W2849)))</formula>
    </cfRule>
    <cfRule type="containsText" dxfId="1302" priority="18" operator="containsText" text="A2">
      <formula>NOT(ISERROR(SEARCH("A2",W2849)))</formula>
    </cfRule>
    <cfRule type="containsText" dxfId="1301" priority="19" operator="containsText" text="Domestic">
      <formula>NOT(ISERROR(SEARCH("Domestic",W2849)))</formula>
    </cfRule>
    <cfRule type="containsText" dxfId="1300" priority="20" operator="containsText" text="Re-join">
      <formula>NOT(ISERROR(SEARCH("Re-join",W2849)))</formula>
    </cfRule>
    <cfRule type="containsText" dxfId="1299" priority="21" operator="containsText" text="Resigned">
      <formula>NOT(ISERROR(SEARCH("Resigned",W2849)))</formula>
    </cfRule>
    <cfRule type="containsText" dxfId="1298" priority="22" operator="containsText" text="Dismissed">
      <formula>NOT(ISERROR(SEARCH("Dismissed",W2849)))</formula>
    </cfRule>
    <cfRule type="containsText" dxfId="1297" priority="23" operator="containsText" text="Nearshore">
      <formula>NOT(ISERROR(SEARCH("Nearshore",W2849)))</formula>
    </cfRule>
    <cfRule type="containsText" dxfId="1296" priority="24" operator="containsText" text="Freedom">
      <formula>NOT(ISERROR(SEARCH("Freedom",W2849)))</formula>
    </cfRule>
    <cfRule type="containsText" dxfId="1295" priority="25" operator="containsText" text="WU">
      <formula>NOT(ISERROR(SEARCH("WU",W2849)))</formula>
    </cfRule>
    <cfRule type="containsText" dxfId="1294" priority="26" operator="containsText" text="Expedia">
      <formula>NOT(ISERROR(SEARCH("Expedia",W2849)))</formula>
    </cfRule>
  </conditionalFormatting>
  <conditionalFormatting sqref="X2849">
    <cfRule type="containsText" dxfId="1293" priority="16" operator="containsText" text="No">
      <formula>NOT(ISERROR(SEARCH("No",X2849)))</formula>
    </cfRule>
  </conditionalFormatting>
  <conditionalFormatting sqref="W2849">
    <cfRule type="containsText" dxfId="1292" priority="15" operator="containsText" text="Du Enterprise">
      <formula>NOT(ISERROR(SEARCH("Du Enterprise",W2849)))</formula>
    </cfRule>
  </conditionalFormatting>
  <conditionalFormatting sqref="X2961">
    <cfRule type="containsText" dxfId="1291" priority="14" operator="containsText" text="Dismissed">
      <formula>NOT(ISERROR(SEARCH("Dismissed",X2961)))</formula>
    </cfRule>
  </conditionalFormatting>
  <conditionalFormatting sqref="X2961">
    <cfRule type="containsText" dxfId="1290" priority="13" operator="containsText" text="Yes">
      <formula>NOT(ISERROR(SEARCH("Yes",X2961)))</formula>
    </cfRule>
  </conditionalFormatting>
  <conditionalFormatting sqref="W2961">
    <cfRule type="containsText" dxfId="1289" priority="3" operator="containsText" text="B1">
      <formula>NOT(ISERROR(SEARCH("B1",W2961)))</formula>
    </cfRule>
    <cfRule type="containsText" dxfId="1288" priority="4" operator="containsText" text="A2">
      <formula>NOT(ISERROR(SEARCH("A2",W2961)))</formula>
    </cfRule>
    <cfRule type="containsText" dxfId="1287" priority="5" operator="containsText" text="Domestic">
      <formula>NOT(ISERROR(SEARCH("Domestic",W2961)))</formula>
    </cfRule>
    <cfRule type="containsText" dxfId="1286" priority="6" operator="containsText" text="Re-join">
      <formula>NOT(ISERROR(SEARCH("Re-join",W2961)))</formula>
    </cfRule>
    <cfRule type="containsText" dxfId="1285" priority="7" operator="containsText" text="Resigned">
      <formula>NOT(ISERROR(SEARCH("Resigned",W2961)))</formula>
    </cfRule>
    <cfRule type="containsText" dxfId="1284" priority="8" operator="containsText" text="Dismissed">
      <formula>NOT(ISERROR(SEARCH("Dismissed",W2961)))</formula>
    </cfRule>
    <cfRule type="containsText" dxfId="1283" priority="9" operator="containsText" text="Nearshore">
      <formula>NOT(ISERROR(SEARCH("Nearshore",W2961)))</formula>
    </cfRule>
    <cfRule type="containsText" dxfId="1282" priority="10" operator="containsText" text="Freedom">
      <formula>NOT(ISERROR(SEARCH("Freedom",W2961)))</formula>
    </cfRule>
    <cfRule type="containsText" dxfId="1281" priority="11" operator="containsText" text="WU">
      <formula>NOT(ISERROR(SEARCH("WU",W2961)))</formula>
    </cfRule>
    <cfRule type="containsText" dxfId="1280" priority="12" operator="containsText" text="Expedia">
      <formula>NOT(ISERROR(SEARCH("Expedia",W2961)))</formula>
    </cfRule>
  </conditionalFormatting>
  <conditionalFormatting sqref="X2961">
    <cfRule type="containsText" dxfId="1279" priority="2" operator="containsText" text="No">
      <formula>NOT(ISERROR(SEARCH("No",X2961)))</formula>
    </cfRule>
  </conditionalFormatting>
  <conditionalFormatting sqref="W2961">
    <cfRule type="containsText" dxfId="1278" priority="1" operator="containsText" text="Du Enterprise">
      <formula>NOT(ISERROR(SEARCH("Du Enterprise",W2961)))</formula>
    </cfRule>
  </conditionalFormatting>
  <dataValidations count="3">
    <dataValidation type="list" allowBlank="1" showInputMessage="1" showErrorMessage="1" sqref="AA414:AA416 W2:W1650 W1652:W1048576">
      <formula1>Allocation</formula1>
    </dataValidation>
    <dataValidation type="list" allowBlank="1" showInputMessage="1" showErrorMessage="1" sqref="A1518 A1529 A1546:A1584 B146:B1520 A2:A1501 A1599:A1623 A1638 A1653:A1695 A1712 A1721:A1904 A1922:A2120 A2136:A2297 A2313:A2439 A2442:A2491 A2493:A2526 A2554:A2578 A2580:A2645 A2657:A2914 A2916:A2926 A2937:A3082 A3083:A3098">
      <formula1>Trainers</formula1>
    </dataValidation>
    <dataValidation type="list" allowBlank="1" showInputMessage="1" showErrorMessage="1" sqref="Z2:Z145 Z147:Z1650 X2:X1650 AC2:AC1048576 Z1652:Z1048576 X1652:X1048576">
      <formula1>Hired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AP77"/>
  <sheetViews>
    <sheetView zoomScale="85" zoomScaleNormal="85" workbookViewId="0">
      <selection activeCell="C12" sqref="C12:K18"/>
    </sheetView>
  </sheetViews>
  <sheetFormatPr defaultRowHeight="15"/>
  <cols>
    <col min="1" max="2" width="9.140625" style="44"/>
    <col min="3" max="4" width="8.7109375" style="44" bestFit="1" customWidth="1"/>
    <col min="5" max="5" width="6.140625" style="44" bestFit="1" customWidth="1"/>
    <col min="6" max="6" width="48" style="44" bestFit="1" customWidth="1"/>
    <col min="7" max="7" width="19.85546875" style="44" bestFit="1" customWidth="1"/>
    <col min="8" max="8" width="26" style="44" bestFit="1" customWidth="1"/>
    <col min="9" max="9" width="19.42578125" style="44" bestFit="1" customWidth="1"/>
    <col min="10" max="10" width="23.7109375" style="44" bestFit="1" customWidth="1"/>
    <col min="11" max="11" width="37.5703125" style="44" customWidth="1"/>
    <col min="12" max="12" width="2" style="44" customWidth="1"/>
    <col min="13" max="13" width="13.140625" style="44" bestFit="1" customWidth="1"/>
    <col min="14" max="14" width="1.140625" style="44" customWidth="1"/>
    <col min="15" max="15" width="14.5703125" style="44" bestFit="1" customWidth="1"/>
    <col min="16" max="16" width="1.140625" style="44" customWidth="1"/>
    <col min="17" max="17" width="13.140625" style="44" bestFit="1" customWidth="1"/>
    <col min="18" max="18" width="1.140625" style="44" customWidth="1"/>
    <col min="19" max="19" width="13.140625" style="44" bestFit="1" customWidth="1"/>
    <col min="20" max="20" width="9.140625" style="44"/>
    <col min="21" max="21" width="4.28515625" style="44" customWidth="1"/>
    <col min="22" max="22" width="8.7109375" style="44" bestFit="1" customWidth="1"/>
    <col min="23" max="23" width="6.140625" style="44" bestFit="1" customWidth="1"/>
    <col min="24" max="24" width="46.42578125" style="44" bestFit="1" customWidth="1"/>
    <col min="25" max="25" width="15.42578125" style="44" bestFit="1" customWidth="1"/>
    <col min="26" max="26" width="17.85546875" style="44" bestFit="1" customWidth="1"/>
    <col min="27" max="27" width="15.28515625" style="44" bestFit="1" customWidth="1"/>
    <col min="28" max="28" width="16.42578125" style="44" bestFit="1" customWidth="1"/>
    <col min="29" max="30" width="9.140625" style="44"/>
    <col min="31" max="31" width="8.7109375" style="44" bestFit="1" customWidth="1"/>
    <col min="32" max="32" width="6.140625" style="44" bestFit="1" customWidth="1"/>
    <col min="33" max="33" width="47.140625" style="44" bestFit="1" customWidth="1"/>
    <col min="34" max="34" width="15.42578125" style="44" bestFit="1" customWidth="1"/>
    <col min="35" max="35" width="17.85546875" style="44" bestFit="1" customWidth="1"/>
    <col min="36" max="40" width="4.140625" style="44" bestFit="1" customWidth="1"/>
    <col min="41" max="41" width="13.85546875" style="44" customWidth="1"/>
    <col min="42" max="16384" width="9.140625" style="44"/>
  </cols>
  <sheetData>
    <row r="5" spans="4:28" ht="15.75">
      <c r="D5" s="97" t="s">
        <v>17</v>
      </c>
      <c r="E5" s="97" t="s">
        <v>0</v>
      </c>
      <c r="F5" s="97" t="s">
        <v>1</v>
      </c>
      <c r="G5" s="97" t="s">
        <v>3</v>
      </c>
      <c r="H5" s="97" t="s">
        <v>4215</v>
      </c>
      <c r="I5" s="97" t="s">
        <v>3245</v>
      </c>
      <c r="J5" s="97" t="s">
        <v>11</v>
      </c>
      <c r="K5" s="97" t="s">
        <v>4183</v>
      </c>
    </row>
    <row r="6" spans="4:28" ht="15.75">
      <c r="D6" s="25"/>
      <c r="E6" s="103"/>
      <c r="F6" s="103"/>
      <c r="G6" s="103"/>
      <c r="H6" s="103"/>
      <c r="I6" s="239" t="s">
        <v>6925</v>
      </c>
      <c r="J6" s="45"/>
      <c r="K6" s="103"/>
      <c r="V6" s="97" t="s">
        <v>17</v>
      </c>
      <c r="W6" s="97" t="s">
        <v>0</v>
      </c>
      <c r="X6" s="97" t="s">
        <v>1</v>
      </c>
      <c r="Y6" s="97" t="s">
        <v>2</v>
      </c>
      <c r="Z6" s="97" t="s">
        <v>4215</v>
      </c>
      <c r="AA6" s="97" t="s">
        <v>3245</v>
      </c>
      <c r="AB6" s="97" t="s">
        <v>11</v>
      </c>
    </row>
    <row r="7" spans="4:28">
      <c r="D7" s="103"/>
      <c r="E7" s="103"/>
      <c r="F7" s="103"/>
      <c r="G7" s="103"/>
      <c r="H7" s="103"/>
      <c r="I7" s="239" t="s">
        <v>6925</v>
      </c>
      <c r="J7" s="45"/>
      <c r="K7" s="103"/>
      <c r="L7" s="20"/>
      <c r="V7" s="103">
        <v>101</v>
      </c>
      <c r="W7" s="103">
        <v>22188</v>
      </c>
      <c r="X7" s="103" t="s">
        <v>554</v>
      </c>
      <c r="Y7" s="3">
        <v>29707012108571</v>
      </c>
      <c r="Z7" s="103" t="s">
        <v>570</v>
      </c>
      <c r="AA7" s="103" t="s">
        <v>61</v>
      </c>
      <c r="AB7" s="45">
        <v>43445</v>
      </c>
    </row>
    <row r="8" spans="4:28">
      <c r="L8" s="20"/>
      <c r="V8" s="25">
        <v>186</v>
      </c>
      <c r="W8" s="103">
        <v>28510</v>
      </c>
      <c r="X8" s="103" t="s">
        <v>6866</v>
      </c>
      <c r="Y8" s="3">
        <v>29909240103211</v>
      </c>
      <c r="Z8" s="103" t="s">
        <v>6867</v>
      </c>
      <c r="AA8" s="103" t="s">
        <v>61</v>
      </c>
      <c r="AB8" s="45">
        <v>44090</v>
      </c>
    </row>
    <row r="9" spans="4:28" ht="15.75">
      <c r="D9" s="97" t="s">
        <v>17</v>
      </c>
      <c r="E9" s="97" t="s">
        <v>0</v>
      </c>
      <c r="F9" s="97" t="s">
        <v>1</v>
      </c>
      <c r="G9" s="97" t="s">
        <v>3</v>
      </c>
      <c r="H9" s="97" t="s">
        <v>4215</v>
      </c>
      <c r="I9" s="97" t="s">
        <v>3245</v>
      </c>
      <c r="J9" s="97" t="s">
        <v>11</v>
      </c>
      <c r="K9" s="97" t="s">
        <v>4183</v>
      </c>
      <c r="L9" s="20"/>
      <c r="V9" s="25">
        <v>189</v>
      </c>
      <c r="W9" s="103">
        <v>29026</v>
      </c>
      <c r="X9" s="103" t="s">
        <v>6958</v>
      </c>
      <c r="Y9" s="3">
        <v>30103202103012</v>
      </c>
      <c r="Z9" s="103" t="s">
        <v>6959</v>
      </c>
      <c r="AA9" s="103" t="s">
        <v>61</v>
      </c>
      <c r="AB9" s="27">
        <v>44081</v>
      </c>
    </row>
    <row r="10" spans="4:28" ht="15.75">
      <c r="D10" s="25">
        <v>190</v>
      </c>
      <c r="E10" s="25">
        <v>29039</v>
      </c>
      <c r="F10" s="25" t="s">
        <v>7013</v>
      </c>
      <c r="G10" s="25" t="s">
        <v>34</v>
      </c>
      <c r="H10" s="25" t="s">
        <v>7014</v>
      </c>
      <c r="I10" s="25" t="s">
        <v>170</v>
      </c>
      <c r="J10" s="27">
        <v>44094</v>
      </c>
      <c r="K10" s="103"/>
      <c r="L10" s="20"/>
      <c r="M10" s="243" t="s">
        <v>3813</v>
      </c>
      <c r="N10" s="244"/>
      <c r="O10" s="324" t="s">
        <v>3813</v>
      </c>
      <c r="P10" s="324"/>
      <c r="Q10" s="324"/>
      <c r="R10" s="324"/>
      <c r="S10" s="324"/>
      <c r="V10" s="25">
        <v>187</v>
      </c>
      <c r="W10" s="103">
        <v>28528</v>
      </c>
      <c r="X10" s="103" t="s">
        <v>6892</v>
      </c>
      <c r="Y10" s="3">
        <v>29806190103581</v>
      </c>
      <c r="Z10" s="103" t="s">
        <v>6903</v>
      </c>
      <c r="AA10" s="103" t="s">
        <v>61</v>
      </c>
      <c r="AB10" s="45">
        <v>44090</v>
      </c>
    </row>
    <row r="11" spans="4:28">
      <c r="D11" s="20"/>
      <c r="E11" s="20"/>
      <c r="F11" s="20"/>
      <c r="G11" s="20"/>
      <c r="H11" s="20"/>
      <c r="I11" s="20"/>
      <c r="J11" s="20"/>
      <c r="L11" s="20"/>
      <c r="M11" s="262" t="s">
        <v>3246</v>
      </c>
      <c r="O11" s="262" t="s">
        <v>3246</v>
      </c>
      <c r="P11" s="68"/>
      <c r="Q11" s="25" t="s">
        <v>61</v>
      </c>
      <c r="S11" s="25" t="s">
        <v>62</v>
      </c>
      <c r="V11" s="25">
        <v>187</v>
      </c>
      <c r="W11" s="103">
        <v>28530</v>
      </c>
      <c r="X11" s="103" t="s">
        <v>6895</v>
      </c>
      <c r="Y11" s="3">
        <v>29812210104414</v>
      </c>
      <c r="Z11" s="103" t="s">
        <v>6905</v>
      </c>
      <c r="AA11" s="103" t="s">
        <v>61</v>
      </c>
      <c r="AB11" s="27">
        <v>44090</v>
      </c>
    </row>
    <row r="12" spans="4:28" ht="15.75">
      <c r="D12" s="97" t="s">
        <v>17</v>
      </c>
      <c r="E12" s="97" t="s">
        <v>0</v>
      </c>
      <c r="F12" s="97" t="s">
        <v>1</v>
      </c>
      <c r="G12" s="97" t="s">
        <v>3</v>
      </c>
      <c r="H12" s="97" t="s">
        <v>4215</v>
      </c>
      <c r="I12" s="97" t="s">
        <v>3245</v>
      </c>
      <c r="J12" s="97" t="s">
        <v>11</v>
      </c>
      <c r="K12" s="97" t="s">
        <v>4183</v>
      </c>
      <c r="L12" s="20"/>
      <c r="M12" s="232">
        <v>1</v>
      </c>
      <c r="O12" s="69">
        <v>1</v>
      </c>
      <c r="Q12" s="69">
        <v>13</v>
      </c>
      <c r="S12" s="69">
        <v>9</v>
      </c>
      <c r="V12" s="103">
        <v>22</v>
      </c>
      <c r="W12" s="103">
        <v>18980</v>
      </c>
      <c r="X12" s="103" t="s">
        <v>2750</v>
      </c>
      <c r="Y12" s="3">
        <v>29508031400263</v>
      </c>
      <c r="Z12" s="103" t="s">
        <v>2770</v>
      </c>
      <c r="AA12" s="103" t="s">
        <v>60</v>
      </c>
      <c r="AB12" s="45">
        <v>42971</v>
      </c>
    </row>
    <row r="13" spans="4:28">
      <c r="D13" s="25">
        <v>193</v>
      </c>
      <c r="E13" s="103">
        <v>29087</v>
      </c>
      <c r="F13" s="103" t="s">
        <v>7111</v>
      </c>
      <c r="G13" s="103" t="s">
        <v>34</v>
      </c>
      <c r="H13" s="103" t="s">
        <v>7112</v>
      </c>
      <c r="I13" s="103" t="s">
        <v>61</v>
      </c>
      <c r="J13" s="27">
        <v>44102</v>
      </c>
      <c r="K13" s="103"/>
      <c r="L13" s="20"/>
      <c r="R13" s="68"/>
      <c r="V13" s="103">
        <v>62</v>
      </c>
      <c r="W13" s="103">
        <v>20330</v>
      </c>
      <c r="X13" s="103" t="s">
        <v>1560</v>
      </c>
      <c r="Y13" s="3">
        <v>29207182101551</v>
      </c>
      <c r="Z13" s="103" t="s">
        <v>1571</v>
      </c>
      <c r="AA13" s="103" t="s">
        <v>60</v>
      </c>
      <c r="AB13" s="45">
        <v>43216</v>
      </c>
    </row>
    <row r="14" spans="4:28">
      <c r="D14" s="25">
        <v>193</v>
      </c>
      <c r="E14" s="103">
        <v>29088</v>
      </c>
      <c r="F14" s="103" t="s">
        <v>7113</v>
      </c>
      <c r="G14" s="103" t="s">
        <v>34</v>
      </c>
      <c r="H14" s="103" t="s">
        <v>7114</v>
      </c>
      <c r="I14" s="103" t="s">
        <v>171</v>
      </c>
      <c r="J14" s="27">
        <v>44102</v>
      </c>
      <c r="K14" s="103"/>
      <c r="L14" s="20"/>
      <c r="R14" s="68"/>
      <c r="V14" s="103">
        <v>23</v>
      </c>
      <c r="W14" s="103">
        <v>18995</v>
      </c>
      <c r="X14" s="103" t="s">
        <v>2709</v>
      </c>
      <c r="Y14" s="3">
        <v>28805101401191</v>
      </c>
      <c r="Z14" s="103" t="s">
        <v>2726</v>
      </c>
      <c r="AA14" s="103" t="s">
        <v>111</v>
      </c>
      <c r="AB14" s="45">
        <v>42985</v>
      </c>
    </row>
    <row r="15" spans="4:28">
      <c r="D15" s="25">
        <v>193</v>
      </c>
      <c r="E15" s="103">
        <v>29091</v>
      </c>
      <c r="F15" s="103" t="s">
        <v>7119</v>
      </c>
      <c r="G15" s="103" t="s">
        <v>34</v>
      </c>
      <c r="H15" s="103" t="s">
        <v>7120</v>
      </c>
      <c r="I15" s="103" t="s">
        <v>7124</v>
      </c>
      <c r="J15" s="27">
        <v>44102</v>
      </c>
      <c r="K15" s="103"/>
      <c r="L15" s="20"/>
      <c r="R15" s="68"/>
      <c r="V15" s="25">
        <v>187</v>
      </c>
      <c r="W15" s="103">
        <v>28531</v>
      </c>
      <c r="X15" s="103" t="s">
        <v>6908</v>
      </c>
      <c r="Y15" s="3">
        <v>29509011404897</v>
      </c>
      <c r="Z15" s="103" t="s">
        <v>6906</v>
      </c>
      <c r="AA15" s="103" t="s">
        <v>62</v>
      </c>
      <c r="AB15" s="27">
        <v>44070</v>
      </c>
    </row>
    <row r="16" spans="4:28">
      <c r="D16" s="25">
        <v>194</v>
      </c>
      <c r="E16" s="25">
        <v>29697</v>
      </c>
      <c r="F16" s="25" t="s">
        <v>7137</v>
      </c>
      <c r="G16" s="25" t="s">
        <v>34</v>
      </c>
      <c r="H16" s="25" t="s">
        <v>7149</v>
      </c>
      <c r="I16" s="25" t="s">
        <v>171</v>
      </c>
      <c r="J16" s="27">
        <v>44108</v>
      </c>
      <c r="K16" s="103"/>
      <c r="L16" s="20"/>
      <c r="R16" s="68"/>
      <c r="V16" s="25">
        <v>182</v>
      </c>
      <c r="W16" s="103">
        <v>28153</v>
      </c>
      <c r="X16" s="103" t="s">
        <v>6718</v>
      </c>
      <c r="Y16" s="3">
        <v>29504011100721</v>
      </c>
      <c r="Z16" s="103" t="s">
        <v>6719</v>
      </c>
      <c r="AA16" s="103" t="s">
        <v>62</v>
      </c>
      <c r="AB16" s="27">
        <v>44073</v>
      </c>
    </row>
    <row r="17" spans="4:41">
      <c r="D17" s="25">
        <v>194</v>
      </c>
      <c r="E17" s="103">
        <v>29701</v>
      </c>
      <c r="F17" s="103" t="s">
        <v>7141</v>
      </c>
      <c r="G17" s="103" t="s">
        <v>34</v>
      </c>
      <c r="H17" s="103" t="s">
        <v>7153</v>
      </c>
      <c r="I17" s="103" t="s">
        <v>171</v>
      </c>
      <c r="J17" s="27">
        <v>44108</v>
      </c>
      <c r="K17" s="103"/>
      <c r="L17" s="20"/>
      <c r="R17" s="68"/>
      <c r="V17" s="25">
        <v>175</v>
      </c>
      <c r="W17" s="25">
        <v>27935</v>
      </c>
      <c r="X17" s="25" t="s">
        <v>6521</v>
      </c>
      <c r="Y17" s="26">
        <v>29310110101781</v>
      </c>
      <c r="Z17" s="34" t="s">
        <v>6529</v>
      </c>
      <c r="AA17" s="103" t="s">
        <v>62</v>
      </c>
      <c r="AB17" s="27">
        <v>44026</v>
      </c>
    </row>
    <row r="18" spans="4:41">
      <c r="D18" s="25">
        <v>194</v>
      </c>
      <c r="E18" s="103">
        <v>29703</v>
      </c>
      <c r="F18" s="103" t="s">
        <v>7143</v>
      </c>
      <c r="G18" s="103" t="s">
        <v>34</v>
      </c>
      <c r="H18" s="103" t="s">
        <v>7155</v>
      </c>
      <c r="I18" s="103" t="s">
        <v>61</v>
      </c>
      <c r="J18" s="27">
        <v>44108</v>
      </c>
      <c r="K18" s="103"/>
      <c r="L18" s="20"/>
      <c r="R18" s="68"/>
      <c r="V18" s="25">
        <v>186</v>
      </c>
      <c r="W18" s="25">
        <v>28508</v>
      </c>
      <c r="X18" s="25" t="s">
        <v>6862</v>
      </c>
      <c r="Y18" s="26">
        <v>29603231500052</v>
      </c>
      <c r="Z18" s="25" t="s">
        <v>6863</v>
      </c>
      <c r="AA18" s="25" t="s">
        <v>62</v>
      </c>
      <c r="AB18" s="27">
        <v>44068</v>
      </c>
    </row>
    <row r="19" spans="4:41">
      <c r="D19" s="25"/>
      <c r="E19" s="103"/>
      <c r="F19" s="103"/>
      <c r="G19" s="103"/>
      <c r="H19" s="103"/>
      <c r="I19" s="103"/>
      <c r="J19" s="27"/>
      <c r="K19" s="103"/>
      <c r="L19" s="20"/>
      <c r="R19" s="68"/>
      <c r="V19" s="25">
        <v>188</v>
      </c>
      <c r="W19" s="103">
        <v>28543</v>
      </c>
      <c r="X19" s="103" t="s">
        <v>6950</v>
      </c>
      <c r="Y19" s="3">
        <v>29605201301325</v>
      </c>
      <c r="Z19" s="103" t="s">
        <v>6951</v>
      </c>
      <c r="AA19" s="103" t="s">
        <v>62</v>
      </c>
      <c r="AB19" s="27">
        <v>44074</v>
      </c>
    </row>
    <row r="20" spans="4:41">
      <c r="D20" s="25"/>
      <c r="E20" s="25"/>
      <c r="F20" s="25"/>
      <c r="G20" s="25"/>
      <c r="H20" s="25"/>
      <c r="I20" s="25"/>
      <c r="J20" s="27"/>
      <c r="K20" s="103"/>
      <c r="L20" s="20"/>
      <c r="R20" s="68"/>
      <c r="V20" s="25">
        <v>186</v>
      </c>
      <c r="W20" s="103">
        <v>28517</v>
      </c>
      <c r="X20" s="103" t="s">
        <v>6878</v>
      </c>
      <c r="Y20" s="3">
        <v>28809190103811</v>
      </c>
      <c r="Z20" s="103" t="s">
        <v>6879</v>
      </c>
      <c r="AA20" s="103" t="s">
        <v>3818</v>
      </c>
      <c r="AB20" s="45">
        <v>44068</v>
      </c>
    </row>
    <row r="21" spans="4:41">
      <c r="D21" s="25"/>
      <c r="E21" s="103"/>
      <c r="F21" s="103"/>
      <c r="G21" s="103"/>
      <c r="H21" s="103"/>
      <c r="I21" s="103"/>
      <c r="J21" s="27"/>
      <c r="K21" s="103"/>
      <c r="L21" s="20"/>
      <c r="R21" s="68"/>
      <c r="V21" s="25"/>
      <c r="W21" s="103"/>
      <c r="X21" s="103"/>
      <c r="Y21" s="3"/>
      <c r="Z21" s="103"/>
      <c r="AA21" s="103"/>
      <c r="AB21" s="45"/>
    </row>
    <row r="22" spans="4:41">
      <c r="D22" s="25"/>
      <c r="E22" s="103"/>
      <c r="F22" s="103"/>
      <c r="G22" s="103"/>
      <c r="H22" s="8"/>
      <c r="I22" s="103"/>
      <c r="J22" s="27"/>
      <c r="K22" s="103"/>
      <c r="L22" s="20"/>
      <c r="R22" s="68"/>
      <c r="V22" s="25"/>
      <c r="W22" s="103"/>
      <c r="X22" s="103"/>
      <c r="Y22" s="3"/>
      <c r="Z22" s="103"/>
      <c r="AA22" s="103"/>
      <c r="AB22" s="45"/>
    </row>
    <row r="23" spans="4:41">
      <c r="D23" s="103"/>
      <c r="E23" s="103"/>
      <c r="F23" s="103"/>
      <c r="G23" s="103"/>
      <c r="H23" s="103"/>
      <c r="I23" s="103"/>
      <c r="J23" s="45"/>
      <c r="K23" s="103"/>
      <c r="L23" s="20"/>
      <c r="R23" s="68"/>
      <c r="V23" s="25"/>
      <c r="W23" s="103"/>
      <c r="X23" s="103"/>
      <c r="Y23" s="3"/>
      <c r="Z23" s="103"/>
      <c r="AA23" s="103"/>
      <c r="AB23" s="45"/>
    </row>
    <row r="24" spans="4:41">
      <c r="D24" s="25"/>
      <c r="E24" s="103"/>
      <c r="F24" s="103"/>
      <c r="G24" s="103"/>
      <c r="H24" s="103"/>
      <c r="I24" s="103"/>
      <c r="J24" s="27"/>
      <c r="K24" s="103"/>
      <c r="L24" s="20"/>
      <c r="R24" s="68"/>
      <c r="V24" s="25"/>
      <c r="W24" s="103"/>
      <c r="X24" s="103"/>
      <c r="Y24" s="3"/>
      <c r="Z24" s="103"/>
      <c r="AA24" s="103"/>
      <c r="AB24" s="45"/>
    </row>
    <row r="25" spans="4:41">
      <c r="D25" s="103"/>
      <c r="E25" s="103"/>
      <c r="F25" s="103"/>
      <c r="G25" s="103"/>
      <c r="H25" s="103"/>
      <c r="I25" s="103"/>
      <c r="J25" s="45"/>
      <c r="K25" s="103"/>
      <c r="L25" s="20"/>
      <c r="R25" s="68"/>
      <c r="V25" s="25"/>
      <c r="W25" s="103"/>
      <c r="X25" s="103"/>
      <c r="Y25" s="3"/>
      <c r="Z25" s="103"/>
      <c r="AA25" s="103"/>
      <c r="AB25" s="45"/>
    </row>
    <row r="26" spans="4:41">
      <c r="L26" s="20"/>
      <c r="R26" s="68"/>
      <c r="V26" s="25"/>
      <c r="W26" s="103"/>
      <c r="X26" s="103"/>
      <c r="Y26" s="3"/>
      <c r="Z26" s="103"/>
      <c r="AA26" s="103"/>
      <c r="AB26" s="45"/>
    </row>
    <row r="27" spans="4:41" ht="15.75">
      <c r="D27" s="97" t="s">
        <v>17</v>
      </c>
      <c r="E27" s="97" t="s">
        <v>0</v>
      </c>
      <c r="F27" s="97" t="s">
        <v>1</v>
      </c>
      <c r="G27" s="97" t="s">
        <v>3</v>
      </c>
      <c r="H27" s="97" t="s">
        <v>4215</v>
      </c>
      <c r="I27" s="97" t="s">
        <v>3245</v>
      </c>
      <c r="J27" s="97" t="s">
        <v>11</v>
      </c>
      <c r="K27" s="97" t="s">
        <v>4183</v>
      </c>
      <c r="L27" s="20"/>
      <c r="R27" s="68"/>
      <c r="V27" s="25"/>
      <c r="W27" s="103"/>
      <c r="X27" s="103"/>
      <c r="Y27" s="3"/>
      <c r="Z27" s="103"/>
      <c r="AA27" s="103"/>
      <c r="AB27" s="27"/>
    </row>
    <row r="28" spans="4:41">
      <c r="D28" s="25">
        <v>190</v>
      </c>
      <c r="E28" s="103">
        <v>29043</v>
      </c>
      <c r="F28" s="103" t="s">
        <v>7021</v>
      </c>
      <c r="G28" s="103" t="s">
        <v>4025</v>
      </c>
      <c r="H28" s="103" t="s">
        <v>7022</v>
      </c>
      <c r="I28" s="103" t="s">
        <v>62</v>
      </c>
      <c r="J28" s="27">
        <v>44094</v>
      </c>
      <c r="K28" s="103"/>
      <c r="L28" s="20"/>
      <c r="V28" s="25"/>
      <c r="W28" s="103"/>
      <c r="X28" s="103"/>
      <c r="Y28" s="3"/>
      <c r="Z28" s="103"/>
      <c r="AA28" s="103"/>
      <c r="AB28" s="27"/>
    </row>
    <row r="29" spans="4:41">
      <c r="D29" s="25">
        <v>190</v>
      </c>
      <c r="E29" s="103">
        <v>29045</v>
      </c>
      <c r="F29" s="103" t="s">
        <v>7025</v>
      </c>
      <c r="G29" s="103" t="s">
        <v>4025</v>
      </c>
      <c r="H29" s="103" t="s">
        <v>7026</v>
      </c>
      <c r="I29" s="103" t="s">
        <v>62</v>
      </c>
      <c r="J29" s="27">
        <v>44094</v>
      </c>
      <c r="K29" s="103"/>
      <c r="V29" s="25"/>
      <c r="W29" s="103"/>
      <c r="X29" s="103"/>
      <c r="Y29" s="3"/>
      <c r="Z29" s="103"/>
      <c r="AA29" s="103"/>
      <c r="AB29" s="45"/>
    </row>
    <row r="30" spans="4:41">
      <c r="D30" s="25">
        <v>190</v>
      </c>
      <c r="E30" s="103">
        <v>29047</v>
      </c>
      <c r="F30" s="103" t="s">
        <v>7029</v>
      </c>
      <c r="G30" s="103" t="s">
        <v>34</v>
      </c>
      <c r="H30" s="103" t="s">
        <v>7030</v>
      </c>
      <c r="I30" s="103" t="s">
        <v>62</v>
      </c>
      <c r="J30" s="27">
        <v>44094</v>
      </c>
      <c r="K30" s="103"/>
      <c r="V30" s="25"/>
      <c r="W30" s="103"/>
      <c r="X30" s="103"/>
      <c r="Y30" s="3"/>
      <c r="Z30" s="8"/>
      <c r="AA30" s="103"/>
      <c r="AB30" s="27"/>
    </row>
    <row r="31" spans="4:41">
      <c r="D31" s="25">
        <v>190</v>
      </c>
      <c r="E31" s="103">
        <v>29049</v>
      </c>
      <c r="F31" s="103" t="s">
        <v>7034</v>
      </c>
      <c r="G31" s="103" t="s">
        <v>34</v>
      </c>
      <c r="H31" s="103" t="s">
        <v>7035</v>
      </c>
      <c r="I31" s="103" t="s">
        <v>62</v>
      </c>
      <c r="J31" s="27">
        <v>44094</v>
      </c>
      <c r="K31" s="103"/>
    </row>
    <row r="32" spans="4:41" ht="15.75">
      <c r="D32" s="25">
        <v>190</v>
      </c>
      <c r="E32" s="103">
        <v>29051</v>
      </c>
      <c r="F32" s="103" t="s">
        <v>7038</v>
      </c>
      <c r="G32" s="103" t="s">
        <v>34</v>
      </c>
      <c r="H32" s="103" t="s">
        <v>7039</v>
      </c>
      <c r="I32" s="103" t="s">
        <v>3321</v>
      </c>
      <c r="J32" s="27">
        <v>44094</v>
      </c>
      <c r="K32" s="103"/>
      <c r="AE32" s="240" t="s">
        <v>17</v>
      </c>
      <c r="AF32" s="240" t="s">
        <v>0</v>
      </c>
      <c r="AG32" s="240" t="s">
        <v>1</v>
      </c>
      <c r="AH32" s="240" t="s">
        <v>2</v>
      </c>
      <c r="AI32" s="240" t="s">
        <v>4215</v>
      </c>
      <c r="AJ32" s="22" t="s">
        <v>3131</v>
      </c>
      <c r="AK32" s="22" t="s">
        <v>3132</v>
      </c>
      <c r="AL32" s="22" t="s">
        <v>3133</v>
      </c>
      <c r="AM32" s="22" t="s">
        <v>3134</v>
      </c>
      <c r="AN32" s="22" t="s">
        <v>3135</v>
      </c>
      <c r="AO32" s="240" t="s">
        <v>3245</v>
      </c>
    </row>
    <row r="33" spans="4:42">
      <c r="D33" s="25">
        <v>191</v>
      </c>
      <c r="E33" s="103">
        <v>29062</v>
      </c>
      <c r="F33" s="103" t="s">
        <v>7056</v>
      </c>
      <c r="G33" s="103" t="s">
        <v>34</v>
      </c>
      <c r="H33" s="103" t="s">
        <v>7057</v>
      </c>
      <c r="I33" s="103" t="s">
        <v>3321</v>
      </c>
      <c r="J33" s="27">
        <v>44096</v>
      </c>
      <c r="K33" s="103"/>
      <c r="AE33" s="103">
        <v>184</v>
      </c>
      <c r="AF33" s="103">
        <v>28173</v>
      </c>
      <c r="AG33" s="5" t="s">
        <v>6795</v>
      </c>
      <c r="AH33" s="3">
        <v>30003192100805</v>
      </c>
      <c r="AI33" s="103" t="s">
        <v>6796</v>
      </c>
      <c r="AJ33" s="77">
        <v>3</v>
      </c>
      <c r="AK33" s="77">
        <v>2.5</v>
      </c>
      <c r="AL33" s="77">
        <v>3</v>
      </c>
      <c r="AM33" s="77">
        <v>2.5</v>
      </c>
      <c r="AN33" s="77">
        <v>3</v>
      </c>
      <c r="AO33" s="103" t="s">
        <v>6813</v>
      </c>
      <c r="AP33" s="44" t="s">
        <v>6990</v>
      </c>
    </row>
    <row r="34" spans="4:42">
      <c r="D34" s="25">
        <v>191</v>
      </c>
      <c r="E34" s="103">
        <v>29063</v>
      </c>
      <c r="F34" s="103" t="s">
        <v>7058</v>
      </c>
      <c r="G34" s="103" t="s">
        <v>34</v>
      </c>
      <c r="H34" s="103" t="s">
        <v>7059</v>
      </c>
      <c r="I34" s="103" t="s">
        <v>62</v>
      </c>
      <c r="J34" s="27">
        <v>44096</v>
      </c>
      <c r="K34" s="103"/>
      <c r="AE34" s="103">
        <v>184</v>
      </c>
      <c r="AF34" s="103">
        <v>28175</v>
      </c>
      <c r="AG34" s="255" t="s">
        <v>6800</v>
      </c>
      <c r="AH34" s="3">
        <v>29705252103336</v>
      </c>
      <c r="AI34" s="103" t="s">
        <v>6801</v>
      </c>
      <c r="AJ34" s="77">
        <v>3</v>
      </c>
      <c r="AK34" s="77">
        <v>2.5</v>
      </c>
      <c r="AL34" s="77">
        <v>3</v>
      </c>
      <c r="AM34" s="77">
        <v>2.5</v>
      </c>
      <c r="AN34" s="77">
        <v>3</v>
      </c>
      <c r="AO34" s="103" t="s">
        <v>6813</v>
      </c>
    </row>
    <row r="35" spans="4:42">
      <c r="D35" s="25">
        <v>191</v>
      </c>
      <c r="E35" s="103">
        <v>29069</v>
      </c>
      <c r="F35" s="103" t="s">
        <v>7073</v>
      </c>
      <c r="G35" s="103" t="s">
        <v>34</v>
      </c>
      <c r="H35" s="103" t="s">
        <v>7074</v>
      </c>
      <c r="I35" s="103" t="s">
        <v>62</v>
      </c>
      <c r="J35" s="27">
        <v>44096</v>
      </c>
      <c r="K35" s="103"/>
      <c r="AE35" s="103"/>
      <c r="AF35" s="103"/>
      <c r="AG35" s="255"/>
      <c r="AH35" s="3"/>
      <c r="AI35" s="103"/>
      <c r="AJ35" s="77"/>
      <c r="AK35" s="77"/>
      <c r="AL35" s="77"/>
      <c r="AM35" s="77"/>
      <c r="AN35" s="77"/>
      <c r="AO35" s="103"/>
    </row>
    <row r="36" spans="4:42">
      <c r="D36" s="103">
        <v>191</v>
      </c>
      <c r="E36" s="103">
        <v>29072</v>
      </c>
      <c r="F36" s="103" t="s">
        <v>7079</v>
      </c>
      <c r="G36" s="103" t="s">
        <v>7080</v>
      </c>
      <c r="H36" s="103" t="s">
        <v>7081</v>
      </c>
      <c r="I36" s="103" t="s">
        <v>62</v>
      </c>
      <c r="J36" s="45">
        <v>44096</v>
      </c>
      <c r="K36" s="103"/>
      <c r="AE36" s="103"/>
      <c r="AF36" s="103"/>
      <c r="AG36" s="255"/>
      <c r="AH36" s="3"/>
      <c r="AI36" s="103"/>
      <c r="AJ36" s="77"/>
      <c r="AK36" s="77"/>
      <c r="AL36" s="77"/>
      <c r="AM36" s="77"/>
      <c r="AN36" s="77"/>
      <c r="AO36" s="103"/>
    </row>
    <row r="37" spans="4:42">
      <c r="D37" s="20"/>
      <c r="E37" s="20"/>
      <c r="F37" s="20"/>
      <c r="G37" s="20"/>
      <c r="H37" s="20"/>
      <c r="I37" s="20"/>
      <c r="J37" s="261"/>
      <c r="K37" s="20"/>
      <c r="AE37" s="103"/>
      <c r="AF37" s="103"/>
      <c r="AG37" s="255"/>
      <c r="AH37" s="3"/>
      <c r="AI37" s="103"/>
      <c r="AJ37" s="77"/>
      <c r="AK37" s="77"/>
      <c r="AL37" s="77"/>
      <c r="AM37" s="77"/>
      <c r="AN37" s="77"/>
      <c r="AO37" s="103"/>
    </row>
    <row r="38" spans="4:42">
      <c r="D38" s="20"/>
      <c r="E38" s="20"/>
      <c r="F38" s="20"/>
      <c r="G38" s="20"/>
      <c r="H38" s="20"/>
      <c r="I38" s="20"/>
      <c r="J38" s="261"/>
      <c r="AE38" s="103"/>
      <c r="AF38" s="103"/>
      <c r="AG38" s="255"/>
      <c r="AH38" s="3"/>
      <c r="AI38" s="103"/>
      <c r="AJ38" s="77"/>
      <c r="AK38" s="77"/>
      <c r="AL38" s="77"/>
      <c r="AM38" s="77"/>
      <c r="AN38" s="77"/>
      <c r="AO38" s="103"/>
    </row>
    <row r="39" spans="4:42">
      <c r="AE39" s="103">
        <v>185</v>
      </c>
      <c r="AF39" s="103">
        <v>28497</v>
      </c>
      <c r="AG39" s="5" t="s">
        <v>6823</v>
      </c>
      <c r="AH39" s="3">
        <v>29608191601499</v>
      </c>
      <c r="AI39" s="103" t="s">
        <v>6824</v>
      </c>
      <c r="AJ39" s="77">
        <v>3</v>
      </c>
      <c r="AK39" s="77">
        <v>2.5</v>
      </c>
      <c r="AL39" s="77">
        <v>2.5</v>
      </c>
      <c r="AM39" s="77">
        <v>2.5</v>
      </c>
      <c r="AN39" s="77">
        <v>3</v>
      </c>
      <c r="AO39" s="103" t="s">
        <v>6813</v>
      </c>
      <c r="AP39" s="44" t="s">
        <v>6991</v>
      </c>
    </row>
    <row r="40" spans="4:42">
      <c r="D40" s="44" t="s">
        <v>6926</v>
      </c>
      <c r="F40" s="233" t="s">
        <v>6924</v>
      </c>
      <c r="AD40" s="256"/>
      <c r="AE40" s="103">
        <v>187</v>
      </c>
      <c r="AF40" s="103">
        <v>28527</v>
      </c>
      <c r="AG40" s="254" t="s">
        <v>6891</v>
      </c>
      <c r="AH40" s="3">
        <v>29507162100501</v>
      </c>
      <c r="AI40" s="103" t="s">
        <v>6902</v>
      </c>
      <c r="AJ40" s="77">
        <v>3</v>
      </c>
      <c r="AK40" s="77">
        <v>2.5</v>
      </c>
      <c r="AL40" s="77">
        <v>3</v>
      </c>
      <c r="AM40" s="77">
        <v>2.5</v>
      </c>
      <c r="AN40" s="77">
        <v>3</v>
      </c>
      <c r="AO40" s="103" t="s">
        <v>502</v>
      </c>
      <c r="AP40" s="44" t="s">
        <v>6992</v>
      </c>
    </row>
    <row r="41" spans="4:42" ht="15.75">
      <c r="D41" s="97" t="s">
        <v>17</v>
      </c>
      <c r="E41" s="97" t="s">
        <v>0</v>
      </c>
      <c r="F41" s="97" t="s">
        <v>1</v>
      </c>
      <c r="G41" s="97" t="s">
        <v>6817</v>
      </c>
      <c r="H41" s="97" t="s">
        <v>6818</v>
      </c>
      <c r="I41" s="97" t="s">
        <v>151</v>
      </c>
      <c r="J41" s="97" t="s">
        <v>6779</v>
      </c>
      <c r="AE41" s="103">
        <v>182</v>
      </c>
      <c r="AF41" s="103">
        <v>28148</v>
      </c>
      <c r="AG41" s="5" t="s">
        <v>6708</v>
      </c>
      <c r="AH41" s="3">
        <v>29704198800658</v>
      </c>
      <c r="AI41" s="103" t="s">
        <v>6709</v>
      </c>
      <c r="AJ41" s="77">
        <v>3</v>
      </c>
      <c r="AK41" s="77">
        <v>3</v>
      </c>
      <c r="AL41" s="77">
        <v>2.5</v>
      </c>
      <c r="AM41" s="77">
        <v>2</v>
      </c>
      <c r="AN41" s="77">
        <v>3</v>
      </c>
      <c r="AO41" s="103" t="s">
        <v>4212</v>
      </c>
      <c r="AP41" s="44" t="s">
        <v>6993</v>
      </c>
    </row>
    <row r="42" spans="4:42">
      <c r="D42" s="103">
        <v>185</v>
      </c>
      <c r="E42" s="103">
        <v>28495</v>
      </c>
      <c r="F42" s="103" t="s">
        <v>6819</v>
      </c>
      <c r="G42" s="103" t="s">
        <v>34</v>
      </c>
      <c r="H42" s="103" t="s">
        <v>6820</v>
      </c>
      <c r="I42" s="103" t="s">
        <v>59</v>
      </c>
      <c r="J42" s="103" t="s">
        <v>6816</v>
      </c>
      <c r="AE42" s="103">
        <v>183</v>
      </c>
      <c r="AF42" s="103">
        <v>28162</v>
      </c>
      <c r="AG42" s="5" t="s">
        <v>6758</v>
      </c>
      <c r="AH42" s="3">
        <v>29506212100757</v>
      </c>
      <c r="AI42" s="103" t="s">
        <v>6770</v>
      </c>
      <c r="AJ42" s="77">
        <v>3</v>
      </c>
      <c r="AK42" s="77">
        <v>2.5</v>
      </c>
      <c r="AL42" s="77">
        <v>2.5</v>
      </c>
      <c r="AM42" s="77">
        <v>2</v>
      </c>
      <c r="AN42" s="77">
        <v>3</v>
      </c>
      <c r="AO42" s="103" t="s">
        <v>4212</v>
      </c>
      <c r="AP42" s="44" t="s">
        <v>6994</v>
      </c>
    </row>
    <row r="43" spans="4:42">
      <c r="D43" s="103">
        <v>185</v>
      </c>
      <c r="E43" s="103">
        <v>28503</v>
      </c>
      <c r="F43" s="103" t="s">
        <v>6836</v>
      </c>
      <c r="G43" s="103" t="s">
        <v>34</v>
      </c>
      <c r="H43" s="103" t="s">
        <v>6837</v>
      </c>
      <c r="I43" s="103" t="s">
        <v>59</v>
      </c>
      <c r="J43" s="103" t="s">
        <v>6816</v>
      </c>
      <c r="AE43" s="103">
        <v>184</v>
      </c>
      <c r="AF43" s="103">
        <v>28174</v>
      </c>
      <c r="AG43" s="5" t="s">
        <v>6797</v>
      </c>
      <c r="AH43" s="3">
        <v>29908310103455</v>
      </c>
      <c r="AI43" s="103" t="s">
        <v>6798</v>
      </c>
      <c r="AJ43" s="77">
        <v>3</v>
      </c>
      <c r="AK43" s="77">
        <v>2.5</v>
      </c>
      <c r="AL43" s="77">
        <v>2.5</v>
      </c>
      <c r="AM43" s="77">
        <v>2</v>
      </c>
      <c r="AN43" s="77">
        <v>3</v>
      </c>
      <c r="AO43" s="103" t="s">
        <v>4212</v>
      </c>
      <c r="AP43" s="44" t="s">
        <v>6995</v>
      </c>
    </row>
    <row r="44" spans="4:42">
      <c r="D44" s="103">
        <v>186</v>
      </c>
      <c r="E44" s="103">
        <v>28510</v>
      </c>
      <c r="F44" s="103" t="s">
        <v>6866</v>
      </c>
      <c r="G44" s="103" t="s">
        <v>5890</v>
      </c>
      <c r="H44" s="103" t="s">
        <v>6867</v>
      </c>
      <c r="I44" s="103" t="s">
        <v>59</v>
      </c>
      <c r="J44" s="103" t="s">
        <v>6816</v>
      </c>
      <c r="AE44" s="103" t="s">
        <v>6755</v>
      </c>
      <c r="AF44" s="103">
        <v>29037</v>
      </c>
      <c r="AG44" s="103" t="s">
        <v>6927</v>
      </c>
      <c r="AH44" s="3">
        <v>29511090101157</v>
      </c>
      <c r="AI44" s="8" t="s">
        <v>6814</v>
      </c>
      <c r="AJ44" s="77">
        <v>3</v>
      </c>
      <c r="AK44" s="77">
        <v>3</v>
      </c>
      <c r="AL44" s="77">
        <v>2.5</v>
      </c>
      <c r="AM44" s="77">
        <v>2</v>
      </c>
      <c r="AN44" s="77">
        <v>3</v>
      </c>
      <c r="AO44" s="103" t="s">
        <v>502</v>
      </c>
      <c r="AP44" s="44" t="s">
        <v>6996</v>
      </c>
    </row>
    <row r="45" spans="4:42">
      <c r="D45" s="103">
        <v>186</v>
      </c>
      <c r="E45" s="103">
        <v>28513</v>
      </c>
      <c r="F45" s="103" t="s">
        <v>6870</v>
      </c>
      <c r="G45" s="103" t="s">
        <v>34</v>
      </c>
      <c r="H45" s="103" t="s">
        <v>6871</v>
      </c>
      <c r="I45" s="103" t="s">
        <v>59</v>
      </c>
      <c r="J45" s="103" t="s">
        <v>6816</v>
      </c>
      <c r="AE45" s="103" t="s">
        <v>6755</v>
      </c>
      <c r="AF45" s="103">
        <v>29038</v>
      </c>
      <c r="AG45" s="5" t="s">
        <v>6928</v>
      </c>
      <c r="AH45" s="3">
        <v>29709170100822</v>
      </c>
      <c r="AI45" s="8" t="s">
        <v>6815</v>
      </c>
      <c r="AJ45" s="77">
        <v>3</v>
      </c>
      <c r="AK45" s="77">
        <v>3</v>
      </c>
      <c r="AL45" s="77">
        <v>2.5</v>
      </c>
      <c r="AM45" s="77">
        <v>2.5</v>
      </c>
      <c r="AN45" s="77">
        <v>3</v>
      </c>
      <c r="AO45" s="103" t="s">
        <v>502</v>
      </c>
      <c r="AP45" s="44" t="s">
        <v>6997</v>
      </c>
    </row>
    <row r="46" spans="4:42">
      <c r="D46" s="103">
        <v>186</v>
      </c>
      <c r="E46" s="103">
        <v>28514</v>
      </c>
      <c r="F46" s="103" t="s">
        <v>6872</v>
      </c>
      <c r="G46" s="103" t="s">
        <v>34</v>
      </c>
      <c r="H46" s="103" t="s">
        <v>6873</v>
      </c>
      <c r="I46" s="103" t="s">
        <v>59</v>
      </c>
      <c r="J46" s="103" t="s">
        <v>6816</v>
      </c>
      <c r="AE46" s="25">
        <v>188</v>
      </c>
      <c r="AF46" s="103">
        <v>28539</v>
      </c>
      <c r="AG46" s="5" t="s">
        <v>6942</v>
      </c>
      <c r="AH46" s="3">
        <v>28909231900636</v>
      </c>
      <c r="AI46" s="103" t="s">
        <v>6943</v>
      </c>
      <c r="AJ46" s="77">
        <v>3</v>
      </c>
      <c r="AK46" s="77">
        <v>3</v>
      </c>
      <c r="AL46" s="77">
        <v>2</v>
      </c>
      <c r="AM46" s="77">
        <v>2.5</v>
      </c>
      <c r="AN46" s="77">
        <v>3</v>
      </c>
      <c r="AO46" s="103" t="s">
        <v>61</v>
      </c>
      <c r="AP46" s="44" t="s">
        <v>6998</v>
      </c>
    </row>
    <row r="47" spans="4:42">
      <c r="D47" s="103">
        <v>186</v>
      </c>
      <c r="E47" s="103">
        <v>28515</v>
      </c>
      <c r="F47" s="103" t="s">
        <v>6874</v>
      </c>
      <c r="G47" s="103" t="s">
        <v>34</v>
      </c>
      <c r="H47" s="103" t="s">
        <v>6875</v>
      </c>
      <c r="I47" s="103" t="s">
        <v>59</v>
      </c>
      <c r="J47" s="103" t="s">
        <v>6816</v>
      </c>
      <c r="AE47" s="25">
        <v>189</v>
      </c>
      <c r="AF47" s="103">
        <v>29030</v>
      </c>
      <c r="AG47" s="5" t="s">
        <v>6979</v>
      </c>
      <c r="AH47" s="3">
        <v>29309010111153</v>
      </c>
      <c r="AI47" s="103" t="s">
        <v>6966</v>
      </c>
      <c r="AJ47" s="77">
        <v>3</v>
      </c>
      <c r="AK47" s="77">
        <v>3</v>
      </c>
      <c r="AL47" s="77">
        <v>2.5</v>
      </c>
      <c r="AM47" s="77">
        <v>2.5</v>
      </c>
      <c r="AN47" s="77">
        <v>3</v>
      </c>
      <c r="AO47" s="103" t="s">
        <v>502</v>
      </c>
      <c r="AP47" s="44" t="s">
        <v>6999</v>
      </c>
    </row>
    <row r="48" spans="4:42">
      <c r="D48" s="103">
        <v>186</v>
      </c>
      <c r="E48" s="103">
        <v>28518</v>
      </c>
      <c r="F48" s="103" t="s">
        <v>6880</v>
      </c>
      <c r="G48" s="103" t="s">
        <v>34</v>
      </c>
      <c r="H48" s="103" t="s">
        <v>6881</v>
      </c>
      <c r="I48" s="103" t="s">
        <v>5714</v>
      </c>
      <c r="J48" s="103" t="s">
        <v>6816</v>
      </c>
      <c r="AE48" s="25">
        <v>189</v>
      </c>
      <c r="AF48" s="103">
        <v>29032</v>
      </c>
      <c r="AG48" s="5" t="s">
        <v>6969</v>
      </c>
      <c r="AH48" s="3">
        <v>29409050103361</v>
      </c>
      <c r="AI48" s="103" t="s">
        <v>6970</v>
      </c>
      <c r="AJ48" s="77">
        <v>3</v>
      </c>
      <c r="AK48" s="77">
        <v>2.5</v>
      </c>
      <c r="AL48" s="77">
        <v>2.5</v>
      </c>
      <c r="AM48" s="77">
        <v>2</v>
      </c>
      <c r="AN48" s="77">
        <v>3</v>
      </c>
      <c r="AO48" s="103" t="s">
        <v>502</v>
      </c>
      <c r="AP48" s="44" t="s">
        <v>7000</v>
      </c>
    </row>
    <row r="49" spans="4:42">
      <c r="D49" s="103">
        <v>186</v>
      </c>
      <c r="E49" s="103">
        <v>28519</v>
      </c>
      <c r="F49" s="103" t="s">
        <v>6882</v>
      </c>
      <c r="G49" s="103" t="s">
        <v>34</v>
      </c>
      <c r="H49" s="103" t="s">
        <v>6883</v>
      </c>
      <c r="I49" s="103" t="s">
        <v>59</v>
      </c>
      <c r="J49" s="103" t="s">
        <v>6816</v>
      </c>
      <c r="AG49" s="251" t="s">
        <v>7003</v>
      </c>
      <c r="AH49" s="238">
        <v>29702070300234</v>
      </c>
      <c r="AI49" s="252" t="s">
        <v>7007</v>
      </c>
      <c r="AJ49" s="250">
        <v>3</v>
      </c>
      <c r="AK49" s="250">
        <v>2.5</v>
      </c>
      <c r="AL49" s="250">
        <v>2</v>
      </c>
      <c r="AM49" s="250">
        <v>2.5</v>
      </c>
      <c r="AN49" s="250">
        <v>3</v>
      </c>
      <c r="AO49" s="103" t="s">
        <v>4212</v>
      </c>
      <c r="AP49" s="44" t="s">
        <v>7001</v>
      </c>
    </row>
    <row r="50" spans="4:42">
      <c r="D50" s="103">
        <v>187</v>
      </c>
      <c r="E50" s="103">
        <v>28525</v>
      </c>
      <c r="F50" s="103" t="s">
        <v>6889</v>
      </c>
      <c r="G50" s="103" t="s">
        <v>34</v>
      </c>
      <c r="H50" s="103" t="s">
        <v>6900</v>
      </c>
      <c r="I50" s="103" t="s">
        <v>59</v>
      </c>
      <c r="J50" s="103" t="s">
        <v>6816</v>
      </c>
      <c r="AG50" s="251" t="s">
        <v>7004</v>
      </c>
      <c r="AH50" s="238">
        <v>29708038800304</v>
      </c>
      <c r="AI50" s="252" t="s">
        <v>7008</v>
      </c>
      <c r="AO50" s="103" t="s">
        <v>4212</v>
      </c>
      <c r="AP50" s="44" t="s">
        <v>7002</v>
      </c>
    </row>
    <row r="51" spans="4:42">
      <c r="D51" s="103">
        <v>187</v>
      </c>
      <c r="E51" s="103">
        <v>28528</v>
      </c>
      <c r="F51" s="103" t="s">
        <v>6892</v>
      </c>
      <c r="G51" s="103" t="s">
        <v>34</v>
      </c>
      <c r="H51" s="103" t="s">
        <v>6903</v>
      </c>
      <c r="I51" s="103" t="s">
        <v>59</v>
      </c>
      <c r="J51" s="103" t="s">
        <v>6816</v>
      </c>
      <c r="AG51" s="253" t="s">
        <v>7005</v>
      </c>
      <c r="AH51" s="238">
        <v>29806150104347</v>
      </c>
      <c r="AI51" s="252" t="s">
        <v>7009</v>
      </c>
      <c r="AO51" s="103" t="s">
        <v>4212</v>
      </c>
      <c r="AP51" s="249" t="s">
        <v>7011</v>
      </c>
    </row>
    <row r="52" spans="4:42">
      <c r="D52" s="103">
        <v>187</v>
      </c>
      <c r="E52" s="103">
        <v>28529</v>
      </c>
      <c r="F52" s="103" t="s">
        <v>6894</v>
      </c>
      <c r="G52" s="103" t="s">
        <v>34</v>
      </c>
      <c r="H52" s="103" t="s">
        <v>6904</v>
      </c>
      <c r="I52" s="103" t="s">
        <v>5714</v>
      </c>
      <c r="J52" s="103" t="s">
        <v>6816</v>
      </c>
      <c r="AD52" s="256"/>
      <c r="AG52" s="251" t="s">
        <v>7006</v>
      </c>
      <c r="AH52" s="238">
        <v>29709082100529</v>
      </c>
      <c r="AI52" s="252" t="s">
        <v>7010</v>
      </c>
      <c r="AO52" s="103" t="s">
        <v>502</v>
      </c>
      <c r="AP52" s="249" t="s">
        <v>7012</v>
      </c>
    </row>
    <row r="53" spans="4:42">
      <c r="D53" s="103">
        <v>187</v>
      </c>
      <c r="E53" s="103">
        <v>28530</v>
      </c>
      <c r="F53" s="103" t="s">
        <v>6895</v>
      </c>
      <c r="G53" s="103" t="s">
        <v>34</v>
      </c>
      <c r="H53" s="103" t="s">
        <v>6905</v>
      </c>
      <c r="I53" s="103" t="s">
        <v>59</v>
      </c>
      <c r="J53" s="103" t="s">
        <v>6816</v>
      </c>
    </row>
    <row r="55" spans="4:42" ht="15.75">
      <c r="D55" s="245" t="s">
        <v>17</v>
      </c>
      <c r="E55" s="245" t="s">
        <v>0</v>
      </c>
      <c r="F55" s="245" t="s">
        <v>1</v>
      </c>
      <c r="G55" s="245" t="s">
        <v>6817</v>
      </c>
      <c r="H55" s="245" t="s">
        <v>6818</v>
      </c>
      <c r="I55" s="245" t="s">
        <v>151</v>
      </c>
      <c r="J55" s="245" t="s">
        <v>7082</v>
      </c>
      <c r="K55" s="245" t="s">
        <v>6779</v>
      </c>
    </row>
    <row r="56" spans="4:42">
      <c r="D56" s="103">
        <v>188</v>
      </c>
      <c r="E56" s="103">
        <v>28533</v>
      </c>
      <c r="F56" s="103" t="s">
        <v>6929</v>
      </c>
      <c r="G56" s="103" t="s">
        <v>34</v>
      </c>
      <c r="H56" s="103" t="s">
        <v>6930</v>
      </c>
      <c r="I56" s="103" t="s">
        <v>59</v>
      </c>
      <c r="J56" s="45">
        <v>44074</v>
      </c>
      <c r="K56" s="103"/>
    </row>
    <row r="57" spans="4:42">
      <c r="D57" s="103">
        <v>188</v>
      </c>
      <c r="E57" s="103">
        <v>28535</v>
      </c>
      <c r="F57" s="103" t="s">
        <v>6933</v>
      </c>
      <c r="G57" s="103" t="s">
        <v>34</v>
      </c>
      <c r="H57" s="103" t="s">
        <v>6934</v>
      </c>
      <c r="I57" s="103" t="s">
        <v>59</v>
      </c>
      <c r="J57" s="45">
        <v>44074</v>
      </c>
      <c r="K57" s="103"/>
    </row>
    <row r="58" spans="4:42">
      <c r="D58" s="103">
        <v>188</v>
      </c>
      <c r="E58" s="103">
        <v>28536</v>
      </c>
      <c r="F58" s="103" t="s">
        <v>6935</v>
      </c>
      <c r="G58" s="103" t="s">
        <v>34</v>
      </c>
      <c r="H58" s="103" t="s">
        <v>6936</v>
      </c>
      <c r="I58" s="103" t="s">
        <v>5714</v>
      </c>
      <c r="J58" s="45">
        <v>44074</v>
      </c>
      <c r="K58" s="103"/>
    </row>
    <row r="59" spans="4:42">
      <c r="D59" s="103">
        <v>188</v>
      </c>
      <c r="E59" s="103">
        <v>28538</v>
      </c>
      <c r="F59" s="103" t="s">
        <v>6940</v>
      </c>
      <c r="G59" s="103" t="s">
        <v>34</v>
      </c>
      <c r="H59" s="103" t="s">
        <v>6941</v>
      </c>
      <c r="I59" s="103" t="s">
        <v>59</v>
      </c>
      <c r="J59" s="45">
        <v>44074</v>
      </c>
      <c r="K59" s="103"/>
    </row>
    <row r="60" spans="4:42">
      <c r="D60" s="103">
        <v>189</v>
      </c>
      <c r="E60" s="103">
        <v>29025</v>
      </c>
      <c r="F60" s="103" t="s">
        <v>6955</v>
      </c>
      <c r="G60" s="103" t="s">
        <v>34</v>
      </c>
      <c r="H60" s="103" t="s">
        <v>6956</v>
      </c>
      <c r="I60" s="103" t="s">
        <v>59</v>
      </c>
      <c r="J60" s="45">
        <v>44081</v>
      </c>
      <c r="K60" s="103"/>
    </row>
    <row r="61" spans="4:42">
      <c r="D61" s="103">
        <v>189</v>
      </c>
      <c r="E61" s="103">
        <v>29028</v>
      </c>
      <c r="F61" s="103" t="s">
        <v>6962</v>
      </c>
      <c r="G61" s="103" t="s">
        <v>34</v>
      </c>
      <c r="H61" s="103" t="s">
        <v>6963</v>
      </c>
      <c r="I61" s="103" t="s">
        <v>5714</v>
      </c>
      <c r="J61" s="45">
        <v>44081</v>
      </c>
      <c r="K61" s="103"/>
    </row>
    <row r="62" spans="4:42">
      <c r="D62" s="103">
        <v>189</v>
      </c>
      <c r="E62" s="103">
        <v>29035</v>
      </c>
      <c r="F62" s="103" t="s">
        <v>6975</v>
      </c>
      <c r="G62" s="103" t="s">
        <v>34</v>
      </c>
      <c r="H62" s="103" t="s">
        <v>6976</v>
      </c>
      <c r="I62" s="103" t="s">
        <v>5714</v>
      </c>
      <c r="J62" s="45">
        <v>44081</v>
      </c>
      <c r="K62" s="103"/>
    </row>
    <row r="63" spans="4:42">
      <c r="D63" s="103">
        <v>189</v>
      </c>
      <c r="E63" s="103">
        <v>29036</v>
      </c>
      <c r="F63" s="103" t="s">
        <v>6977</v>
      </c>
      <c r="G63" s="103" t="s">
        <v>34</v>
      </c>
      <c r="H63" s="103" t="s">
        <v>6978</v>
      </c>
      <c r="I63" s="103" t="s">
        <v>59</v>
      </c>
      <c r="J63" s="45">
        <v>44081</v>
      </c>
      <c r="K63" s="103"/>
    </row>
    <row r="64" spans="4:42">
      <c r="D64" s="103">
        <v>190</v>
      </c>
      <c r="E64" s="103">
        <v>29040</v>
      </c>
      <c r="F64" s="103" t="s">
        <v>7015</v>
      </c>
      <c r="G64" s="103" t="s">
        <v>34</v>
      </c>
      <c r="H64" s="103" t="s">
        <v>7016</v>
      </c>
      <c r="I64" s="103" t="s">
        <v>5714</v>
      </c>
      <c r="J64" s="45">
        <v>44094</v>
      </c>
      <c r="K64" s="103"/>
    </row>
    <row r="65" spans="4:11">
      <c r="D65" s="103">
        <v>190</v>
      </c>
      <c r="E65" s="103">
        <v>29042</v>
      </c>
      <c r="F65" s="103" t="s">
        <v>7019</v>
      </c>
      <c r="G65" s="103" t="s">
        <v>34</v>
      </c>
      <c r="H65" s="103" t="s">
        <v>7020</v>
      </c>
      <c r="I65" s="103" t="s">
        <v>5714</v>
      </c>
      <c r="J65" s="45">
        <v>44094</v>
      </c>
      <c r="K65" s="103"/>
    </row>
    <row r="66" spans="4:11">
      <c r="D66" s="103">
        <v>190</v>
      </c>
      <c r="E66" s="103">
        <v>29046</v>
      </c>
      <c r="F66" s="103" t="s">
        <v>7027</v>
      </c>
      <c r="G66" s="103" t="s">
        <v>34</v>
      </c>
      <c r="H66" s="103" t="s">
        <v>7028</v>
      </c>
      <c r="I66" s="103" t="s">
        <v>5714</v>
      </c>
      <c r="J66" s="45">
        <v>44094</v>
      </c>
      <c r="K66" s="103"/>
    </row>
    <row r="67" spans="4:11">
      <c r="D67" s="103">
        <v>190</v>
      </c>
      <c r="E67" s="103">
        <v>29050</v>
      </c>
      <c r="F67" s="103" t="s">
        <v>7036</v>
      </c>
      <c r="G67" s="103" t="s">
        <v>34</v>
      </c>
      <c r="H67" s="103" t="s">
        <v>7037</v>
      </c>
      <c r="I67" s="103" t="s">
        <v>59</v>
      </c>
      <c r="J67" s="45">
        <v>44094</v>
      </c>
      <c r="K67" s="103"/>
    </row>
    <row r="68" spans="4:11">
      <c r="D68" s="103">
        <v>191</v>
      </c>
      <c r="E68" s="103">
        <v>29059</v>
      </c>
      <c r="F68" s="103" t="s">
        <v>7049</v>
      </c>
      <c r="G68" s="103" t="s">
        <v>34</v>
      </c>
      <c r="H68" s="103" t="s">
        <v>7050</v>
      </c>
      <c r="I68" s="103" t="s">
        <v>5714</v>
      </c>
      <c r="J68" s="45">
        <v>44096</v>
      </c>
      <c r="K68" s="103"/>
    </row>
    <row r="69" spans="4:11">
      <c r="D69" s="103">
        <v>191</v>
      </c>
      <c r="E69" s="103">
        <v>29061</v>
      </c>
      <c r="F69" s="103" t="s">
        <v>7053</v>
      </c>
      <c r="G69" s="103" t="s">
        <v>34</v>
      </c>
      <c r="H69" s="103" t="s">
        <v>7054</v>
      </c>
      <c r="I69" s="103" t="s">
        <v>59</v>
      </c>
      <c r="J69" s="45">
        <v>44096</v>
      </c>
      <c r="K69" s="103"/>
    </row>
    <row r="70" spans="4:11">
      <c r="D70" s="103">
        <v>191</v>
      </c>
      <c r="E70" s="103">
        <v>29064</v>
      </c>
      <c r="F70" s="103" t="s">
        <v>7061</v>
      </c>
      <c r="G70" s="103" t="s">
        <v>34</v>
      </c>
      <c r="H70" s="103" t="s">
        <v>7062</v>
      </c>
      <c r="I70" s="103" t="s">
        <v>59</v>
      </c>
      <c r="J70" s="45">
        <v>44096</v>
      </c>
      <c r="K70" s="103"/>
    </row>
    <row r="71" spans="4:11">
      <c r="D71" s="103">
        <v>191</v>
      </c>
      <c r="E71" s="103">
        <v>29065</v>
      </c>
      <c r="F71" s="103" t="s">
        <v>7064</v>
      </c>
      <c r="G71" s="103" t="s">
        <v>34</v>
      </c>
      <c r="H71" s="103" t="s">
        <v>7065</v>
      </c>
      <c r="I71" s="103" t="s">
        <v>59</v>
      </c>
      <c r="J71" s="45">
        <v>44096</v>
      </c>
      <c r="K71" s="103"/>
    </row>
    <row r="73" spans="4:11" ht="15.75">
      <c r="D73" s="245" t="s">
        <v>17</v>
      </c>
      <c r="E73" s="245" t="s">
        <v>0</v>
      </c>
      <c r="F73" s="245" t="s">
        <v>1</v>
      </c>
      <c r="G73" s="245" t="s">
        <v>6817</v>
      </c>
      <c r="H73" s="245" t="s">
        <v>6818</v>
      </c>
      <c r="I73" s="245" t="s">
        <v>151</v>
      </c>
      <c r="J73" s="245" t="s">
        <v>7082</v>
      </c>
      <c r="K73" s="245" t="s">
        <v>6779</v>
      </c>
    </row>
    <row r="74" spans="4:11">
      <c r="D74" s="103">
        <v>192</v>
      </c>
      <c r="E74" s="103">
        <v>29076</v>
      </c>
      <c r="F74" s="103" t="s">
        <v>7088</v>
      </c>
      <c r="G74" s="103" t="s">
        <v>34</v>
      </c>
      <c r="H74" s="103" t="s">
        <v>7089</v>
      </c>
      <c r="I74" s="103" t="s">
        <v>5714</v>
      </c>
      <c r="J74" s="45">
        <v>44098</v>
      </c>
      <c r="K74" s="149"/>
    </row>
    <row r="75" spans="4:11">
      <c r="D75" s="103">
        <v>192</v>
      </c>
      <c r="E75" s="103">
        <v>29080</v>
      </c>
      <c r="F75" s="103" t="s">
        <v>7096</v>
      </c>
      <c r="G75" s="103" t="s">
        <v>34</v>
      </c>
      <c r="H75" s="103" t="s">
        <v>7097</v>
      </c>
      <c r="I75" s="103" t="s">
        <v>59</v>
      </c>
      <c r="J75" s="45">
        <v>44098</v>
      </c>
      <c r="K75" s="149"/>
    </row>
    <row r="76" spans="4:11">
      <c r="D76" s="103">
        <v>192</v>
      </c>
      <c r="E76" s="103">
        <v>29082</v>
      </c>
      <c r="F76" s="103" t="s">
        <v>7100</v>
      </c>
      <c r="G76" s="103" t="s">
        <v>34</v>
      </c>
      <c r="H76" s="103" t="s">
        <v>7101</v>
      </c>
      <c r="I76" s="103" t="s">
        <v>59</v>
      </c>
      <c r="J76" s="45">
        <v>44098</v>
      </c>
      <c r="K76" s="149"/>
    </row>
    <row r="77" spans="4:11">
      <c r="D77" s="103">
        <v>192</v>
      </c>
      <c r="E77" s="103">
        <v>29021</v>
      </c>
      <c r="F77" s="103" t="s">
        <v>6852</v>
      </c>
      <c r="G77" s="103" t="s">
        <v>34</v>
      </c>
      <c r="H77" s="103" t="s">
        <v>6853</v>
      </c>
      <c r="I77" s="103" t="s">
        <v>59</v>
      </c>
      <c r="J77" s="45">
        <v>44098</v>
      </c>
      <c r="K77" s="149"/>
    </row>
  </sheetData>
  <mergeCells count="1">
    <mergeCell ref="O10:S10"/>
  </mergeCells>
  <conditionalFormatting sqref="S11">
    <cfRule type="containsText" dxfId="1277" priority="13691" operator="containsText" text="B1">
      <formula>NOT(ISERROR(SEARCH("B1",S11)))</formula>
    </cfRule>
    <cfRule type="containsText" dxfId="1276" priority="13692" operator="containsText" text="A2">
      <formula>NOT(ISERROR(SEARCH("A2",S11)))</formula>
    </cfRule>
    <cfRule type="containsText" dxfId="1275" priority="13693" operator="containsText" text="Domestic">
      <formula>NOT(ISERROR(SEARCH("Domestic",S11)))</formula>
    </cfRule>
    <cfRule type="containsText" dxfId="1274" priority="13694" operator="containsText" text="Re-join">
      <formula>NOT(ISERROR(SEARCH("Re-join",S11)))</formula>
    </cfRule>
    <cfRule type="containsText" dxfId="1273" priority="13695" operator="containsText" text="Resigned">
      <formula>NOT(ISERROR(SEARCH("Resigned",S11)))</formula>
    </cfRule>
    <cfRule type="containsText" dxfId="1272" priority="13696" operator="containsText" text="Dismissed">
      <formula>NOT(ISERROR(SEARCH("Dismissed",S11)))</formula>
    </cfRule>
    <cfRule type="containsText" dxfId="1271" priority="13697" operator="containsText" text="Nearshore">
      <formula>NOT(ISERROR(SEARCH("Nearshore",S11)))</formula>
    </cfRule>
    <cfRule type="containsText" dxfId="1270" priority="13698" operator="containsText" text="Freedom">
      <formula>NOT(ISERROR(SEARCH("Freedom",S11)))</formula>
    </cfRule>
    <cfRule type="containsText" dxfId="1269" priority="13699" operator="containsText" text="WU">
      <formula>NOT(ISERROR(SEARCH("WU",S11)))</formula>
    </cfRule>
    <cfRule type="containsText" dxfId="1268" priority="13700" operator="containsText" text="Expedia">
      <formula>NOT(ISERROR(SEARCH("Expedia",S11)))</formula>
    </cfRule>
  </conditionalFormatting>
  <conditionalFormatting sqref="S11">
    <cfRule type="containsText" dxfId="1267" priority="13690" operator="containsText" text="Du Enterprise">
      <formula>NOT(ISERROR(SEARCH("Du Enterprise",S11)))</formula>
    </cfRule>
  </conditionalFormatting>
  <conditionalFormatting sqref="Q11">
    <cfRule type="containsText" dxfId="1266" priority="13680" operator="containsText" text="B1">
      <formula>NOT(ISERROR(SEARCH("B1",Q11)))</formula>
    </cfRule>
    <cfRule type="containsText" dxfId="1265" priority="13681" operator="containsText" text="A2">
      <formula>NOT(ISERROR(SEARCH("A2",Q11)))</formula>
    </cfRule>
    <cfRule type="containsText" dxfId="1264" priority="13682" operator="containsText" text="Domestic">
      <formula>NOT(ISERROR(SEARCH("Domestic",Q11)))</formula>
    </cfRule>
    <cfRule type="containsText" dxfId="1263" priority="13683" operator="containsText" text="Re-join">
      <formula>NOT(ISERROR(SEARCH("Re-join",Q11)))</formula>
    </cfRule>
    <cfRule type="containsText" dxfId="1262" priority="13684" operator="containsText" text="Resigned">
      <formula>NOT(ISERROR(SEARCH("Resigned",Q11)))</formula>
    </cfRule>
    <cfRule type="containsText" dxfId="1261" priority="13685" operator="containsText" text="Dismissed">
      <formula>NOT(ISERROR(SEARCH("Dismissed",Q11)))</formula>
    </cfRule>
    <cfRule type="containsText" dxfId="1260" priority="13686" operator="containsText" text="Nearshore">
      <formula>NOT(ISERROR(SEARCH("Nearshore",Q11)))</formula>
    </cfRule>
    <cfRule type="containsText" dxfId="1259" priority="13687" operator="containsText" text="Freedom">
      <formula>NOT(ISERROR(SEARCH("Freedom",Q11)))</formula>
    </cfRule>
    <cfRule type="containsText" dxfId="1258" priority="13688" operator="containsText" text="WU">
      <formula>NOT(ISERROR(SEARCH("WU",Q11)))</formula>
    </cfRule>
    <cfRule type="containsText" dxfId="1257" priority="13689" operator="containsText" text="Expedia">
      <formula>NOT(ISERROR(SEARCH("Expedia",Q11)))</formula>
    </cfRule>
  </conditionalFormatting>
  <conditionalFormatting sqref="Q11">
    <cfRule type="containsText" dxfId="1256" priority="13679" operator="containsText" text="Du Enterprise">
      <formula>NOT(ISERROR(SEARCH("Du Enterprise",Q11)))</formula>
    </cfRule>
  </conditionalFormatting>
  <conditionalFormatting sqref="AA6">
    <cfRule type="containsText" dxfId="1255" priority="9992" operator="containsText" text="B1">
      <formula>NOT(ISERROR(SEARCH("B1",AA6)))</formula>
    </cfRule>
    <cfRule type="containsText" dxfId="1254" priority="9993" operator="containsText" text="A2">
      <formula>NOT(ISERROR(SEARCH("A2",AA6)))</formula>
    </cfRule>
    <cfRule type="containsText" dxfId="1253" priority="9994" operator="containsText" text="Domestic">
      <formula>NOT(ISERROR(SEARCH("Domestic",AA6)))</formula>
    </cfRule>
    <cfRule type="containsText" dxfId="1252" priority="9995" operator="containsText" text="Re-join">
      <formula>NOT(ISERROR(SEARCH("Re-join",AA6)))</formula>
    </cfRule>
    <cfRule type="containsText" dxfId="1251" priority="9996" operator="containsText" text="Resigned">
      <formula>NOT(ISERROR(SEARCH("Resigned",AA6)))</formula>
    </cfRule>
    <cfRule type="containsText" dxfId="1250" priority="9997" operator="containsText" text="Dismissed">
      <formula>NOT(ISERROR(SEARCH("Dismissed",AA6)))</formula>
    </cfRule>
    <cfRule type="containsText" dxfId="1249" priority="9998" operator="containsText" text="Nearshore">
      <formula>NOT(ISERROR(SEARCH("Nearshore",AA6)))</formula>
    </cfRule>
    <cfRule type="containsText" dxfId="1248" priority="9999" operator="containsText" text="Freedom">
      <formula>NOT(ISERROR(SEARCH("Freedom",AA6)))</formula>
    </cfRule>
    <cfRule type="containsText" dxfId="1247" priority="10000" operator="containsText" text="WU">
      <formula>NOT(ISERROR(SEARCH("WU",AA6)))</formula>
    </cfRule>
    <cfRule type="containsText" dxfId="1246" priority="10001" operator="containsText" text="Expedia">
      <formula>NOT(ISERROR(SEARCH("Expedia",AA6)))</formula>
    </cfRule>
  </conditionalFormatting>
  <conditionalFormatting sqref="AA6">
    <cfRule type="containsText" dxfId="1245" priority="9991" operator="containsText" text="Du Enterprise">
      <formula>NOT(ISERROR(SEARCH("Du Enterprise",AA6)))</formula>
    </cfRule>
  </conditionalFormatting>
  <conditionalFormatting sqref="J9">
    <cfRule type="containsText" dxfId="1244" priority="9839" operator="containsText" text="No">
      <formula>NOT(ISERROR(SEARCH("No",J9)))</formula>
    </cfRule>
    <cfRule type="containsText" dxfId="1243" priority="9840" operator="containsText" text="Yes">
      <formula>NOT(ISERROR(SEARCH("Yes",J9)))</formula>
    </cfRule>
  </conditionalFormatting>
  <conditionalFormatting sqref="H54 H1:H2 H8 H72 H78:H1048576">
    <cfRule type="duplicateValues" dxfId="1242" priority="26707"/>
  </conditionalFormatting>
  <conditionalFormatting sqref="J12">
    <cfRule type="containsText" dxfId="1241" priority="4748" operator="containsText" text="No">
      <formula>NOT(ISERROR(SEARCH("No",J12)))</formula>
    </cfRule>
    <cfRule type="containsText" dxfId="1240" priority="4749" operator="containsText" text="Yes">
      <formula>NOT(ISERROR(SEARCH("Yes",J12)))</formula>
    </cfRule>
  </conditionalFormatting>
  <conditionalFormatting sqref="J27">
    <cfRule type="containsText" dxfId="1239" priority="4746" operator="containsText" text="No">
      <formula>NOT(ISERROR(SEARCH("No",J27)))</formula>
    </cfRule>
    <cfRule type="containsText" dxfId="1238" priority="4747" operator="containsText" text="Yes">
      <formula>NOT(ISERROR(SEARCH("Yes",J27)))</formula>
    </cfRule>
  </conditionalFormatting>
  <conditionalFormatting sqref="J5">
    <cfRule type="containsText" dxfId="1237" priority="4744" operator="containsText" text="No">
      <formula>NOT(ISERROR(SEARCH("No",J5)))</formula>
    </cfRule>
    <cfRule type="containsText" dxfId="1236" priority="4745" operator="containsText" text="Yes">
      <formula>NOT(ISERROR(SEARCH("Yes",J5)))</formula>
    </cfRule>
  </conditionalFormatting>
  <conditionalFormatting sqref="F6">
    <cfRule type="duplicateValues" dxfId="1235" priority="2611"/>
  </conditionalFormatting>
  <conditionalFormatting sqref="E6">
    <cfRule type="duplicateValues" dxfId="1234" priority="2610"/>
  </conditionalFormatting>
  <conditionalFormatting sqref="H6">
    <cfRule type="duplicateValues" dxfId="1233" priority="2609"/>
  </conditionalFormatting>
  <conditionalFormatting sqref="I6">
    <cfRule type="containsText" dxfId="1232" priority="2599" operator="containsText" text="B1">
      <formula>NOT(ISERROR(SEARCH("B1",I6)))</formula>
    </cfRule>
    <cfRule type="containsText" dxfId="1231" priority="2600" operator="containsText" text="A2">
      <formula>NOT(ISERROR(SEARCH("A2",I6)))</formula>
    </cfRule>
    <cfRule type="containsText" dxfId="1230" priority="2601" operator="containsText" text="Domestic">
      <formula>NOT(ISERROR(SEARCH("Domestic",I6)))</formula>
    </cfRule>
    <cfRule type="containsText" dxfId="1229" priority="2602" operator="containsText" text="Re-join">
      <formula>NOT(ISERROR(SEARCH("Re-join",I6)))</formula>
    </cfRule>
    <cfRule type="containsText" dxfId="1228" priority="2603" operator="containsText" text="Resigned">
      <formula>NOT(ISERROR(SEARCH("Resigned",I6)))</formula>
    </cfRule>
    <cfRule type="containsText" dxfId="1227" priority="2604" operator="containsText" text="Dismissed">
      <formula>NOT(ISERROR(SEARCH("Dismissed",I6)))</formula>
    </cfRule>
    <cfRule type="containsText" dxfId="1226" priority="2605" operator="containsText" text="Nearshore">
      <formula>NOT(ISERROR(SEARCH("Nearshore",I6)))</formula>
    </cfRule>
    <cfRule type="containsText" dxfId="1225" priority="2606" operator="containsText" text="Freedom">
      <formula>NOT(ISERROR(SEARCH("Freedom",I6)))</formula>
    </cfRule>
    <cfRule type="containsText" dxfId="1224" priority="2607" operator="containsText" text="WU">
      <formula>NOT(ISERROR(SEARCH("WU",I6)))</formula>
    </cfRule>
    <cfRule type="containsText" dxfId="1223" priority="2608" operator="containsText" text="Expedia">
      <formula>NOT(ISERROR(SEARCH("Expedia",I6)))</formula>
    </cfRule>
  </conditionalFormatting>
  <conditionalFormatting sqref="I6">
    <cfRule type="containsText" dxfId="1222" priority="2598" operator="containsText" text="Du Enterprise">
      <formula>NOT(ISERROR(SEARCH("Du Enterprise",I6)))</formula>
    </cfRule>
  </conditionalFormatting>
  <conditionalFormatting sqref="F7">
    <cfRule type="duplicateValues" dxfId="1221" priority="1876"/>
  </conditionalFormatting>
  <conditionalFormatting sqref="E7">
    <cfRule type="duplicateValues" dxfId="1220" priority="1875"/>
  </conditionalFormatting>
  <conditionalFormatting sqref="H7">
    <cfRule type="duplicateValues" dxfId="1219" priority="1874"/>
  </conditionalFormatting>
  <conditionalFormatting sqref="I7">
    <cfRule type="containsText" dxfId="1218" priority="1864" operator="containsText" text="B1">
      <formula>NOT(ISERROR(SEARCH("B1",I7)))</formula>
    </cfRule>
    <cfRule type="containsText" dxfId="1217" priority="1865" operator="containsText" text="A2">
      <formula>NOT(ISERROR(SEARCH("A2",I7)))</formula>
    </cfRule>
    <cfRule type="containsText" dxfId="1216" priority="1866" operator="containsText" text="Domestic">
      <formula>NOT(ISERROR(SEARCH("Domestic",I7)))</formula>
    </cfRule>
    <cfRule type="containsText" dxfId="1215" priority="1867" operator="containsText" text="Re-join">
      <formula>NOT(ISERROR(SEARCH("Re-join",I7)))</formula>
    </cfRule>
    <cfRule type="containsText" dxfId="1214" priority="1868" operator="containsText" text="Resigned">
      <formula>NOT(ISERROR(SEARCH("Resigned",I7)))</formula>
    </cfRule>
    <cfRule type="containsText" dxfId="1213" priority="1869" operator="containsText" text="Dismissed">
      <formula>NOT(ISERROR(SEARCH("Dismissed",I7)))</formula>
    </cfRule>
    <cfRule type="containsText" dxfId="1212" priority="1870" operator="containsText" text="Nearshore">
      <formula>NOT(ISERROR(SEARCH("Nearshore",I7)))</formula>
    </cfRule>
    <cfRule type="containsText" dxfId="1211" priority="1871" operator="containsText" text="Freedom">
      <formula>NOT(ISERROR(SEARCH("Freedom",I7)))</formula>
    </cfRule>
    <cfRule type="containsText" dxfId="1210" priority="1872" operator="containsText" text="WU">
      <formula>NOT(ISERROR(SEARCH("WU",I7)))</formula>
    </cfRule>
    <cfRule type="containsText" dxfId="1209" priority="1873" operator="containsText" text="Expedia">
      <formula>NOT(ISERROR(SEARCH("Expedia",I7)))</formula>
    </cfRule>
  </conditionalFormatting>
  <conditionalFormatting sqref="I7">
    <cfRule type="containsText" dxfId="1208" priority="1863" operator="containsText" text="Du Enterprise">
      <formula>NOT(ISERROR(SEARCH("Du Enterprise",I7)))</formula>
    </cfRule>
  </conditionalFormatting>
  <conditionalFormatting sqref="I41">
    <cfRule type="containsText" dxfId="1207" priority="1695" operator="containsText" text="B1">
      <formula>NOT(ISERROR(SEARCH("B1",I41)))</formula>
    </cfRule>
    <cfRule type="containsText" dxfId="1206" priority="1696" operator="containsText" text="A2">
      <formula>NOT(ISERROR(SEARCH("A2",I41)))</formula>
    </cfRule>
    <cfRule type="containsText" dxfId="1205" priority="1697" operator="containsText" text="Domestic">
      <formula>NOT(ISERROR(SEARCH("Domestic",I41)))</formula>
    </cfRule>
    <cfRule type="containsText" dxfId="1204" priority="1698" operator="containsText" text="Re-join">
      <formula>NOT(ISERROR(SEARCH("Re-join",I41)))</formula>
    </cfRule>
    <cfRule type="containsText" dxfId="1203" priority="1699" operator="containsText" text="Resigned">
      <formula>NOT(ISERROR(SEARCH("Resigned",I41)))</formula>
    </cfRule>
    <cfRule type="containsText" dxfId="1202" priority="1700" operator="containsText" text="Dismissed">
      <formula>NOT(ISERROR(SEARCH("Dismissed",I41)))</formula>
    </cfRule>
    <cfRule type="containsText" dxfId="1201" priority="1701" operator="containsText" text="Nearshore">
      <formula>NOT(ISERROR(SEARCH("Nearshore",I41)))</formula>
    </cfRule>
    <cfRule type="containsText" dxfId="1200" priority="1702" operator="containsText" text="Freedom">
      <formula>NOT(ISERROR(SEARCH("Freedom",I41)))</formula>
    </cfRule>
    <cfRule type="containsText" dxfId="1199" priority="1703" operator="containsText" text="WU">
      <formula>NOT(ISERROR(SEARCH("WU",I41)))</formula>
    </cfRule>
    <cfRule type="containsText" dxfId="1198" priority="1704" operator="containsText" text="Expedia">
      <formula>NOT(ISERROR(SEARCH("Expedia",I41)))</formula>
    </cfRule>
  </conditionalFormatting>
  <conditionalFormatting sqref="I41">
    <cfRule type="containsText" dxfId="1197" priority="1694" operator="containsText" text="Du Enterprise">
      <formula>NOT(ISERROR(SEARCH("Du Enterprise",I41)))</formula>
    </cfRule>
  </conditionalFormatting>
  <conditionalFormatting sqref="J41">
    <cfRule type="containsText" dxfId="1196" priority="1684" operator="containsText" text="B1">
      <formula>NOT(ISERROR(SEARCH("B1",J41)))</formula>
    </cfRule>
    <cfRule type="containsText" dxfId="1195" priority="1685" operator="containsText" text="A2">
      <formula>NOT(ISERROR(SEARCH("A2",J41)))</formula>
    </cfRule>
    <cfRule type="containsText" dxfId="1194" priority="1686" operator="containsText" text="Domestic">
      <formula>NOT(ISERROR(SEARCH("Domestic",J41)))</formula>
    </cfRule>
    <cfRule type="containsText" dxfId="1193" priority="1687" operator="containsText" text="Re-join">
      <formula>NOT(ISERROR(SEARCH("Re-join",J41)))</formula>
    </cfRule>
    <cfRule type="containsText" dxfId="1192" priority="1688" operator="containsText" text="Resigned">
      <formula>NOT(ISERROR(SEARCH("Resigned",J41)))</formula>
    </cfRule>
    <cfRule type="containsText" dxfId="1191" priority="1689" operator="containsText" text="Dismissed">
      <formula>NOT(ISERROR(SEARCH("Dismissed",J41)))</formula>
    </cfRule>
    <cfRule type="containsText" dxfId="1190" priority="1690" operator="containsText" text="Nearshore">
      <formula>NOT(ISERROR(SEARCH("Nearshore",J41)))</formula>
    </cfRule>
    <cfRule type="containsText" dxfId="1189" priority="1691" operator="containsText" text="Freedom">
      <formula>NOT(ISERROR(SEARCH("Freedom",J41)))</formula>
    </cfRule>
    <cfRule type="containsText" dxfId="1188" priority="1692" operator="containsText" text="WU">
      <formula>NOT(ISERROR(SEARCH("WU",J41)))</formula>
    </cfRule>
    <cfRule type="containsText" dxfId="1187" priority="1693" operator="containsText" text="Expedia">
      <formula>NOT(ISERROR(SEARCH("Expedia",J41)))</formula>
    </cfRule>
  </conditionalFormatting>
  <conditionalFormatting sqref="J41">
    <cfRule type="containsText" dxfId="1186" priority="1683" operator="containsText" text="Du Enterprise">
      <formula>NOT(ISERROR(SEARCH("Du Enterprise",J41)))</formula>
    </cfRule>
  </conditionalFormatting>
  <conditionalFormatting sqref="F41">
    <cfRule type="duplicateValues" dxfId="1185" priority="1708"/>
  </conditionalFormatting>
  <conditionalFormatting sqref="E41:F41">
    <cfRule type="duplicateValues" dxfId="1184" priority="1707"/>
  </conditionalFormatting>
  <conditionalFormatting sqref="F41">
    <cfRule type="duplicateValues" dxfId="1183" priority="1706"/>
  </conditionalFormatting>
  <conditionalFormatting sqref="F41">
    <cfRule type="duplicateValues" dxfId="1182" priority="1705"/>
  </conditionalFormatting>
  <conditionalFormatting sqref="H41">
    <cfRule type="duplicateValues" dxfId="1181" priority="1709"/>
  </conditionalFormatting>
  <conditionalFormatting sqref="F42">
    <cfRule type="duplicateValues" dxfId="1180" priority="1682"/>
  </conditionalFormatting>
  <conditionalFormatting sqref="E42">
    <cfRule type="duplicateValues" dxfId="1179" priority="1681"/>
  </conditionalFormatting>
  <conditionalFormatting sqref="H42">
    <cfRule type="duplicateValues" dxfId="1178" priority="1680"/>
  </conditionalFormatting>
  <conditionalFormatting sqref="I42">
    <cfRule type="containsText" dxfId="1177" priority="1670" operator="containsText" text="B1">
      <formula>NOT(ISERROR(SEARCH("B1",I42)))</formula>
    </cfRule>
    <cfRule type="containsText" dxfId="1176" priority="1671" operator="containsText" text="A2">
      <formula>NOT(ISERROR(SEARCH("A2",I42)))</formula>
    </cfRule>
    <cfRule type="containsText" dxfId="1175" priority="1672" operator="containsText" text="Domestic">
      <formula>NOT(ISERROR(SEARCH("Domestic",I42)))</formula>
    </cfRule>
    <cfRule type="containsText" dxfId="1174" priority="1673" operator="containsText" text="Re-join">
      <formula>NOT(ISERROR(SEARCH("Re-join",I42)))</formula>
    </cfRule>
    <cfRule type="containsText" dxfId="1173" priority="1674" operator="containsText" text="Resigned">
      <formula>NOT(ISERROR(SEARCH("Resigned",I42)))</formula>
    </cfRule>
    <cfRule type="containsText" dxfId="1172" priority="1675" operator="containsText" text="Dismissed">
      <formula>NOT(ISERROR(SEARCH("Dismissed",I42)))</formula>
    </cfRule>
    <cfRule type="containsText" dxfId="1171" priority="1676" operator="containsText" text="Nearshore">
      <formula>NOT(ISERROR(SEARCH("Nearshore",I42)))</formula>
    </cfRule>
    <cfRule type="containsText" dxfId="1170" priority="1677" operator="containsText" text="Freedom">
      <formula>NOT(ISERROR(SEARCH("Freedom",I42)))</formula>
    </cfRule>
    <cfRule type="containsText" dxfId="1169" priority="1678" operator="containsText" text="WU">
      <formula>NOT(ISERROR(SEARCH("WU",I42)))</formula>
    </cfRule>
    <cfRule type="containsText" dxfId="1168" priority="1679" operator="containsText" text="Expedia">
      <formula>NOT(ISERROR(SEARCH("Expedia",I42)))</formula>
    </cfRule>
  </conditionalFormatting>
  <conditionalFormatting sqref="I42">
    <cfRule type="containsText" dxfId="1167" priority="1669" operator="containsText" text="Du Enterprise">
      <formula>NOT(ISERROR(SEARCH("Du Enterprise",I42)))</formula>
    </cfRule>
  </conditionalFormatting>
  <conditionalFormatting sqref="F43">
    <cfRule type="duplicateValues" dxfId="1166" priority="1668"/>
  </conditionalFormatting>
  <conditionalFormatting sqref="E43">
    <cfRule type="duplicateValues" dxfId="1165" priority="1667"/>
  </conditionalFormatting>
  <conditionalFormatting sqref="H43">
    <cfRule type="duplicateValues" dxfId="1164" priority="1666"/>
  </conditionalFormatting>
  <conditionalFormatting sqref="I43">
    <cfRule type="containsText" dxfId="1163" priority="1656" operator="containsText" text="B1">
      <formula>NOT(ISERROR(SEARCH("B1",I43)))</formula>
    </cfRule>
    <cfRule type="containsText" dxfId="1162" priority="1657" operator="containsText" text="A2">
      <formula>NOT(ISERROR(SEARCH("A2",I43)))</formula>
    </cfRule>
    <cfRule type="containsText" dxfId="1161" priority="1658" operator="containsText" text="Domestic">
      <formula>NOT(ISERROR(SEARCH("Domestic",I43)))</formula>
    </cfRule>
    <cfRule type="containsText" dxfId="1160" priority="1659" operator="containsText" text="Re-join">
      <formula>NOT(ISERROR(SEARCH("Re-join",I43)))</formula>
    </cfRule>
    <cfRule type="containsText" dxfId="1159" priority="1660" operator="containsText" text="Resigned">
      <formula>NOT(ISERROR(SEARCH("Resigned",I43)))</formula>
    </cfRule>
    <cfRule type="containsText" dxfId="1158" priority="1661" operator="containsText" text="Dismissed">
      <formula>NOT(ISERROR(SEARCH("Dismissed",I43)))</formula>
    </cfRule>
    <cfRule type="containsText" dxfId="1157" priority="1662" operator="containsText" text="Nearshore">
      <formula>NOT(ISERROR(SEARCH("Nearshore",I43)))</formula>
    </cfRule>
    <cfRule type="containsText" dxfId="1156" priority="1663" operator="containsText" text="Freedom">
      <formula>NOT(ISERROR(SEARCH("Freedom",I43)))</formula>
    </cfRule>
    <cfRule type="containsText" dxfId="1155" priority="1664" operator="containsText" text="WU">
      <formula>NOT(ISERROR(SEARCH("WU",I43)))</formula>
    </cfRule>
    <cfRule type="containsText" dxfId="1154" priority="1665" operator="containsText" text="Expedia">
      <formula>NOT(ISERROR(SEARCH("Expedia",I43)))</formula>
    </cfRule>
  </conditionalFormatting>
  <conditionalFormatting sqref="I43">
    <cfRule type="containsText" dxfId="1153" priority="1655" operator="containsText" text="Du Enterprise">
      <formula>NOT(ISERROR(SEARCH("Du Enterprise",I43)))</formula>
    </cfRule>
  </conditionalFormatting>
  <conditionalFormatting sqref="F44">
    <cfRule type="duplicateValues" dxfId="1152" priority="1654"/>
  </conditionalFormatting>
  <conditionalFormatting sqref="E44">
    <cfRule type="duplicateValues" dxfId="1151" priority="1653"/>
  </conditionalFormatting>
  <conditionalFormatting sqref="H44">
    <cfRule type="duplicateValues" dxfId="1150" priority="1652"/>
  </conditionalFormatting>
  <conditionalFormatting sqref="I44">
    <cfRule type="containsText" dxfId="1149" priority="1642" operator="containsText" text="B1">
      <formula>NOT(ISERROR(SEARCH("B1",I44)))</formula>
    </cfRule>
    <cfRule type="containsText" dxfId="1148" priority="1643" operator="containsText" text="A2">
      <formula>NOT(ISERROR(SEARCH("A2",I44)))</formula>
    </cfRule>
    <cfRule type="containsText" dxfId="1147" priority="1644" operator="containsText" text="Domestic">
      <formula>NOT(ISERROR(SEARCH("Domestic",I44)))</formula>
    </cfRule>
    <cfRule type="containsText" dxfId="1146" priority="1645" operator="containsText" text="Re-join">
      <formula>NOT(ISERROR(SEARCH("Re-join",I44)))</formula>
    </cfRule>
    <cfRule type="containsText" dxfId="1145" priority="1646" operator="containsText" text="Resigned">
      <formula>NOT(ISERROR(SEARCH("Resigned",I44)))</formula>
    </cfRule>
    <cfRule type="containsText" dxfId="1144" priority="1647" operator="containsText" text="Dismissed">
      <formula>NOT(ISERROR(SEARCH("Dismissed",I44)))</formula>
    </cfRule>
    <cfRule type="containsText" dxfId="1143" priority="1648" operator="containsText" text="Nearshore">
      <formula>NOT(ISERROR(SEARCH("Nearshore",I44)))</formula>
    </cfRule>
    <cfRule type="containsText" dxfId="1142" priority="1649" operator="containsText" text="Freedom">
      <formula>NOT(ISERROR(SEARCH("Freedom",I44)))</formula>
    </cfRule>
    <cfRule type="containsText" dxfId="1141" priority="1650" operator="containsText" text="WU">
      <formula>NOT(ISERROR(SEARCH("WU",I44)))</formula>
    </cfRule>
    <cfRule type="containsText" dxfId="1140" priority="1651" operator="containsText" text="Expedia">
      <formula>NOT(ISERROR(SEARCH("Expedia",I44)))</formula>
    </cfRule>
  </conditionalFormatting>
  <conditionalFormatting sqref="I44">
    <cfRule type="containsText" dxfId="1139" priority="1641" operator="containsText" text="Du Enterprise">
      <formula>NOT(ISERROR(SEARCH("Du Enterprise",I44)))</formula>
    </cfRule>
  </conditionalFormatting>
  <conditionalFormatting sqref="F45">
    <cfRule type="duplicateValues" dxfId="1138" priority="1640"/>
  </conditionalFormatting>
  <conditionalFormatting sqref="E45">
    <cfRule type="duplicateValues" dxfId="1137" priority="1639"/>
  </conditionalFormatting>
  <conditionalFormatting sqref="H45">
    <cfRule type="duplicateValues" dxfId="1136" priority="1638"/>
  </conditionalFormatting>
  <conditionalFormatting sqref="I45">
    <cfRule type="containsText" dxfId="1135" priority="1628" operator="containsText" text="B1">
      <formula>NOT(ISERROR(SEARCH("B1",I45)))</formula>
    </cfRule>
    <cfRule type="containsText" dxfId="1134" priority="1629" operator="containsText" text="A2">
      <formula>NOT(ISERROR(SEARCH("A2",I45)))</formula>
    </cfRule>
    <cfRule type="containsText" dxfId="1133" priority="1630" operator="containsText" text="Domestic">
      <formula>NOT(ISERROR(SEARCH("Domestic",I45)))</formula>
    </cfRule>
    <cfRule type="containsText" dxfId="1132" priority="1631" operator="containsText" text="Re-join">
      <formula>NOT(ISERROR(SEARCH("Re-join",I45)))</formula>
    </cfRule>
    <cfRule type="containsText" dxfId="1131" priority="1632" operator="containsText" text="Resigned">
      <formula>NOT(ISERROR(SEARCH("Resigned",I45)))</formula>
    </cfRule>
    <cfRule type="containsText" dxfId="1130" priority="1633" operator="containsText" text="Dismissed">
      <formula>NOT(ISERROR(SEARCH("Dismissed",I45)))</formula>
    </cfRule>
    <cfRule type="containsText" dxfId="1129" priority="1634" operator="containsText" text="Nearshore">
      <formula>NOT(ISERROR(SEARCH("Nearshore",I45)))</formula>
    </cfRule>
    <cfRule type="containsText" dxfId="1128" priority="1635" operator="containsText" text="Freedom">
      <formula>NOT(ISERROR(SEARCH("Freedom",I45)))</formula>
    </cfRule>
    <cfRule type="containsText" dxfId="1127" priority="1636" operator="containsText" text="WU">
      <formula>NOT(ISERROR(SEARCH("WU",I45)))</formula>
    </cfRule>
    <cfRule type="containsText" dxfId="1126" priority="1637" operator="containsText" text="Expedia">
      <formula>NOT(ISERROR(SEARCH("Expedia",I45)))</formula>
    </cfRule>
  </conditionalFormatting>
  <conditionalFormatting sqref="I45">
    <cfRule type="containsText" dxfId="1125" priority="1627" operator="containsText" text="Du Enterprise">
      <formula>NOT(ISERROR(SEARCH("Du Enterprise",I45)))</formula>
    </cfRule>
  </conditionalFormatting>
  <conditionalFormatting sqref="F47">
    <cfRule type="duplicateValues" dxfId="1124" priority="1626"/>
  </conditionalFormatting>
  <conditionalFormatting sqref="E47">
    <cfRule type="duplicateValues" dxfId="1123" priority="1625"/>
  </conditionalFormatting>
  <conditionalFormatting sqref="H47">
    <cfRule type="duplicateValues" dxfId="1122" priority="1624"/>
  </conditionalFormatting>
  <conditionalFormatting sqref="I47">
    <cfRule type="containsText" dxfId="1121" priority="1614" operator="containsText" text="B1">
      <formula>NOT(ISERROR(SEARCH("B1",I47)))</formula>
    </cfRule>
    <cfRule type="containsText" dxfId="1120" priority="1615" operator="containsText" text="A2">
      <formula>NOT(ISERROR(SEARCH("A2",I47)))</formula>
    </cfRule>
    <cfRule type="containsText" dxfId="1119" priority="1616" operator="containsText" text="Domestic">
      <formula>NOT(ISERROR(SEARCH("Domestic",I47)))</formula>
    </cfRule>
    <cfRule type="containsText" dxfId="1118" priority="1617" operator="containsText" text="Re-join">
      <formula>NOT(ISERROR(SEARCH("Re-join",I47)))</formula>
    </cfRule>
    <cfRule type="containsText" dxfId="1117" priority="1618" operator="containsText" text="Resigned">
      <formula>NOT(ISERROR(SEARCH("Resigned",I47)))</formula>
    </cfRule>
    <cfRule type="containsText" dxfId="1116" priority="1619" operator="containsText" text="Dismissed">
      <formula>NOT(ISERROR(SEARCH("Dismissed",I47)))</formula>
    </cfRule>
    <cfRule type="containsText" dxfId="1115" priority="1620" operator="containsText" text="Nearshore">
      <formula>NOT(ISERROR(SEARCH("Nearshore",I47)))</formula>
    </cfRule>
    <cfRule type="containsText" dxfId="1114" priority="1621" operator="containsText" text="Freedom">
      <formula>NOT(ISERROR(SEARCH("Freedom",I47)))</formula>
    </cfRule>
    <cfRule type="containsText" dxfId="1113" priority="1622" operator="containsText" text="WU">
      <formula>NOT(ISERROR(SEARCH("WU",I47)))</formula>
    </cfRule>
    <cfRule type="containsText" dxfId="1112" priority="1623" operator="containsText" text="Expedia">
      <formula>NOT(ISERROR(SEARCH("Expedia",I47)))</formula>
    </cfRule>
  </conditionalFormatting>
  <conditionalFormatting sqref="I47">
    <cfRule type="containsText" dxfId="1111" priority="1613" operator="containsText" text="Du Enterprise">
      <formula>NOT(ISERROR(SEARCH("Du Enterprise",I47)))</formula>
    </cfRule>
  </conditionalFormatting>
  <conditionalFormatting sqref="F48:F49">
    <cfRule type="duplicateValues" dxfId="1110" priority="1612"/>
  </conditionalFormatting>
  <conditionalFormatting sqref="E48:E49">
    <cfRule type="duplicateValues" dxfId="1109" priority="1611"/>
  </conditionalFormatting>
  <conditionalFormatting sqref="H48:H49">
    <cfRule type="duplicateValues" dxfId="1108" priority="1610"/>
  </conditionalFormatting>
  <conditionalFormatting sqref="I48:I49">
    <cfRule type="containsText" dxfId="1107" priority="1600" operator="containsText" text="B1">
      <formula>NOT(ISERROR(SEARCH("B1",I48)))</formula>
    </cfRule>
    <cfRule type="containsText" dxfId="1106" priority="1601" operator="containsText" text="A2">
      <formula>NOT(ISERROR(SEARCH("A2",I48)))</formula>
    </cfRule>
    <cfRule type="containsText" dxfId="1105" priority="1602" operator="containsText" text="Domestic">
      <formula>NOT(ISERROR(SEARCH("Domestic",I48)))</formula>
    </cfRule>
    <cfRule type="containsText" dxfId="1104" priority="1603" operator="containsText" text="Re-join">
      <formula>NOT(ISERROR(SEARCH("Re-join",I48)))</formula>
    </cfRule>
    <cfRule type="containsText" dxfId="1103" priority="1604" operator="containsText" text="Resigned">
      <formula>NOT(ISERROR(SEARCH("Resigned",I48)))</formula>
    </cfRule>
    <cfRule type="containsText" dxfId="1102" priority="1605" operator="containsText" text="Dismissed">
      <formula>NOT(ISERROR(SEARCH("Dismissed",I48)))</formula>
    </cfRule>
    <cfRule type="containsText" dxfId="1101" priority="1606" operator="containsText" text="Nearshore">
      <formula>NOT(ISERROR(SEARCH("Nearshore",I48)))</formula>
    </cfRule>
    <cfRule type="containsText" dxfId="1100" priority="1607" operator="containsText" text="Freedom">
      <formula>NOT(ISERROR(SEARCH("Freedom",I48)))</formula>
    </cfRule>
    <cfRule type="containsText" dxfId="1099" priority="1608" operator="containsText" text="WU">
      <formula>NOT(ISERROR(SEARCH("WU",I48)))</formula>
    </cfRule>
    <cfRule type="containsText" dxfId="1098" priority="1609" operator="containsText" text="Expedia">
      <formula>NOT(ISERROR(SEARCH("Expedia",I48)))</formula>
    </cfRule>
  </conditionalFormatting>
  <conditionalFormatting sqref="I48:I49">
    <cfRule type="containsText" dxfId="1097" priority="1599" operator="containsText" text="Du Enterprise">
      <formula>NOT(ISERROR(SEARCH("Du Enterprise",I48)))</formula>
    </cfRule>
  </conditionalFormatting>
  <conditionalFormatting sqref="F50">
    <cfRule type="duplicateValues" dxfId="1096" priority="1598"/>
  </conditionalFormatting>
  <conditionalFormatting sqref="E50">
    <cfRule type="duplicateValues" dxfId="1095" priority="1597"/>
  </conditionalFormatting>
  <conditionalFormatting sqref="H50">
    <cfRule type="duplicateValues" dxfId="1094" priority="1596"/>
  </conditionalFormatting>
  <conditionalFormatting sqref="I50">
    <cfRule type="containsText" dxfId="1093" priority="1586" operator="containsText" text="B1">
      <formula>NOT(ISERROR(SEARCH("B1",I50)))</formula>
    </cfRule>
    <cfRule type="containsText" dxfId="1092" priority="1587" operator="containsText" text="A2">
      <formula>NOT(ISERROR(SEARCH("A2",I50)))</formula>
    </cfRule>
    <cfRule type="containsText" dxfId="1091" priority="1588" operator="containsText" text="Domestic">
      <formula>NOT(ISERROR(SEARCH("Domestic",I50)))</formula>
    </cfRule>
    <cfRule type="containsText" dxfId="1090" priority="1589" operator="containsText" text="Re-join">
      <formula>NOT(ISERROR(SEARCH("Re-join",I50)))</formula>
    </cfRule>
    <cfRule type="containsText" dxfId="1089" priority="1590" operator="containsText" text="Resigned">
      <formula>NOT(ISERROR(SEARCH("Resigned",I50)))</formula>
    </cfRule>
    <cfRule type="containsText" dxfId="1088" priority="1591" operator="containsText" text="Dismissed">
      <formula>NOT(ISERROR(SEARCH("Dismissed",I50)))</formula>
    </cfRule>
    <cfRule type="containsText" dxfId="1087" priority="1592" operator="containsText" text="Nearshore">
      <formula>NOT(ISERROR(SEARCH("Nearshore",I50)))</formula>
    </cfRule>
    <cfRule type="containsText" dxfId="1086" priority="1593" operator="containsText" text="Freedom">
      <formula>NOT(ISERROR(SEARCH("Freedom",I50)))</formula>
    </cfRule>
    <cfRule type="containsText" dxfId="1085" priority="1594" operator="containsText" text="WU">
      <formula>NOT(ISERROR(SEARCH("WU",I50)))</formula>
    </cfRule>
    <cfRule type="containsText" dxfId="1084" priority="1595" operator="containsText" text="Expedia">
      <formula>NOT(ISERROR(SEARCH("Expedia",I50)))</formula>
    </cfRule>
  </conditionalFormatting>
  <conditionalFormatting sqref="I50">
    <cfRule type="containsText" dxfId="1083" priority="1585" operator="containsText" text="Du Enterprise">
      <formula>NOT(ISERROR(SEARCH("Du Enterprise",I50)))</formula>
    </cfRule>
  </conditionalFormatting>
  <conditionalFormatting sqref="F51:F53">
    <cfRule type="duplicateValues" dxfId="1082" priority="1584"/>
  </conditionalFormatting>
  <conditionalFormatting sqref="E51:E53">
    <cfRule type="duplicateValues" dxfId="1081" priority="1583"/>
  </conditionalFormatting>
  <conditionalFormatting sqref="H51:H53">
    <cfRule type="duplicateValues" dxfId="1080" priority="1582"/>
  </conditionalFormatting>
  <conditionalFormatting sqref="I51:I53">
    <cfRule type="containsText" dxfId="1079" priority="1572" operator="containsText" text="B1">
      <formula>NOT(ISERROR(SEARCH("B1",I51)))</formula>
    </cfRule>
    <cfRule type="containsText" dxfId="1078" priority="1573" operator="containsText" text="A2">
      <formula>NOT(ISERROR(SEARCH("A2",I51)))</formula>
    </cfRule>
    <cfRule type="containsText" dxfId="1077" priority="1574" operator="containsText" text="Domestic">
      <formula>NOT(ISERROR(SEARCH("Domestic",I51)))</formula>
    </cfRule>
    <cfRule type="containsText" dxfId="1076" priority="1575" operator="containsText" text="Re-join">
      <formula>NOT(ISERROR(SEARCH("Re-join",I51)))</formula>
    </cfRule>
    <cfRule type="containsText" dxfId="1075" priority="1576" operator="containsText" text="Resigned">
      <formula>NOT(ISERROR(SEARCH("Resigned",I51)))</formula>
    </cfRule>
    <cfRule type="containsText" dxfId="1074" priority="1577" operator="containsText" text="Dismissed">
      <formula>NOT(ISERROR(SEARCH("Dismissed",I51)))</formula>
    </cfRule>
    <cfRule type="containsText" dxfId="1073" priority="1578" operator="containsText" text="Nearshore">
      <formula>NOT(ISERROR(SEARCH("Nearshore",I51)))</formula>
    </cfRule>
    <cfRule type="containsText" dxfId="1072" priority="1579" operator="containsText" text="Freedom">
      <formula>NOT(ISERROR(SEARCH("Freedom",I51)))</formula>
    </cfRule>
    <cfRule type="containsText" dxfId="1071" priority="1580" operator="containsText" text="WU">
      <formula>NOT(ISERROR(SEARCH("WU",I51)))</formula>
    </cfRule>
    <cfRule type="containsText" dxfId="1070" priority="1581" operator="containsText" text="Expedia">
      <formula>NOT(ISERROR(SEARCH("Expedia",I51)))</formula>
    </cfRule>
  </conditionalFormatting>
  <conditionalFormatting sqref="I51:I53">
    <cfRule type="containsText" dxfId="1069" priority="1571" operator="containsText" text="Du Enterprise">
      <formula>NOT(ISERROR(SEARCH("Du Enterprise",I51)))</formula>
    </cfRule>
  </conditionalFormatting>
  <conditionalFormatting sqref="F46">
    <cfRule type="duplicateValues" dxfId="1068" priority="1570"/>
  </conditionalFormatting>
  <conditionalFormatting sqref="E46">
    <cfRule type="duplicateValues" dxfId="1067" priority="1569"/>
  </conditionalFormatting>
  <conditionalFormatting sqref="H46">
    <cfRule type="duplicateValues" dxfId="1066" priority="1568"/>
  </conditionalFormatting>
  <conditionalFormatting sqref="I46">
    <cfRule type="containsText" dxfId="1065" priority="1558" operator="containsText" text="B1">
      <formula>NOT(ISERROR(SEARCH("B1",I46)))</formula>
    </cfRule>
    <cfRule type="containsText" dxfId="1064" priority="1559" operator="containsText" text="A2">
      <formula>NOT(ISERROR(SEARCH("A2",I46)))</formula>
    </cfRule>
    <cfRule type="containsText" dxfId="1063" priority="1560" operator="containsText" text="Domestic">
      <formula>NOT(ISERROR(SEARCH("Domestic",I46)))</formula>
    </cfRule>
    <cfRule type="containsText" dxfId="1062" priority="1561" operator="containsText" text="Re-join">
      <formula>NOT(ISERROR(SEARCH("Re-join",I46)))</formula>
    </cfRule>
    <cfRule type="containsText" dxfId="1061" priority="1562" operator="containsText" text="Resigned">
      <formula>NOT(ISERROR(SEARCH("Resigned",I46)))</formula>
    </cfRule>
    <cfRule type="containsText" dxfId="1060" priority="1563" operator="containsText" text="Dismissed">
      <formula>NOT(ISERROR(SEARCH("Dismissed",I46)))</formula>
    </cfRule>
    <cfRule type="containsText" dxfId="1059" priority="1564" operator="containsText" text="Nearshore">
      <formula>NOT(ISERROR(SEARCH("Nearshore",I46)))</formula>
    </cfRule>
    <cfRule type="containsText" dxfId="1058" priority="1565" operator="containsText" text="Freedom">
      <formula>NOT(ISERROR(SEARCH("Freedom",I46)))</formula>
    </cfRule>
    <cfRule type="containsText" dxfId="1057" priority="1566" operator="containsText" text="WU">
      <formula>NOT(ISERROR(SEARCH("WU",I46)))</formula>
    </cfRule>
    <cfRule type="containsText" dxfId="1056" priority="1567" operator="containsText" text="Expedia">
      <formula>NOT(ISERROR(SEARCH("Expedia",I46)))</formula>
    </cfRule>
  </conditionalFormatting>
  <conditionalFormatting sqref="I46">
    <cfRule type="containsText" dxfId="1055" priority="1557" operator="containsText" text="Du Enterprise">
      <formula>NOT(ISERROR(SEARCH("Du Enterprise",I46)))</formula>
    </cfRule>
  </conditionalFormatting>
  <conditionalFormatting sqref="AA21:AA25">
    <cfRule type="containsText" dxfId="1054" priority="1143" operator="containsText" text="B1">
      <formula>NOT(ISERROR(SEARCH("B1",AA21)))</formula>
    </cfRule>
    <cfRule type="containsText" dxfId="1053" priority="1144" operator="containsText" text="A2">
      <formula>NOT(ISERROR(SEARCH("A2",AA21)))</formula>
    </cfRule>
    <cfRule type="containsText" dxfId="1052" priority="1145" operator="containsText" text="Domestic">
      <formula>NOT(ISERROR(SEARCH("Domestic",AA21)))</formula>
    </cfRule>
    <cfRule type="containsText" dxfId="1051" priority="1146" operator="containsText" text="Re-join">
      <formula>NOT(ISERROR(SEARCH("Re-join",AA21)))</formula>
    </cfRule>
    <cfRule type="containsText" dxfId="1050" priority="1147" operator="containsText" text="Resigned">
      <formula>NOT(ISERROR(SEARCH("Resigned",AA21)))</formula>
    </cfRule>
    <cfRule type="containsText" dxfId="1049" priority="1148" operator="containsText" text="Dismissed">
      <formula>NOT(ISERROR(SEARCH("Dismissed",AA21)))</formula>
    </cfRule>
    <cfRule type="containsText" dxfId="1048" priority="1149" operator="containsText" text="Nearshore">
      <formula>NOT(ISERROR(SEARCH("Nearshore",AA21)))</formula>
    </cfRule>
    <cfRule type="containsText" dxfId="1047" priority="1150" operator="containsText" text="Freedom">
      <formula>NOT(ISERROR(SEARCH("Freedom",AA21)))</formula>
    </cfRule>
    <cfRule type="containsText" dxfId="1046" priority="1151" operator="containsText" text="WU">
      <formula>NOT(ISERROR(SEARCH("WU",AA21)))</formula>
    </cfRule>
    <cfRule type="containsText" dxfId="1045" priority="1152" operator="containsText" text="Expedia">
      <formula>NOT(ISERROR(SEARCH("Expedia",AA21)))</formula>
    </cfRule>
  </conditionalFormatting>
  <conditionalFormatting sqref="AA21:AA25">
    <cfRule type="containsText" dxfId="1044" priority="1142" operator="containsText" text="Du Enterprise">
      <formula>NOT(ISERROR(SEARCH("Du Enterprise",AA21)))</formula>
    </cfRule>
  </conditionalFormatting>
  <conditionalFormatting sqref="X26:X27">
    <cfRule type="duplicateValues" dxfId="1043" priority="1141"/>
  </conditionalFormatting>
  <conditionalFormatting sqref="W26:W27">
    <cfRule type="duplicateValues" dxfId="1042" priority="1140"/>
  </conditionalFormatting>
  <conditionalFormatting sqref="Y26:Y27">
    <cfRule type="duplicateValues" dxfId="1041" priority="1139"/>
  </conditionalFormatting>
  <conditionalFormatting sqref="Z26:Z27">
    <cfRule type="duplicateValues" dxfId="1040" priority="1138"/>
  </conditionalFormatting>
  <conditionalFormatting sqref="AA26:AA27">
    <cfRule type="containsText" dxfId="1039" priority="1117" operator="containsText" text="B1">
      <formula>NOT(ISERROR(SEARCH("B1",AA26)))</formula>
    </cfRule>
    <cfRule type="containsText" dxfId="1038" priority="1118" operator="containsText" text="A2">
      <formula>NOT(ISERROR(SEARCH("A2",AA26)))</formula>
    </cfRule>
    <cfRule type="containsText" dxfId="1037" priority="1119" operator="containsText" text="Domestic">
      <formula>NOT(ISERROR(SEARCH("Domestic",AA26)))</formula>
    </cfRule>
    <cfRule type="containsText" dxfId="1036" priority="1120" operator="containsText" text="Re-join">
      <formula>NOT(ISERROR(SEARCH("Re-join",AA26)))</formula>
    </cfRule>
    <cfRule type="containsText" dxfId="1035" priority="1121" operator="containsText" text="Resigned">
      <formula>NOT(ISERROR(SEARCH("Resigned",AA26)))</formula>
    </cfRule>
    <cfRule type="containsText" dxfId="1034" priority="1122" operator="containsText" text="Dismissed">
      <formula>NOT(ISERROR(SEARCH("Dismissed",AA26)))</formula>
    </cfRule>
    <cfRule type="containsText" dxfId="1033" priority="1123" operator="containsText" text="Nearshore">
      <formula>NOT(ISERROR(SEARCH("Nearshore",AA26)))</formula>
    </cfRule>
    <cfRule type="containsText" dxfId="1032" priority="1124" operator="containsText" text="Freedom">
      <formula>NOT(ISERROR(SEARCH("Freedom",AA26)))</formula>
    </cfRule>
    <cfRule type="containsText" dxfId="1031" priority="1125" operator="containsText" text="WU">
      <formula>NOT(ISERROR(SEARCH("WU",AA26)))</formula>
    </cfRule>
    <cfRule type="containsText" dxfId="1030" priority="1126" operator="containsText" text="Expedia">
      <formula>NOT(ISERROR(SEARCH("Expedia",AA26)))</formula>
    </cfRule>
  </conditionalFormatting>
  <conditionalFormatting sqref="AA26:AA27">
    <cfRule type="containsText" dxfId="1029" priority="1116" operator="containsText" text="Du Enterprise">
      <formula>NOT(ISERROR(SEARCH("Du Enterprise",AA26)))</formula>
    </cfRule>
  </conditionalFormatting>
  <conditionalFormatting sqref="X28">
    <cfRule type="duplicateValues" dxfId="1028" priority="1115"/>
  </conditionalFormatting>
  <conditionalFormatting sqref="W28">
    <cfRule type="duplicateValues" dxfId="1027" priority="1114"/>
  </conditionalFormatting>
  <conditionalFormatting sqref="Y28">
    <cfRule type="duplicateValues" dxfId="1026" priority="1113"/>
  </conditionalFormatting>
  <conditionalFormatting sqref="Z28">
    <cfRule type="duplicateValues" dxfId="1025" priority="1112"/>
  </conditionalFormatting>
  <conditionalFormatting sqref="AA28">
    <cfRule type="containsText" dxfId="1024" priority="1091" operator="containsText" text="B1">
      <formula>NOT(ISERROR(SEARCH("B1",AA28)))</formula>
    </cfRule>
    <cfRule type="containsText" dxfId="1023" priority="1092" operator="containsText" text="A2">
      <formula>NOT(ISERROR(SEARCH("A2",AA28)))</formula>
    </cfRule>
    <cfRule type="containsText" dxfId="1022" priority="1093" operator="containsText" text="Domestic">
      <formula>NOT(ISERROR(SEARCH("Domestic",AA28)))</formula>
    </cfRule>
    <cfRule type="containsText" dxfId="1021" priority="1094" operator="containsText" text="Re-join">
      <formula>NOT(ISERROR(SEARCH("Re-join",AA28)))</formula>
    </cfRule>
    <cfRule type="containsText" dxfId="1020" priority="1095" operator="containsText" text="Resigned">
      <formula>NOT(ISERROR(SEARCH("Resigned",AA28)))</formula>
    </cfRule>
    <cfRule type="containsText" dxfId="1019" priority="1096" operator="containsText" text="Dismissed">
      <formula>NOT(ISERROR(SEARCH("Dismissed",AA28)))</formula>
    </cfRule>
    <cfRule type="containsText" dxfId="1018" priority="1097" operator="containsText" text="Nearshore">
      <formula>NOT(ISERROR(SEARCH("Nearshore",AA28)))</formula>
    </cfRule>
    <cfRule type="containsText" dxfId="1017" priority="1098" operator="containsText" text="Freedom">
      <formula>NOT(ISERROR(SEARCH("Freedom",AA28)))</formula>
    </cfRule>
    <cfRule type="containsText" dxfId="1016" priority="1099" operator="containsText" text="WU">
      <formula>NOT(ISERROR(SEARCH("WU",AA28)))</formula>
    </cfRule>
    <cfRule type="containsText" dxfId="1015" priority="1100" operator="containsText" text="Expedia">
      <formula>NOT(ISERROR(SEARCH("Expedia",AA28)))</formula>
    </cfRule>
  </conditionalFormatting>
  <conditionalFormatting sqref="AA28">
    <cfRule type="containsText" dxfId="1014" priority="1090" operator="containsText" text="Du Enterprise">
      <formula>NOT(ISERROR(SEARCH("Du Enterprise",AA28)))</formula>
    </cfRule>
  </conditionalFormatting>
  <conditionalFormatting sqref="X29">
    <cfRule type="duplicateValues" dxfId="1013" priority="1089"/>
  </conditionalFormatting>
  <conditionalFormatting sqref="W29">
    <cfRule type="duplicateValues" dxfId="1012" priority="1088"/>
  </conditionalFormatting>
  <conditionalFormatting sqref="Y29">
    <cfRule type="duplicateValues" dxfId="1011" priority="1087"/>
  </conditionalFormatting>
  <conditionalFormatting sqref="Z29">
    <cfRule type="duplicateValues" dxfId="1010" priority="1086"/>
  </conditionalFormatting>
  <conditionalFormatting sqref="AA29">
    <cfRule type="containsText" dxfId="1009" priority="1065" operator="containsText" text="B1">
      <formula>NOT(ISERROR(SEARCH("B1",AA29)))</formula>
    </cfRule>
    <cfRule type="containsText" dxfId="1008" priority="1066" operator="containsText" text="A2">
      <formula>NOT(ISERROR(SEARCH("A2",AA29)))</formula>
    </cfRule>
    <cfRule type="containsText" dxfId="1007" priority="1067" operator="containsText" text="Domestic">
      <formula>NOT(ISERROR(SEARCH("Domestic",AA29)))</formula>
    </cfRule>
    <cfRule type="containsText" dxfId="1006" priority="1068" operator="containsText" text="Re-join">
      <formula>NOT(ISERROR(SEARCH("Re-join",AA29)))</formula>
    </cfRule>
    <cfRule type="containsText" dxfId="1005" priority="1069" operator="containsText" text="Resigned">
      <formula>NOT(ISERROR(SEARCH("Resigned",AA29)))</formula>
    </cfRule>
    <cfRule type="containsText" dxfId="1004" priority="1070" operator="containsText" text="Dismissed">
      <formula>NOT(ISERROR(SEARCH("Dismissed",AA29)))</formula>
    </cfRule>
    <cfRule type="containsText" dxfId="1003" priority="1071" operator="containsText" text="Nearshore">
      <formula>NOT(ISERROR(SEARCH("Nearshore",AA29)))</formula>
    </cfRule>
    <cfRule type="containsText" dxfId="1002" priority="1072" operator="containsText" text="Freedom">
      <formula>NOT(ISERROR(SEARCH("Freedom",AA29)))</formula>
    </cfRule>
    <cfRule type="containsText" dxfId="1001" priority="1073" operator="containsText" text="WU">
      <formula>NOT(ISERROR(SEARCH("WU",AA29)))</formula>
    </cfRule>
    <cfRule type="containsText" dxfId="1000" priority="1074" operator="containsText" text="Expedia">
      <formula>NOT(ISERROR(SEARCH("Expedia",AA29)))</formula>
    </cfRule>
  </conditionalFormatting>
  <conditionalFormatting sqref="AA29">
    <cfRule type="containsText" dxfId="999" priority="1064" operator="containsText" text="Du Enterprise">
      <formula>NOT(ISERROR(SEARCH("Du Enterprise",AA29)))</formula>
    </cfRule>
  </conditionalFormatting>
  <conditionalFormatting sqref="X30">
    <cfRule type="duplicateValues" dxfId="998" priority="1063"/>
  </conditionalFormatting>
  <conditionalFormatting sqref="W30">
    <cfRule type="duplicateValues" dxfId="997" priority="1062"/>
  </conditionalFormatting>
  <conditionalFormatting sqref="Y30">
    <cfRule type="duplicateValues" dxfId="996" priority="1061"/>
  </conditionalFormatting>
  <conditionalFormatting sqref="Z30">
    <cfRule type="duplicateValues" dxfId="995" priority="1060"/>
  </conditionalFormatting>
  <conditionalFormatting sqref="AA30">
    <cfRule type="containsText" dxfId="994" priority="1039" operator="containsText" text="B1">
      <formula>NOT(ISERROR(SEARCH("B1",AA30)))</formula>
    </cfRule>
    <cfRule type="containsText" dxfId="993" priority="1040" operator="containsText" text="A2">
      <formula>NOT(ISERROR(SEARCH("A2",AA30)))</formula>
    </cfRule>
    <cfRule type="containsText" dxfId="992" priority="1041" operator="containsText" text="Domestic">
      <formula>NOT(ISERROR(SEARCH("Domestic",AA30)))</formula>
    </cfRule>
    <cfRule type="containsText" dxfId="991" priority="1042" operator="containsText" text="Re-join">
      <formula>NOT(ISERROR(SEARCH("Re-join",AA30)))</formula>
    </cfRule>
    <cfRule type="containsText" dxfId="990" priority="1043" operator="containsText" text="Resigned">
      <formula>NOT(ISERROR(SEARCH("Resigned",AA30)))</formula>
    </cfRule>
    <cfRule type="containsText" dxfId="989" priority="1044" operator="containsText" text="Dismissed">
      <formula>NOT(ISERROR(SEARCH("Dismissed",AA30)))</formula>
    </cfRule>
    <cfRule type="containsText" dxfId="988" priority="1045" operator="containsText" text="Nearshore">
      <formula>NOT(ISERROR(SEARCH("Nearshore",AA30)))</formula>
    </cfRule>
    <cfRule type="containsText" dxfId="987" priority="1046" operator="containsText" text="Freedom">
      <formula>NOT(ISERROR(SEARCH("Freedom",AA30)))</formula>
    </cfRule>
    <cfRule type="containsText" dxfId="986" priority="1047" operator="containsText" text="WU">
      <formula>NOT(ISERROR(SEARCH("WU",AA30)))</formula>
    </cfRule>
    <cfRule type="containsText" dxfId="985" priority="1048" operator="containsText" text="Expedia">
      <formula>NOT(ISERROR(SEARCH("Expedia",AA30)))</formula>
    </cfRule>
  </conditionalFormatting>
  <conditionalFormatting sqref="AA30">
    <cfRule type="containsText" dxfId="984" priority="1038" operator="containsText" text="Du Enterprise">
      <formula>NOT(ISERROR(SEARCH("Du Enterprise",AA30)))</formula>
    </cfRule>
  </conditionalFormatting>
  <conditionalFormatting sqref="AG33">
    <cfRule type="duplicateValues" dxfId="983" priority="1037"/>
  </conditionalFormatting>
  <conditionalFormatting sqref="AF33">
    <cfRule type="duplicateValues" dxfId="982" priority="1036"/>
  </conditionalFormatting>
  <conditionalFormatting sqref="AH33">
    <cfRule type="duplicateValues" dxfId="981" priority="1035"/>
  </conditionalFormatting>
  <conditionalFormatting sqref="AI33">
    <cfRule type="duplicateValues" dxfId="980" priority="1034"/>
  </conditionalFormatting>
  <conditionalFormatting sqref="AO33">
    <cfRule type="containsText" dxfId="979" priority="1024" operator="containsText" text="B1">
      <formula>NOT(ISERROR(SEARCH("B1",AO33)))</formula>
    </cfRule>
    <cfRule type="containsText" dxfId="978" priority="1025" operator="containsText" text="A2">
      <formula>NOT(ISERROR(SEARCH("A2",AO33)))</formula>
    </cfRule>
    <cfRule type="containsText" dxfId="977" priority="1026" operator="containsText" text="Domestic">
      <formula>NOT(ISERROR(SEARCH("Domestic",AO33)))</formula>
    </cfRule>
    <cfRule type="containsText" dxfId="976" priority="1027" operator="containsText" text="Re-join">
      <formula>NOT(ISERROR(SEARCH("Re-join",AO33)))</formula>
    </cfRule>
    <cfRule type="containsText" dxfId="975" priority="1028" operator="containsText" text="Resigned">
      <formula>NOT(ISERROR(SEARCH("Resigned",AO33)))</formula>
    </cfRule>
    <cfRule type="containsText" dxfId="974" priority="1029" operator="containsText" text="Dismissed">
      <formula>NOT(ISERROR(SEARCH("Dismissed",AO33)))</formula>
    </cfRule>
    <cfRule type="containsText" dxfId="973" priority="1030" operator="containsText" text="Nearshore">
      <formula>NOT(ISERROR(SEARCH("Nearshore",AO33)))</formula>
    </cfRule>
    <cfRule type="containsText" dxfId="972" priority="1031" operator="containsText" text="Freedom">
      <formula>NOT(ISERROR(SEARCH("Freedom",AO33)))</formula>
    </cfRule>
    <cfRule type="containsText" dxfId="971" priority="1032" operator="containsText" text="WU">
      <formula>NOT(ISERROR(SEARCH("WU",AO33)))</formula>
    </cfRule>
    <cfRule type="containsText" dxfId="970" priority="1033" operator="containsText" text="Expedia">
      <formula>NOT(ISERROR(SEARCH("Expedia",AO33)))</formula>
    </cfRule>
  </conditionalFormatting>
  <conditionalFormatting sqref="AO33">
    <cfRule type="containsText" dxfId="969" priority="1023" operator="containsText" text="Du Enterprise">
      <formula>NOT(ISERROR(SEARCH("Du Enterprise",AO33)))</formula>
    </cfRule>
  </conditionalFormatting>
  <conditionalFormatting sqref="AO32">
    <cfRule type="containsText" dxfId="968" priority="1013" operator="containsText" text="B1">
      <formula>NOT(ISERROR(SEARCH("B1",AO32)))</formula>
    </cfRule>
    <cfRule type="containsText" dxfId="967" priority="1014" operator="containsText" text="A2">
      <formula>NOT(ISERROR(SEARCH("A2",AO32)))</formula>
    </cfRule>
    <cfRule type="containsText" dxfId="966" priority="1015" operator="containsText" text="Domestic">
      <formula>NOT(ISERROR(SEARCH("Domestic",AO32)))</formula>
    </cfRule>
    <cfRule type="containsText" dxfId="965" priority="1016" operator="containsText" text="Re-join">
      <formula>NOT(ISERROR(SEARCH("Re-join",AO32)))</formula>
    </cfRule>
    <cfRule type="containsText" dxfId="964" priority="1017" operator="containsText" text="Resigned">
      <formula>NOT(ISERROR(SEARCH("Resigned",AO32)))</formula>
    </cfRule>
    <cfRule type="containsText" dxfId="963" priority="1018" operator="containsText" text="Dismissed">
      <formula>NOT(ISERROR(SEARCH("Dismissed",AO32)))</formula>
    </cfRule>
    <cfRule type="containsText" dxfId="962" priority="1019" operator="containsText" text="Nearshore">
      <formula>NOT(ISERROR(SEARCH("Nearshore",AO32)))</formula>
    </cfRule>
    <cfRule type="containsText" dxfId="961" priority="1020" operator="containsText" text="Freedom">
      <formula>NOT(ISERROR(SEARCH("Freedom",AO32)))</formula>
    </cfRule>
    <cfRule type="containsText" dxfId="960" priority="1021" operator="containsText" text="WU">
      <formula>NOT(ISERROR(SEARCH("WU",AO32)))</formula>
    </cfRule>
    <cfRule type="containsText" dxfId="959" priority="1022" operator="containsText" text="Expedia">
      <formula>NOT(ISERROR(SEARCH("Expedia",AO32)))</formula>
    </cfRule>
  </conditionalFormatting>
  <conditionalFormatting sqref="AO32">
    <cfRule type="containsText" dxfId="958" priority="1012" operator="containsText" text="Du Enterprise">
      <formula>NOT(ISERROR(SEARCH("Du Enterprise",AO32)))</formula>
    </cfRule>
  </conditionalFormatting>
  <conditionalFormatting sqref="AG34:AG38">
    <cfRule type="duplicateValues" dxfId="957" priority="1011"/>
  </conditionalFormatting>
  <conditionalFormatting sqref="AF34:AF38">
    <cfRule type="duplicateValues" dxfId="956" priority="1010"/>
  </conditionalFormatting>
  <conditionalFormatting sqref="AH34:AH38">
    <cfRule type="duplicateValues" dxfId="955" priority="1009"/>
  </conditionalFormatting>
  <conditionalFormatting sqref="AI34:AI38">
    <cfRule type="duplicateValues" dxfId="954" priority="1008"/>
  </conditionalFormatting>
  <conditionalFormatting sqref="AO34:AO38">
    <cfRule type="containsText" dxfId="953" priority="998" operator="containsText" text="B1">
      <formula>NOT(ISERROR(SEARCH("B1",AO34)))</formula>
    </cfRule>
    <cfRule type="containsText" dxfId="952" priority="999" operator="containsText" text="A2">
      <formula>NOT(ISERROR(SEARCH("A2",AO34)))</formula>
    </cfRule>
    <cfRule type="containsText" dxfId="951" priority="1000" operator="containsText" text="Domestic">
      <formula>NOT(ISERROR(SEARCH("Domestic",AO34)))</formula>
    </cfRule>
    <cfRule type="containsText" dxfId="950" priority="1001" operator="containsText" text="Re-join">
      <formula>NOT(ISERROR(SEARCH("Re-join",AO34)))</formula>
    </cfRule>
    <cfRule type="containsText" dxfId="949" priority="1002" operator="containsText" text="Resigned">
      <formula>NOT(ISERROR(SEARCH("Resigned",AO34)))</formula>
    </cfRule>
    <cfRule type="containsText" dxfId="948" priority="1003" operator="containsText" text="Dismissed">
      <formula>NOT(ISERROR(SEARCH("Dismissed",AO34)))</formula>
    </cfRule>
    <cfRule type="containsText" dxfId="947" priority="1004" operator="containsText" text="Nearshore">
      <formula>NOT(ISERROR(SEARCH("Nearshore",AO34)))</formula>
    </cfRule>
    <cfRule type="containsText" dxfId="946" priority="1005" operator="containsText" text="Freedom">
      <formula>NOT(ISERROR(SEARCH("Freedom",AO34)))</formula>
    </cfRule>
    <cfRule type="containsText" dxfId="945" priority="1006" operator="containsText" text="WU">
      <formula>NOT(ISERROR(SEARCH("WU",AO34)))</formula>
    </cfRule>
    <cfRule type="containsText" dxfId="944" priority="1007" operator="containsText" text="Expedia">
      <formula>NOT(ISERROR(SEARCH("Expedia",AO34)))</formula>
    </cfRule>
  </conditionalFormatting>
  <conditionalFormatting sqref="AO34:AO38">
    <cfRule type="containsText" dxfId="943" priority="997" operator="containsText" text="Du Enterprise">
      <formula>NOT(ISERROR(SEARCH("Du Enterprise",AO34)))</formula>
    </cfRule>
  </conditionalFormatting>
  <conditionalFormatting sqref="AG39">
    <cfRule type="duplicateValues" dxfId="942" priority="996"/>
  </conditionalFormatting>
  <conditionalFormatting sqref="AF39">
    <cfRule type="duplicateValues" dxfId="941" priority="995"/>
  </conditionalFormatting>
  <conditionalFormatting sqref="AH39">
    <cfRule type="duplicateValues" dxfId="940" priority="994"/>
  </conditionalFormatting>
  <conditionalFormatting sqref="AI39">
    <cfRule type="duplicateValues" dxfId="939" priority="993"/>
  </conditionalFormatting>
  <conditionalFormatting sqref="AG40">
    <cfRule type="duplicateValues" dxfId="938" priority="981"/>
  </conditionalFormatting>
  <conditionalFormatting sqref="AF40">
    <cfRule type="duplicateValues" dxfId="937" priority="980"/>
  </conditionalFormatting>
  <conditionalFormatting sqref="AH40">
    <cfRule type="duplicateValues" dxfId="936" priority="979"/>
  </conditionalFormatting>
  <conditionalFormatting sqref="AI40">
    <cfRule type="duplicateValues" dxfId="935" priority="978"/>
  </conditionalFormatting>
  <conditionalFormatting sqref="AO40">
    <cfRule type="containsText" dxfId="934" priority="968" operator="containsText" text="B1">
      <formula>NOT(ISERROR(SEARCH("B1",AO40)))</formula>
    </cfRule>
    <cfRule type="containsText" dxfId="933" priority="969" operator="containsText" text="A2">
      <formula>NOT(ISERROR(SEARCH("A2",AO40)))</formula>
    </cfRule>
    <cfRule type="containsText" dxfId="932" priority="970" operator="containsText" text="Domestic">
      <formula>NOT(ISERROR(SEARCH("Domestic",AO40)))</formula>
    </cfRule>
    <cfRule type="containsText" dxfId="931" priority="971" operator="containsText" text="Re-join">
      <formula>NOT(ISERROR(SEARCH("Re-join",AO40)))</formula>
    </cfRule>
    <cfRule type="containsText" dxfId="930" priority="972" operator="containsText" text="Resigned">
      <formula>NOT(ISERROR(SEARCH("Resigned",AO40)))</formula>
    </cfRule>
    <cfRule type="containsText" dxfId="929" priority="973" operator="containsText" text="Dismissed">
      <formula>NOT(ISERROR(SEARCH("Dismissed",AO40)))</formula>
    </cfRule>
    <cfRule type="containsText" dxfId="928" priority="974" operator="containsText" text="Nearshore">
      <formula>NOT(ISERROR(SEARCH("Nearshore",AO40)))</formula>
    </cfRule>
    <cfRule type="containsText" dxfId="927" priority="975" operator="containsText" text="Freedom">
      <formula>NOT(ISERROR(SEARCH("Freedom",AO40)))</formula>
    </cfRule>
    <cfRule type="containsText" dxfId="926" priority="976" operator="containsText" text="WU">
      <formula>NOT(ISERROR(SEARCH("WU",AO40)))</formula>
    </cfRule>
    <cfRule type="containsText" dxfId="925" priority="977" operator="containsText" text="Expedia">
      <formula>NOT(ISERROR(SEARCH("Expedia",AO40)))</formula>
    </cfRule>
  </conditionalFormatting>
  <conditionalFormatting sqref="AO40">
    <cfRule type="containsText" dxfId="924" priority="967" operator="containsText" text="Du Enterprise">
      <formula>NOT(ISERROR(SEARCH("Du Enterprise",AO40)))</formula>
    </cfRule>
  </conditionalFormatting>
  <conditionalFormatting sqref="AG41">
    <cfRule type="duplicateValues" dxfId="923" priority="966"/>
  </conditionalFormatting>
  <conditionalFormatting sqref="AF41">
    <cfRule type="duplicateValues" dxfId="922" priority="965"/>
  </conditionalFormatting>
  <conditionalFormatting sqref="AH41">
    <cfRule type="duplicateValues" dxfId="921" priority="964"/>
  </conditionalFormatting>
  <conditionalFormatting sqref="AI41">
    <cfRule type="duplicateValues" dxfId="920" priority="963"/>
  </conditionalFormatting>
  <conditionalFormatting sqref="AO41">
    <cfRule type="containsText" dxfId="919" priority="953" operator="containsText" text="B1">
      <formula>NOT(ISERROR(SEARCH("B1",AO41)))</formula>
    </cfRule>
    <cfRule type="containsText" dxfId="918" priority="954" operator="containsText" text="A2">
      <formula>NOT(ISERROR(SEARCH("A2",AO41)))</formula>
    </cfRule>
    <cfRule type="containsText" dxfId="917" priority="955" operator="containsText" text="Domestic">
      <formula>NOT(ISERROR(SEARCH("Domestic",AO41)))</formula>
    </cfRule>
    <cfRule type="containsText" dxfId="916" priority="956" operator="containsText" text="Re-join">
      <formula>NOT(ISERROR(SEARCH("Re-join",AO41)))</formula>
    </cfRule>
    <cfRule type="containsText" dxfId="915" priority="957" operator="containsText" text="Resigned">
      <formula>NOT(ISERROR(SEARCH("Resigned",AO41)))</formula>
    </cfRule>
    <cfRule type="containsText" dxfId="914" priority="958" operator="containsText" text="Dismissed">
      <formula>NOT(ISERROR(SEARCH("Dismissed",AO41)))</formula>
    </cfRule>
    <cfRule type="containsText" dxfId="913" priority="959" operator="containsText" text="Nearshore">
      <formula>NOT(ISERROR(SEARCH("Nearshore",AO41)))</formula>
    </cfRule>
    <cfRule type="containsText" dxfId="912" priority="960" operator="containsText" text="Freedom">
      <formula>NOT(ISERROR(SEARCH("Freedom",AO41)))</formula>
    </cfRule>
    <cfRule type="containsText" dxfId="911" priority="961" operator="containsText" text="WU">
      <formula>NOT(ISERROR(SEARCH("WU",AO41)))</formula>
    </cfRule>
    <cfRule type="containsText" dxfId="910" priority="962" operator="containsText" text="Expedia">
      <formula>NOT(ISERROR(SEARCH("Expedia",AO41)))</formula>
    </cfRule>
  </conditionalFormatting>
  <conditionalFormatting sqref="AO41">
    <cfRule type="containsText" dxfId="909" priority="952" operator="containsText" text="Du Enterprise">
      <formula>NOT(ISERROR(SEARCH("Du Enterprise",AO41)))</formula>
    </cfRule>
  </conditionalFormatting>
  <conditionalFormatting sqref="AG42">
    <cfRule type="duplicateValues" dxfId="908" priority="951"/>
  </conditionalFormatting>
  <conditionalFormatting sqref="AF42">
    <cfRule type="duplicateValues" dxfId="907" priority="950"/>
  </conditionalFormatting>
  <conditionalFormatting sqref="AH42">
    <cfRule type="duplicateValues" dxfId="906" priority="949"/>
  </conditionalFormatting>
  <conditionalFormatting sqref="AI42">
    <cfRule type="duplicateValues" dxfId="905" priority="948"/>
  </conditionalFormatting>
  <conditionalFormatting sqref="AO42">
    <cfRule type="containsText" dxfId="904" priority="938" operator="containsText" text="B1">
      <formula>NOT(ISERROR(SEARCH("B1",AO42)))</formula>
    </cfRule>
    <cfRule type="containsText" dxfId="903" priority="939" operator="containsText" text="A2">
      <formula>NOT(ISERROR(SEARCH("A2",AO42)))</formula>
    </cfRule>
    <cfRule type="containsText" dxfId="902" priority="940" operator="containsText" text="Domestic">
      <formula>NOT(ISERROR(SEARCH("Domestic",AO42)))</formula>
    </cfRule>
    <cfRule type="containsText" dxfId="901" priority="941" operator="containsText" text="Re-join">
      <formula>NOT(ISERROR(SEARCH("Re-join",AO42)))</formula>
    </cfRule>
    <cfRule type="containsText" dxfId="900" priority="942" operator="containsText" text="Resigned">
      <formula>NOT(ISERROR(SEARCH("Resigned",AO42)))</formula>
    </cfRule>
    <cfRule type="containsText" dxfId="899" priority="943" operator="containsText" text="Dismissed">
      <formula>NOT(ISERROR(SEARCH("Dismissed",AO42)))</formula>
    </cfRule>
    <cfRule type="containsText" dxfId="898" priority="944" operator="containsText" text="Nearshore">
      <formula>NOT(ISERROR(SEARCH("Nearshore",AO42)))</formula>
    </cfRule>
    <cfRule type="containsText" dxfId="897" priority="945" operator="containsText" text="Freedom">
      <formula>NOT(ISERROR(SEARCH("Freedom",AO42)))</formula>
    </cfRule>
    <cfRule type="containsText" dxfId="896" priority="946" operator="containsText" text="WU">
      <formula>NOT(ISERROR(SEARCH("WU",AO42)))</formula>
    </cfRule>
    <cfRule type="containsText" dxfId="895" priority="947" operator="containsText" text="Expedia">
      <formula>NOT(ISERROR(SEARCH("Expedia",AO42)))</formula>
    </cfRule>
  </conditionalFormatting>
  <conditionalFormatting sqref="AO42">
    <cfRule type="containsText" dxfId="894" priority="937" operator="containsText" text="Du Enterprise">
      <formula>NOT(ISERROR(SEARCH("Du Enterprise",AO42)))</formula>
    </cfRule>
  </conditionalFormatting>
  <conditionalFormatting sqref="AG43">
    <cfRule type="duplicateValues" dxfId="893" priority="936"/>
  </conditionalFormatting>
  <conditionalFormatting sqref="AF43">
    <cfRule type="duplicateValues" dxfId="892" priority="935"/>
  </conditionalFormatting>
  <conditionalFormatting sqref="AH43">
    <cfRule type="duplicateValues" dxfId="891" priority="934"/>
  </conditionalFormatting>
  <conditionalFormatting sqref="AI43">
    <cfRule type="duplicateValues" dxfId="890" priority="933"/>
  </conditionalFormatting>
  <conditionalFormatting sqref="AO43">
    <cfRule type="containsText" dxfId="889" priority="923" operator="containsText" text="B1">
      <formula>NOT(ISERROR(SEARCH("B1",AO43)))</formula>
    </cfRule>
    <cfRule type="containsText" dxfId="888" priority="924" operator="containsText" text="A2">
      <formula>NOT(ISERROR(SEARCH("A2",AO43)))</formula>
    </cfRule>
    <cfRule type="containsText" dxfId="887" priority="925" operator="containsText" text="Domestic">
      <formula>NOT(ISERROR(SEARCH("Domestic",AO43)))</formula>
    </cfRule>
    <cfRule type="containsText" dxfId="886" priority="926" operator="containsText" text="Re-join">
      <formula>NOT(ISERROR(SEARCH("Re-join",AO43)))</formula>
    </cfRule>
    <cfRule type="containsText" dxfId="885" priority="927" operator="containsText" text="Resigned">
      <formula>NOT(ISERROR(SEARCH("Resigned",AO43)))</formula>
    </cfRule>
    <cfRule type="containsText" dxfId="884" priority="928" operator="containsText" text="Dismissed">
      <formula>NOT(ISERROR(SEARCH("Dismissed",AO43)))</formula>
    </cfRule>
    <cfRule type="containsText" dxfId="883" priority="929" operator="containsText" text="Nearshore">
      <formula>NOT(ISERROR(SEARCH("Nearshore",AO43)))</formula>
    </cfRule>
    <cfRule type="containsText" dxfId="882" priority="930" operator="containsText" text="Freedom">
      <formula>NOT(ISERROR(SEARCH("Freedom",AO43)))</formula>
    </cfRule>
    <cfRule type="containsText" dxfId="881" priority="931" operator="containsText" text="WU">
      <formula>NOT(ISERROR(SEARCH("WU",AO43)))</formula>
    </cfRule>
    <cfRule type="containsText" dxfId="880" priority="932" operator="containsText" text="Expedia">
      <formula>NOT(ISERROR(SEARCH("Expedia",AO43)))</formula>
    </cfRule>
  </conditionalFormatting>
  <conditionalFormatting sqref="AO43">
    <cfRule type="containsText" dxfId="879" priority="922" operator="containsText" text="Du Enterprise">
      <formula>NOT(ISERROR(SEARCH("Du Enterprise",AO43)))</formula>
    </cfRule>
  </conditionalFormatting>
  <conditionalFormatting sqref="AG44:AG45">
    <cfRule type="duplicateValues" dxfId="878" priority="921"/>
  </conditionalFormatting>
  <conditionalFormatting sqref="AF44:AF45">
    <cfRule type="duplicateValues" dxfId="877" priority="920"/>
  </conditionalFormatting>
  <conditionalFormatting sqref="AH44:AH45">
    <cfRule type="duplicateValues" dxfId="876" priority="919"/>
  </conditionalFormatting>
  <conditionalFormatting sqref="AI44:AI45">
    <cfRule type="duplicateValues" dxfId="875" priority="918"/>
  </conditionalFormatting>
  <conditionalFormatting sqref="AO44:AO45">
    <cfRule type="containsText" dxfId="874" priority="908" operator="containsText" text="B1">
      <formula>NOT(ISERROR(SEARCH("B1",AO44)))</formula>
    </cfRule>
    <cfRule type="containsText" dxfId="873" priority="909" operator="containsText" text="A2">
      <formula>NOT(ISERROR(SEARCH("A2",AO44)))</formula>
    </cfRule>
    <cfRule type="containsText" dxfId="872" priority="910" operator="containsText" text="Domestic">
      <formula>NOT(ISERROR(SEARCH("Domestic",AO44)))</formula>
    </cfRule>
    <cfRule type="containsText" dxfId="871" priority="911" operator="containsText" text="Re-join">
      <formula>NOT(ISERROR(SEARCH("Re-join",AO44)))</formula>
    </cfRule>
    <cfRule type="containsText" dxfId="870" priority="912" operator="containsText" text="Resigned">
      <formula>NOT(ISERROR(SEARCH("Resigned",AO44)))</formula>
    </cfRule>
    <cfRule type="containsText" dxfId="869" priority="913" operator="containsText" text="Dismissed">
      <formula>NOT(ISERROR(SEARCH("Dismissed",AO44)))</formula>
    </cfRule>
    <cfRule type="containsText" dxfId="868" priority="914" operator="containsText" text="Nearshore">
      <formula>NOT(ISERROR(SEARCH("Nearshore",AO44)))</formula>
    </cfRule>
    <cfRule type="containsText" dxfId="867" priority="915" operator="containsText" text="Freedom">
      <formula>NOT(ISERROR(SEARCH("Freedom",AO44)))</formula>
    </cfRule>
    <cfRule type="containsText" dxfId="866" priority="916" operator="containsText" text="WU">
      <formula>NOT(ISERROR(SEARCH("WU",AO44)))</formula>
    </cfRule>
    <cfRule type="containsText" dxfId="865" priority="917" operator="containsText" text="Expedia">
      <formula>NOT(ISERROR(SEARCH("Expedia",AO44)))</formula>
    </cfRule>
  </conditionalFormatting>
  <conditionalFormatting sqref="AO44:AO45">
    <cfRule type="containsText" dxfId="864" priority="907" operator="containsText" text="Du Enterprise">
      <formula>NOT(ISERROR(SEARCH("Du Enterprise",AO44)))</formula>
    </cfRule>
  </conditionalFormatting>
  <conditionalFormatting sqref="AG46">
    <cfRule type="duplicateValues" dxfId="863" priority="906"/>
  </conditionalFormatting>
  <conditionalFormatting sqref="AF46">
    <cfRule type="duplicateValues" dxfId="862" priority="905"/>
  </conditionalFormatting>
  <conditionalFormatting sqref="AH46">
    <cfRule type="duplicateValues" dxfId="861" priority="904"/>
  </conditionalFormatting>
  <conditionalFormatting sqref="AI46">
    <cfRule type="duplicateValues" dxfId="860" priority="903"/>
  </conditionalFormatting>
  <conditionalFormatting sqref="AO46">
    <cfRule type="containsText" dxfId="859" priority="893" operator="containsText" text="B1">
      <formula>NOT(ISERROR(SEARCH("B1",AO46)))</formula>
    </cfRule>
    <cfRule type="containsText" dxfId="858" priority="894" operator="containsText" text="A2">
      <formula>NOT(ISERROR(SEARCH("A2",AO46)))</formula>
    </cfRule>
    <cfRule type="containsText" dxfId="857" priority="895" operator="containsText" text="Domestic">
      <formula>NOT(ISERROR(SEARCH("Domestic",AO46)))</formula>
    </cfRule>
    <cfRule type="containsText" dxfId="856" priority="896" operator="containsText" text="Re-join">
      <formula>NOT(ISERROR(SEARCH("Re-join",AO46)))</formula>
    </cfRule>
    <cfRule type="containsText" dxfId="855" priority="897" operator="containsText" text="Resigned">
      <formula>NOT(ISERROR(SEARCH("Resigned",AO46)))</formula>
    </cfRule>
    <cfRule type="containsText" dxfId="854" priority="898" operator="containsText" text="Dismissed">
      <formula>NOT(ISERROR(SEARCH("Dismissed",AO46)))</formula>
    </cfRule>
    <cfRule type="containsText" dxfId="853" priority="899" operator="containsText" text="Nearshore">
      <formula>NOT(ISERROR(SEARCH("Nearshore",AO46)))</formula>
    </cfRule>
    <cfRule type="containsText" dxfId="852" priority="900" operator="containsText" text="Freedom">
      <formula>NOT(ISERROR(SEARCH("Freedom",AO46)))</formula>
    </cfRule>
    <cfRule type="containsText" dxfId="851" priority="901" operator="containsText" text="WU">
      <formula>NOT(ISERROR(SEARCH("WU",AO46)))</formula>
    </cfRule>
    <cfRule type="containsText" dxfId="850" priority="902" operator="containsText" text="Expedia">
      <formula>NOT(ISERROR(SEARCH("Expedia",AO46)))</formula>
    </cfRule>
  </conditionalFormatting>
  <conditionalFormatting sqref="AO46">
    <cfRule type="containsText" dxfId="849" priority="892" operator="containsText" text="Du Enterprise">
      <formula>NOT(ISERROR(SEARCH("Du Enterprise",AO46)))</formula>
    </cfRule>
  </conditionalFormatting>
  <conditionalFormatting sqref="AG47">
    <cfRule type="duplicateValues" dxfId="848" priority="891"/>
  </conditionalFormatting>
  <conditionalFormatting sqref="AF47">
    <cfRule type="duplicateValues" dxfId="847" priority="890"/>
  </conditionalFormatting>
  <conditionalFormatting sqref="AH47">
    <cfRule type="duplicateValues" dxfId="846" priority="889"/>
  </conditionalFormatting>
  <conditionalFormatting sqref="AI47">
    <cfRule type="duplicateValues" dxfId="845" priority="888"/>
  </conditionalFormatting>
  <conditionalFormatting sqref="AO47">
    <cfRule type="containsText" dxfId="844" priority="878" operator="containsText" text="B1">
      <formula>NOT(ISERROR(SEARCH("B1",AO47)))</formula>
    </cfRule>
    <cfRule type="containsText" dxfId="843" priority="879" operator="containsText" text="A2">
      <formula>NOT(ISERROR(SEARCH("A2",AO47)))</formula>
    </cfRule>
    <cfRule type="containsText" dxfId="842" priority="880" operator="containsText" text="Domestic">
      <formula>NOT(ISERROR(SEARCH("Domestic",AO47)))</formula>
    </cfRule>
    <cfRule type="containsText" dxfId="841" priority="881" operator="containsText" text="Re-join">
      <formula>NOT(ISERROR(SEARCH("Re-join",AO47)))</formula>
    </cfRule>
    <cfRule type="containsText" dxfId="840" priority="882" operator="containsText" text="Resigned">
      <formula>NOT(ISERROR(SEARCH("Resigned",AO47)))</formula>
    </cfRule>
    <cfRule type="containsText" dxfId="839" priority="883" operator="containsText" text="Dismissed">
      <formula>NOT(ISERROR(SEARCH("Dismissed",AO47)))</formula>
    </cfRule>
    <cfRule type="containsText" dxfId="838" priority="884" operator="containsText" text="Nearshore">
      <formula>NOT(ISERROR(SEARCH("Nearshore",AO47)))</formula>
    </cfRule>
    <cfRule type="containsText" dxfId="837" priority="885" operator="containsText" text="Freedom">
      <formula>NOT(ISERROR(SEARCH("Freedom",AO47)))</formula>
    </cfRule>
    <cfRule type="containsText" dxfId="836" priority="886" operator="containsText" text="WU">
      <formula>NOT(ISERROR(SEARCH("WU",AO47)))</formula>
    </cfRule>
    <cfRule type="containsText" dxfId="835" priority="887" operator="containsText" text="Expedia">
      <formula>NOT(ISERROR(SEARCH("Expedia",AO47)))</formula>
    </cfRule>
  </conditionalFormatting>
  <conditionalFormatting sqref="AO47">
    <cfRule type="containsText" dxfId="834" priority="877" operator="containsText" text="Du Enterprise">
      <formula>NOT(ISERROR(SEARCH("Du Enterprise",AO47)))</formula>
    </cfRule>
  </conditionalFormatting>
  <conditionalFormatting sqref="AG48">
    <cfRule type="duplicateValues" dxfId="833" priority="876"/>
  </conditionalFormatting>
  <conditionalFormatting sqref="AF48">
    <cfRule type="duplicateValues" dxfId="832" priority="875"/>
  </conditionalFormatting>
  <conditionalFormatting sqref="AH48">
    <cfRule type="duplicateValues" dxfId="831" priority="874"/>
  </conditionalFormatting>
  <conditionalFormatting sqref="AI48">
    <cfRule type="duplicateValues" dxfId="830" priority="873"/>
  </conditionalFormatting>
  <conditionalFormatting sqref="AO48">
    <cfRule type="containsText" dxfId="829" priority="863" operator="containsText" text="B1">
      <formula>NOT(ISERROR(SEARCH("B1",AO48)))</formula>
    </cfRule>
    <cfRule type="containsText" dxfId="828" priority="864" operator="containsText" text="A2">
      <formula>NOT(ISERROR(SEARCH("A2",AO48)))</formula>
    </cfRule>
    <cfRule type="containsText" dxfId="827" priority="865" operator="containsText" text="Domestic">
      <formula>NOT(ISERROR(SEARCH("Domestic",AO48)))</formula>
    </cfRule>
    <cfRule type="containsText" dxfId="826" priority="866" operator="containsText" text="Re-join">
      <formula>NOT(ISERROR(SEARCH("Re-join",AO48)))</formula>
    </cfRule>
    <cfRule type="containsText" dxfId="825" priority="867" operator="containsText" text="Resigned">
      <formula>NOT(ISERROR(SEARCH("Resigned",AO48)))</formula>
    </cfRule>
    <cfRule type="containsText" dxfId="824" priority="868" operator="containsText" text="Dismissed">
      <formula>NOT(ISERROR(SEARCH("Dismissed",AO48)))</formula>
    </cfRule>
    <cfRule type="containsText" dxfId="823" priority="869" operator="containsText" text="Nearshore">
      <formula>NOT(ISERROR(SEARCH("Nearshore",AO48)))</formula>
    </cfRule>
    <cfRule type="containsText" dxfId="822" priority="870" operator="containsText" text="Freedom">
      <formula>NOT(ISERROR(SEARCH("Freedom",AO48)))</formula>
    </cfRule>
    <cfRule type="containsText" dxfId="821" priority="871" operator="containsText" text="WU">
      <formula>NOT(ISERROR(SEARCH("WU",AO48)))</formula>
    </cfRule>
    <cfRule type="containsText" dxfId="820" priority="872" operator="containsText" text="Expedia">
      <formula>NOT(ISERROR(SEARCH("Expedia",AO48)))</formula>
    </cfRule>
  </conditionalFormatting>
  <conditionalFormatting sqref="AO48">
    <cfRule type="containsText" dxfId="819" priority="862" operator="containsText" text="Du Enterprise">
      <formula>NOT(ISERROR(SEARCH("Du Enterprise",AO48)))</formula>
    </cfRule>
  </conditionalFormatting>
  <conditionalFormatting sqref="AO39">
    <cfRule type="containsText" dxfId="818" priority="852" operator="containsText" text="B1">
      <formula>NOT(ISERROR(SEARCH("B1",AO39)))</formula>
    </cfRule>
    <cfRule type="containsText" dxfId="817" priority="853" operator="containsText" text="A2">
      <formula>NOT(ISERROR(SEARCH("A2",AO39)))</formula>
    </cfRule>
    <cfRule type="containsText" dxfId="816" priority="854" operator="containsText" text="Domestic">
      <formula>NOT(ISERROR(SEARCH("Domestic",AO39)))</formula>
    </cfRule>
    <cfRule type="containsText" dxfId="815" priority="855" operator="containsText" text="Re-join">
      <formula>NOT(ISERROR(SEARCH("Re-join",AO39)))</formula>
    </cfRule>
    <cfRule type="containsText" dxfId="814" priority="856" operator="containsText" text="Resigned">
      <formula>NOT(ISERROR(SEARCH("Resigned",AO39)))</formula>
    </cfRule>
    <cfRule type="containsText" dxfId="813" priority="857" operator="containsText" text="Dismissed">
      <formula>NOT(ISERROR(SEARCH("Dismissed",AO39)))</formula>
    </cfRule>
    <cfRule type="containsText" dxfId="812" priority="858" operator="containsText" text="Nearshore">
      <formula>NOT(ISERROR(SEARCH("Nearshore",AO39)))</formula>
    </cfRule>
    <cfRule type="containsText" dxfId="811" priority="859" operator="containsText" text="Freedom">
      <formula>NOT(ISERROR(SEARCH("Freedom",AO39)))</formula>
    </cfRule>
    <cfRule type="containsText" dxfId="810" priority="860" operator="containsText" text="WU">
      <formula>NOT(ISERROR(SEARCH("WU",AO39)))</formula>
    </cfRule>
    <cfRule type="containsText" dxfId="809" priority="861" operator="containsText" text="Expedia">
      <formula>NOT(ISERROR(SEARCH("Expedia",AO39)))</formula>
    </cfRule>
  </conditionalFormatting>
  <conditionalFormatting sqref="AO39">
    <cfRule type="containsText" dxfId="808" priority="851" operator="containsText" text="Du Enterprise">
      <formula>NOT(ISERROR(SEARCH("Du Enterprise",AO39)))</formula>
    </cfRule>
  </conditionalFormatting>
  <conditionalFormatting sqref="H26">
    <cfRule type="duplicateValues" dxfId="807" priority="724"/>
  </conditionalFormatting>
  <conditionalFormatting sqref="AO49">
    <cfRule type="containsText" dxfId="806" priority="689" operator="containsText" text="B1">
      <formula>NOT(ISERROR(SEARCH("B1",AO49)))</formula>
    </cfRule>
    <cfRule type="containsText" dxfId="805" priority="690" operator="containsText" text="A2">
      <formula>NOT(ISERROR(SEARCH("A2",AO49)))</formula>
    </cfRule>
    <cfRule type="containsText" dxfId="804" priority="691" operator="containsText" text="Domestic">
      <formula>NOT(ISERROR(SEARCH("Domestic",AO49)))</formula>
    </cfRule>
    <cfRule type="containsText" dxfId="803" priority="692" operator="containsText" text="Re-join">
      <formula>NOT(ISERROR(SEARCH("Re-join",AO49)))</formula>
    </cfRule>
    <cfRule type="containsText" dxfId="802" priority="693" operator="containsText" text="Resigned">
      <formula>NOT(ISERROR(SEARCH("Resigned",AO49)))</formula>
    </cfRule>
    <cfRule type="containsText" dxfId="801" priority="694" operator="containsText" text="Dismissed">
      <formula>NOT(ISERROR(SEARCH("Dismissed",AO49)))</formula>
    </cfRule>
    <cfRule type="containsText" dxfId="800" priority="695" operator="containsText" text="Nearshore">
      <formula>NOT(ISERROR(SEARCH("Nearshore",AO49)))</formula>
    </cfRule>
    <cfRule type="containsText" dxfId="799" priority="696" operator="containsText" text="Freedom">
      <formula>NOT(ISERROR(SEARCH("Freedom",AO49)))</formula>
    </cfRule>
    <cfRule type="containsText" dxfId="798" priority="697" operator="containsText" text="WU">
      <formula>NOT(ISERROR(SEARCH("WU",AO49)))</formula>
    </cfRule>
    <cfRule type="containsText" dxfId="797" priority="698" operator="containsText" text="Expedia">
      <formula>NOT(ISERROR(SEARCH("Expedia",AO49)))</formula>
    </cfRule>
  </conditionalFormatting>
  <conditionalFormatting sqref="AO49">
    <cfRule type="containsText" dxfId="796" priority="688" operator="containsText" text="Du Enterprise">
      <formula>NOT(ISERROR(SEARCH("Du Enterprise",AO49)))</formula>
    </cfRule>
  </conditionalFormatting>
  <conditionalFormatting sqref="AI49:AI52">
    <cfRule type="duplicateValues" dxfId="795" priority="684"/>
  </conditionalFormatting>
  <conditionalFormatting sqref="AI49:AI52">
    <cfRule type="duplicateValues" dxfId="794" priority="685"/>
    <cfRule type="duplicateValues" dxfId="793" priority="686"/>
  </conditionalFormatting>
  <conditionalFormatting sqref="AI49:AI52">
    <cfRule type="duplicateValues" dxfId="792" priority="687"/>
  </conditionalFormatting>
  <conditionalFormatting sqref="AO51">
    <cfRule type="containsText" dxfId="791" priority="674" operator="containsText" text="B1">
      <formula>NOT(ISERROR(SEARCH("B1",AO51)))</formula>
    </cfRule>
    <cfRule type="containsText" dxfId="790" priority="675" operator="containsText" text="A2">
      <formula>NOT(ISERROR(SEARCH("A2",AO51)))</formula>
    </cfRule>
    <cfRule type="containsText" dxfId="789" priority="676" operator="containsText" text="Domestic">
      <formula>NOT(ISERROR(SEARCH("Domestic",AO51)))</formula>
    </cfRule>
    <cfRule type="containsText" dxfId="788" priority="677" operator="containsText" text="Re-join">
      <formula>NOT(ISERROR(SEARCH("Re-join",AO51)))</formula>
    </cfRule>
    <cfRule type="containsText" dxfId="787" priority="678" operator="containsText" text="Resigned">
      <formula>NOT(ISERROR(SEARCH("Resigned",AO51)))</formula>
    </cfRule>
    <cfRule type="containsText" dxfId="786" priority="679" operator="containsText" text="Dismissed">
      <formula>NOT(ISERROR(SEARCH("Dismissed",AO51)))</formula>
    </cfRule>
    <cfRule type="containsText" dxfId="785" priority="680" operator="containsText" text="Nearshore">
      <formula>NOT(ISERROR(SEARCH("Nearshore",AO51)))</formula>
    </cfRule>
    <cfRule type="containsText" dxfId="784" priority="681" operator="containsText" text="Freedom">
      <formula>NOT(ISERROR(SEARCH("Freedom",AO51)))</formula>
    </cfRule>
    <cfRule type="containsText" dxfId="783" priority="682" operator="containsText" text="WU">
      <formula>NOT(ISERROR(SEARCH("WU",AO51)))</formula>
    </cfRule>
    <cfRule type="containsText" dxfId="782" priority="683" operator="containsText" text="Expedia">
      <formula>NOT(ISERROR(SEARCH("Expedia",AO51)))</formula>
    </cfRule>
  </conditionalFormatting>
  <conditionalFormatting sqref="AO51">
    <cfRule type="containsText" dxfId="781" priority="673" operator="containsText" text="Du Enterprise">
      <formula>NOT(ISERROR(SEARCH("Du Enterprise",AO51)))</formula>
    </cfRule>
  </conditionalFormatting>
  <conditionalFormatting sqref="AO52">
    <cfRule type="containsText" dxfId="780" priority="663" operator="containsText" text="B1">
      <formula>NOT(ISERROR(SEARCH("B1",AO52)))</formula>
    </cfRule>
    <cfRule type="containsText" dxfId="779" priority="664" operator="containsText" text="A2">
      <formula>NOT(ISERROR(SEARCH("A2",AO52)))</formula>
    </cfRule>
    <cfRule type="containsText" dxfId="778" priority="665" operator="containsText" text="Domestic">
      <formula>NOT(ISERROR(SEARCH("Domestic",AO52)))</formula>
    </cfRule>
    <cfRule type="containsText" dxfId="777" priority="666" operator="containsText" text="Re-join">
      <formula>NOT(ISERROR(SEARCH("Re-join",AO52)))</formula>
    </cfRule>
    <cfRule type="containsText" dxfId="776" priority="667" operator="containsText" text="Resigned">
      <formula>NOT(ISERROR(SEARCH("Resigned",AO52)))</formula>
    </cfRule>
    <cfRule type="containsText" dxfId="775" priority="668" operator="containsText" text="Dismissed">
      <formula>NOT(ISERROR(SEARCH("Dismissed",AO52)))</formula>
    </cfRule>
    <cfRule type="containsText" dxfId="774" priority="669" operator="containsText" text="Nearshore">
      <formula>NOT(ISERROR(SEARCH("Nearshore",AO52)))</formula>
    </cfRule>
    <cfRule type="containsText" dxfId="773" priority="670" operator="containsText" text="Freedom">
      <formula>NOT(ISERROR(SEARCH("Freedom",AO52)))</formula>
    </cfRule>
    <cfRule type="containsText" dxfId="772" priority="671" operator="containsText" text="WU">
      <formula>NOT(ISERROR(SEARCH("WU",AO52)))</formula>
    </cfRule>
    <cfRule type="containsText" dxfId="771" priority="672" operator="containsText" text="Expedia">
      <formula>NOT(ISERROR(SEARCH("Expedia",AO52)))</formula>
    </cfRule>
  </conditionalFormatting>
  <conditionalFormatting sqref="AO52">
    <cfRule type="containsText" dxfId="770" priority="662" operator="containsText" text="Du Enterprise">
      <formula>NOT(ISERROR(SEARCH("Du Enterprise",AO52)))</formula>
    </cfRule>
  </conditionalFormatting>
  <conditionalFormatting sqref="AO50">
    <cfRule type="containsText" dxfId="769" priority="652" operator="containsText" text="B1">
      <formula>NOT(ISERROR(SEARCH("B1",AO50)))</formula>
    </cfRule>
    <cfRule type="containsText" dxfId="768" priority="653" operator="containsText" text="A2">
      <formula>NOT(ISERROR(SEARCH("A2",AO50)))</formula>
    </cfRule>
    <cfRule type="containsText" dxfId="767" priority="654" operator="containsText" text="Domestic">
      <formula>NOT(ISERROR(SEARCH("Domestic",AO50)))</formula>
    </cfRule>
    <cfRule type="containsText" dxfId="766" priority="655" operator="containsText" text="Re-join">
      <formula>NOT(ISERROR(SEARCH("Re-join",AO50)))</formula>
    </cfRule>
    <cfRule type="containsText" dxfId="765" priority="656" operator="containsText" text="Resigned">
      <formula>NOT(ISERROR(SEARCH("Resigned",AO50)))</formula>
    </cfRule>
    <cfRule type="containsText" dxfId="764" priority="657" operator="containsText" text="Dismissed">
      <formula>NOT(ISERROR(SEARCH("Dismissed",AO50)))</formula>
    </cfRule>
    <cfRule type="containsText" dxfId="763" priority="658" operator="containsText" text="Nearshore">
      <formula>NOT(ISERROR(SEARCH("Nearshore",AO50)))</formula>
    </cfRule>
    <cfRule type="containsText" dxfId="762" priority="659" operator="containsText" text="Freedom">
      <formula>NOT(ISERROR(SEARCH("Freedom",AO50)))</formula>
    </cfRule>
    <cfRule type="containsText" dxfId="761" priority="660" operator="containsText" text="WU">
      <formula>NOT(ISERROR(SEARCH("WU",AO50)))</formula>
    </cfRule>
    <cfRule type="containsText" dxfId="760" priority="661" operator="containsText" text="Expedia">
      <formula>NOT(ISERROR(SEARCH("Expedia",AO50)))</formula>
    </cfRule>
  </conditionalFormatting>
  <conditionalFormatting sqref="AO50">
    <cfRule type="containsText" dxfId="759" priority="651" operator="containsText" text="Du Enterprise">
      <formula>NOT(ISERROR(SEARCH("Du Enterprise",AO50)))</formula>
    </cfRule>
  </conditionalFormatting>
  <conditionalFormatting sqref="F56:F58">
    <cfRule type="duplicateValues" dxfId="758" priority="650"/>
  </conditionalFormatting>
  <conditionalFormatting sqref="E56:E58">
    <cfRule type="duplicateValues" dxfId="757" priority="649"/>
  </conditionalFormatting>
  <conditionalFormatting sqref="H56:H58">
    <cfRule type="duplicateValues" dxfId="756" priority="648"/>
  </conditionalFormatting>
  <conditionalFormatting sqref="I56:I58">
    <cfRule type="containsText" dxfId="755" priority="638" operator="containsText" text="B1">
      <formula>NOT(ISERROR(SEARCH("B1",I56)))</formula>
    </cfRule>
    <cfRule type="containsText" dxfId="754" priority="639" operator="containsText" text="A2">
      <formula>NOT(ISERROR(SEARCH("A2",I56)))</formula>
    </cfRule>
    <cfRule type="containsText" dxfId="753" priority="640" operator="containsText" text="Domestic">
      <formula>NOT(ISERROR(SEARCH("Domestic",I56)))</formula>
    </cfRule>
    <cfRule type="containsText" dxfId="752" priority="641" operator="containsText" text="Re-join">
      <formula>NOT(ISERROR(SEARCH("Re-join",I56)))</formula>
    </cfRule>
    <cfRule type="containsText" dxfId="751" priority="642" operator="containsText" text="Resigned">
      <formula>NOT(ISERROR(SEARCH("Resigned",I56)))</formula>
    </cfRule>
    <cfRule type="containsText" dxfId="750" priority="643" operator="containsText" text="Dismissed">
      <formula>NOT(ISERROR(SEARCH("Dismissed",I56)))</formula>
    </cfRule>
    <cfRule type="containsText" dxfId="749" priority="644" operator="containsText" text="Nearshore">
      <formula>NOT(ISERROR(SEARCH("Nearshore",I56)))</formula>
    </cfRule>
    <cfRule type="containsText" dxfId="748" priority="645" operator="containsText" text="Freedom">
      <formula>NOT(ISERROR(SEARCH("Freedom",I56)))</formula>
    </cfRule>
    <cfRule type="containsText" dxfId="747" priority="646" operator="containsText" text="WU">
      <formula>NOT(ISERROR(SEARCH("WU",I56)))</formula>
    </cfRule>
    <cfRule type="containsText" dxfId="746" priority="647" operator="containsText" text="Expedia">
      <formula>NOT(ISERROR(SEARCH("Expedia",I56)))</formula>
    </cfRule>
  </conditionalFormatting>
  <conditionalFormatting sqref="I56:I58">
    <cfRule type="containsText" dxfId="745" priority="637" operator="containsText" text="Du Enterprise">
      <formula>NOT(ISERROR(SEARCH("Du Enterprise",I56)))</formula>
    </cfRule>
  </conditionalFormatting>
  <conditionalFormatting sqref="F59">
    <cfRule type="duplicateValues" dxfId="744" priority="636"/>
  </conditionalFormatting>
  <conditionalFormatting sqref="E59">
    <cfRule type="duplicateValues" dxfId="743" priority="635"/>
  </conditionalFormatting>
  <conditionalFormatting sqref="H59">
    <cfRule type="duplicateValues" dxfId="742" priority="634"/>
  </conditionalFormatting>
  <conditionalFormatting sqref="I59">
    <cfRule type="containsText" dxfId="741" priority="624" operator="containsText" text="B1">
      <formula>NOT(ISERROR(SEARCH("B1",I59)))</formula>
    </cfRule>
    <cfRule type="containsText" dxfId="740" priority="625" operator="containsText" text="A2">
      <formula>NOT(ISERROR(SEARCH("A2",I59)))</formula>
    </cfRule>
    <cfRule type="containsText" dxfId="739" priority="626" operator="containsText" text="Domestic">
      <formula>NOT(ISERROR(SEARCH("Domestic",I59)))</formula>
    </cfRule>
    <cfRule type="containsText" dxfId="738" priority="627" operator="containsText" text="Re-join">
      <formula>NOT(ISERROR(SEARCH("Re-join",I59)))</formula>
    </cfRule>
    <cfRule type="containsText" dxfId="737" priority="628" operator="containsText" text="Resigned">
      <formula>NOT(ISERROR(SEARCH("Resigned",I59)))</formula>
    </cfRule>
    <cfRule type="containsText" dxfId="736" priority="629" operator="containsText" text="Dismissed">
      <formula>NOT(ISERROR(SEARCH("Dismissed",I59)))</formula>
    </cfRule>
    <cfRule type="containsText" dxfId="735" priority="630" operator="containsText" text="Nearshore">
      <formula>NOT(ISERROR(SEARCH("Nearshore",I59)))</formula>
    </cfRule>
    <cfRule type="containsText" dxfId="734" priority="631" operator="containsText" text="Freedom">
      <formula>NOT(ISERROR(SEARCH("Freedom",I59)))</formula>
    </cfRule>
    <cfRule type="containsText" dxfId="733" priority="632" operator="containsText" text="WU">
      <formula>NOT(ISERROR(SEARCH("WU",I59)))</formula>
    </cfRule>
    <cfRule type="containsText" dxfId="732" priority="633" operator="containsText" text="Expedia">
      <formula>NOT(ISERROR(SEARCH("Expedia",I59)))</formula>
    </cfRule>
  </conditionalFormatting>
  <conditionalFormatting sqref="I59">
    <cfRule type="containsText" dxfId="731" priority="623" operator="containsText" text="Du Enterprise">
      <formula>NOT(ISERROR(SEARCH("Du Enterprise",I59)))</formula>
    </cfRule>
  </conditionalFormatting>
  <conditionalFormatting sqref="F60:F63">
    <cfRule type="duplicateValues" dxfId="730" priority="622"/>
  </conditionalFormatting>
  <conditionalFormatting sqref="E60:E63">
    <cfRule type="duplicateValues" dxfId="729" priority="621"/>
  </conditionalFormatting>
  <conditionalFormatting sqref="H60:H63">
    <cfRule type="duplicateValues" dxfId="728" priority="620"/>
  </conditionalFormatting>
  <conditionalFormatting sqref="I60:I63">
    <cfRule type="containsText" dxfId="727" priority="610" operator="containsText" text="B1">
      <formula>NOT(ISERROR(SEARCH("B1",I60)))</formula>
    </cfRule>
    <cfRule type="containsText" dxfId="726" priority="611" operator="containsText" text="A2">
      <formula>NOT(ISERROR(SEARCH("A2",I60)))</formula>
    </cfRule>
    <cfRule type="containsText" dxfId="725" priority="612" operator="containsText" text="Domestic">
      <formula>NOT(ISERROR(SEARCH("Domestic",I60)))</formula>
    </cfRule>
    <cfRule type="containsText" dxfId="724" priority="613" operator="containsText" text="Re-join">
      <formula>NOT(ISERROR(SEARCH("Re-join",I60)))</formula>
    </cfRule>
    <cfRule type="containsText" dxfId="723" priority="614" operator="containsText" text="Resigned">
      <formula>NOT(ISERROR(SEARCH("Resigned",I60)))</formula>
    </cfRule>
    <cfRule type="containsText" dxfId="722" priority="615" operator="containsText" text="Dismissed">
      <formula>NOT(ISERROR(SEARCH("Dismissed",I60)))</formula>
    </cfRule>
    <cfRule type="containsText" dxfId="721" priority="616" operator="containsText" text="Nearshore">
      <formula>NOT(ISERROR(SEARCH("Nearshore",I60)))</formula>
    </cfRule>
    <cfRule type="containsText" dxfId="720" priority="617" operator="containsText" text="Freedom">
      <formula>NOT(ISERROR(SEARCH("Freedom",I60)))</formula>
    </cfRule>
    <cfRule type="containsText" dxfId="719" priority="618" operator="containsText" text="WU">
      <formula>NOT(ISERROR(SEARCH("WU",I60)))</formula>
    </cfRule>
    <cfRule type="containsText" dxfId="718" priority="619" operator="containsText" text="Expedia">
      <formula>NOT(ISERROR(SEARCH("Expedia",I60)))</formula>
    </cfRule>
  </conditionalFormatting>
  <conditionalFormatting sqref="I60:I63">
    <cfRule type="containsText" dxfId="717" priority="609" operator="containsText" text="Du Enterprise">
      <formula>NOT(ISERROR(SEARCH("Du Enterprise",I60)))</formula>
    </cfRule>
  </conditionalFormatting>
  <conditionalFormatting sqref="F64:F67">
    <cfRule type="duplicateValues" dxfId="716" priority="608"/>
  </conditionalFormatting>
  <conditionalFormatting sqref="E64:E67">
    <cfRule type="duplicateValues" dxfId="715" priority="607"/>
  </conditionalFormatting>
  <conditionalFormatting sqref="H64:H67">
    <cfRule type="duplicateValues" dxfId="714" priority="606"/>
  </conditionalFormatting>
  <conditionalFormatting sqref="I64:I67">
    <cfRule type="containsText" dxfId="713" priority="596" operator="containsText" text="B1">
      <formula>NOT(ISERROR(SEARCH("B1",I64)))</formula>
    </cfRule>
    <cfRule type="containsText" dxfId="712" priority="597" operator="containsText" text="A2">
      <formula>NOT(ISERROR(SEARCH("A2",I64)))</formula>
    </cfRule>
    <cfRule type="containsText" dxfId="711" priority="598" operator="containsText" text="Domestic">
      <formula>NOT(ISERROR(SEARCH("Domestic",I64)))</formula>
    </cfRule>
    <cfRule type="containsText" dxfId="710" priority="599" operator="containsText" text="Re-join">
      <formula>NOT(ISERROR(SEARCH("Re-join",I64)))</formula>
    </cfRule>
    <cfRule type="containsText" dxfId="709" priority="600" operator="containsText" text="Resigned">
      <formula>NOT(ISERROR(SEARCH("Resigned",I64)))</formula>
    </cfRule>
    <cfRule type="containsText" dxfId="708" priority="601" operator="containsText" text="Dismissed">
      <formula>NOT(ISERROR(SEARCH("Dismissed",I64)))</formula>
    </cfRule>
    <cfRule type="containsText" dxfId="707" priority="602" operator="containsText" text="Nearshore">
      <formula>NOT(ISERROR(SEARCH("Nearshore",I64)))</formula>
    </cfRule>
    <cfRule type="containsText" dxfId="706" priority="603" operator="containsText" text="Freedom">
      <formula>NOT(ISERROR(SEARCH("Freedom",I64)))</formula>
    </cfRule>
    <cfRule type="containsText" dxfId="705" priority="604" operator="containsText" text="WU">
      <formula>NOT(ISERROR(SEARCH("WU",I64)))</formula>
    </cfRule>
    <cfRule type="containsText" dxfId="704" priority="605" operator="containsText" text="Expedia">
      <formula>NOT(ISERROR(SEARCH("Expedia",I64)))</formula>
    </cfRule>
  </conditionalFormatting>
  <conditionalFormatting sqref="I64:I67">
    <cfRule type="containsText" dxfId="703" priority="595" operator="containsText" text="Du Enterprise">
      <formula>NOT(ISERROR(SEARCH("Du Enterprise",I64)))</formula>
    </cfRule>
  </conditionalFormatting>
  <conditionalFormatting sqref="F68:F71">
    <cfRule type="duplicateValues" dxfId="702" priority="594"/>
  </conditionalFormatting>
  <conditionalFormatting sqref="E68:E71">
    <cfRule type="duplicateValues" dxfId="701" priority="593"/>
  </conditionalFormatting>
  <conditionalFormatting sqref="H68:H71">
    <cfRule type="duplicateValues" dxfId="700" priority="592"/>
  </conditionalFormatting>
  <conditionalFormatting sqref="I68:I71">
    <cfRule type="containsText" dxfId="699" priority="582" operator="containsText" text="B1">
      <formula>NOT(ISERROR(SEARCH("B1",I68)))</formula>
    </cfRule>
    <cfRule type="containsText" dxfId="698" priority="583" operator="containsText" text="A2">
      <formula>NOT(ISERROR(SEARCH("A2",I68)))</formula>
    </cfRule>
    <cfRule type="containsText" dxfId="697" priority="584" operator="containsText" text="Domestic">
      <formula>NOT(ISERROR(SEARCH("Domestic",I68)))</formula>
    </cfRule>
    <cfRule type="containsText" dxfId="696" priority="585" operator="containsText" text="Re-join">
      <formula>NOT(ISERROR(SEARCH("Re-join",I68)))</formula>
    </cfRule>
    <cfRule type="containsText" dxfId="695" priority="586" operator="containsText" text="Resigned">
      <formula>NOT(ISERROR(SEARCH("Resigned",I68)))</formula>
    </cfRule>
    <cfRule type="containsText" dxfId="694" priority="587" operator="containsText" text="Dismissed">
      <formula>NOT(ISERROR(SEARCH("Dismissed",I68)))</formula>
    </cfRule>
    <cfRule type="containsText" dxfId="693" priority="588" operator="containsText" text="Nearshore">
      <formula>NOT(ISERROR(SEARCH("Nearshore",I68)))</formula>
    </cfRule>
    <cfRule type="containsText" dxfId="692" priority="589" operator="containsText" text="Freedom">
      <formula>NOT(ISERROR(SEARCH("Freedom",I68)))</formula>
    </cfRule>
    <cfRule type="containsText" dxfId="691" priority="590" operator="containsText" text="WU">
      <formula>NOT(ISERROR(SEARCH("WU",I68)))</formula>
    </cfRule>
    <cfRule type="containsText" dxfId="690" priority="591" operator="containsText" text="Expedia">
      <formula>NOT(ISERROR(SEARCH("Expedia",I68)))</formula>
    </cfRule>
  </conditionalFormatting>
  <conditionalFormatting sqref="I68:I71">
    <cfRule type="containsText" dxfId="689" priority="581" operator="containsText" text="Du Enterprise">
      <formula>NOT(ISERROR(SEARCH("Du Enterprise",I68)))</formula>
    </cfRule>
  </conditionalFormatting>
  <conditionalFormatting sqref="I55">
    <cfRule type="containsText" dxfId="688" priority="566" operator="containsText" text="B1">
      <formula>NOT(ISERROR(SEARCH("B1",I55)))</formula>
    </cfRule>
    <cfRule type="containsText" dxfId="687" priority="567" operator="containsText" text="A2">
      <formula>NOT(ISERROR(SEARCH("A2",I55)))</formula>
    </cfRule>
    <cfRule type="containsText" dxfId="686" priority="568" operator="containsText" text="Domestic">
      <formula>NOT(ISERROR(SEARCH("Domestic",I55)))</formula>
    </cfRule>
    <cfRule type="containsText" dxfId="685" priority="569" operator="containsText" text="Re-join">
      <formula>NOT(ISERROR(SEARCH("Re-join",I55)))</formula>
    </cfRule>
    <cfRule type="containsText" dxfId="684" priority="570" operator="containsText" text="Resigned">
      <formula>NOT(ISERROR(SEARCH("Resigned",I55)))</formula>
    </cfRule>
    <cfRule type="containsText" dxfId="683" priority="571" operator="containsText" text="Dismissed">
      <formula>NOT(ISERROR(SEARCH("Dismissed",I55)))</formula>
    </cfRule>
    <cfRule type="containsText" dxfId="682" priority="572" operator="containsText" text="Nearshore">
      <formula>NOT(ISERROR(SEARCH("Nearshore",I55)))</formula>
    </cfRule>
    <cfRule type="containsText" dxfId="681" priority="573" operator="containsText" text="Freedom">
      <formula>NOT(ISERROR(SEARCH("Freedom",I55)))</formula>
    </cfRule>
    <cfRule type="containsText" dxfId="680" priority="574" operator="containsText" text="WU">
      <formula>NOT(ISERROR(SEARCH("WU",I55)))</formula>
    </cfRule>
    <cfRule type="containsText" dxfId="679" priority="575" operator="containsText" text="Expedia">
      <formula>NOT(ISERROR(SEARCH("Expedia",I55)))</formula>
    </cfRule>
  </conditionalFormatting>
  <conditionalFormatting sqref="I55">
    <cfRule type="containsText" dxfId="678" priority="565" operator="containsText" text="Du Enterprise">
      <formula>NOT(ISERROR(SEARCH("Du Enterprise",I55)))</formula>
    </cfRule>
  </conditionalFormatting>
  <conditionalFormatting sqref="J55">
    <cfRule type="containsText" dxfId="677" priority="555" operator="containsText" text="B1">
      <formula>NOT(ISERROR(SEARCH("B1",J55)))</formula>
    </cfRule>
    <cfRule type="containsText" dxfId="676" priority="556" operator="containsText" text="A2">
      <formula>NOT(ISERROR(SEARCH("A2",J55)))</formula>
    </cfRule>
    <cfRule type="containsText" dxfId="675" priority="557" operator="containsText" text="Domestic">
      <formula>NOT(ISERROR(SEARCH("Domestic",J55)))</formula>
    </cfRule>
    <cfRule type="containsText" dxfId="674" priority="558" operator="containsText" text="Re-join">
      <formula>NOT(ISERROR(SEARCH("Re-join",J55)))</formula>
    </cfRule>
    <cfRule type="containsText" dxfId="673" priority="559" operator="containsText" text="Resigned">
      <formula>NOT(ISERROR(SEARCH("Resigned",J55)))</formula>
    </cfRule>
    <cfRule type="containsText" dxfId="672" priority="560" operator="containsText" text="Dismissed">
      <formula>NOT(ISERROR(SEARCH("Dismissed",J55)))</formula>
    </cfRule>
    <cfRule type="containsText" dxfId="671" priority="561" operator="containsText" text="Nearshore">
      <formula>NOT(ISERROR(SEARCH("Nearshore",J55)))</formula>
    </cfRule>
    <cfRule type="containsText" dxfId="670" priority="562" operator="containsText" text="Freedom">
      <formula>NOT(ISERROR(SEARCH("Freedom",J55)))</formula>
    </cfRule>
    <cfRule type="containsText" dxfId="669" priority="563" operator="containsText" text="WU">
      <formula>NOT(ISERROR(SEARCH("WU",J55)))</formula>
    </cfRule>
    <cfRule type="containsText" dxfId="668" priority="564" operator="containsText" text="Expedia">
      <formula>NOT(ISERROR(SEARCH("Expedia",J55)))</formula>
    </cfRule>
  </conditionalFormatting>
  <conditionalFormatting sqref="J55">
    <cfRule type="containsText" dxfId="667" priority="554" operator="containsText" text="Du Enterprise">
      <formula>NOT(ISERROR(SEARCH("Du Enterprise",J55)))</formula>
    </cfRule>
  </conditionalFormatting>
  <conditionalFormatting sqref="F55">
    <cfRule type="duplicateValues" dxfId="666" priority="579"/>
  </conditionalFormatting>
  <conditionalFormatting sqref="E55:F55">
    <cfRule type="duplicateValues" dxfId="665" priority="578"/>
  </conditionalFormatting>
  <conditionalFormatting sqref="F55">
    <cfRule type="duplicateValues" dxfId="664" priority="577"/>
  </conditionalFormatting>
  <conditionalFormatting sqref="F55">
    <cfRule type="duplicateValues" dxfId="663" priority="576"/>
  </conditionalFormatting>
  <conditionalFormatting sqref="H55">
    <cfRule type="duplicateValues" dxfId="662" priority="580"/>
  </conditionalFormatting>
  <conditionalFormatting sqref="K55">
    <cfRule type="containsText" dxfId="661" priority="544" operator="containsText" text="B1">
      <formula>NOT(ISERROR(SEARCH("B1",K55)))</formula>
    </cfRule>
    <cfRule type="containsText" dxfId="660" priority="545" operator="containsText" text="A2">
      <formula>NOT(ISERROR(SEARCH("A2",K55)))</formula>
    </cfRule>
    <cfRule type="containsText" dxfId="659" priority="546" operator="containsText" text="Domestic">
      <formula>NOT(ISERROR(SEARCH("Domestic",K55)))</formula>
    </cfRule>
    <cfRule type="containsText" dxfId="658" priority="547" operator="containsText" text="Re-join">
      <formula>NOT(ISERROR(SEARCH("Re-join",K55)))</formula>
    </cfRule>
    <cfRule type="containsText" dxfId="657" priority="548" operator="containsText" text="Resigned">
      <formula>NOT(ISERROR(SEARCH("Resigned",K55)))</formula>
    </cfRule>
    <cfRule type="containsText" dxfId="656" priority="549" operator="containsText" text="Dismissed">
      <formula>NOT(ISERROR(SEARCH("Dismissed",K55)))</formula>
    </cfRule>
    <cfRule type="containsText" dxfId="655" priority="550" operator="containsText" text="Nearshore">
      <formula>NOT(ISERROR(SEARCH("Nearshore",K55)))</formula>
    </cfRule>
    <cfRule type="containsText" dxfId="654" priority="551" operator="containsText" text="Freedom">
      <formula>NOT(ISERROR(SEARCH("Freedom",K55)))</formula>
    </cfRule>
    <cfRule type="containsText" dxfId="653" priority="552" operator="containsText" text="WU">
      <formula>NOT(ISERROR(SEARCH("WU",K55)))</formula>
    </cfRule>
    <cfRule type="containsText" dxfId="652" priority="553" operator="containsText" text="Expedia">
      <formula>NOT(ISERROR(SEARCH("Expedia",K55)))</formula>
    </cfRule>
  </conditionalFormatting>
  <conditionalFormatting sqref="K55">
    <cfRule type="containsText" dxfId="651" priority="543" operator="containsText" text="Du Enterprise">
      <formula>NOT(ISERROR(SEARCH("Du Enterprise",K55)))</formula>
    </cfRule>
  </conditionalFormatting>
  <conditionalFormatting sqref="F74">
    <cfRule type="duplicateValues" dxfId="650" priority="542"/>
  </conditionalFormatting>
  <conditionalFormatting sqref="E74">
    <cfRule type="duplicateValues" dxfId="649" priority="541"/>
  </conditionalFormatting>
  <conditionalFormatting sqref="H74">
    <cfRule type="duplicateValues" dxfId="648" priority="540"/>
  </conditionalFormatting>
  <conditionalFormatting sqref="I74">
    <cfRule type="containsText" dxfId="647" priority="530" operator="containsText" text="B1">
      <formula>NOT(ISERROR(SEARCH("B1",I74)))</formula>
    </cfRule>
    <cfRule type="containsText" dxfId="646" priority="531" operator="containsText" text="A2">
      <formula>NOT(ISERROR(SEARCH("A2",I74)))</formula>
    </cfRule>
    <cfRule type="containsText" dxfId="645" priority="532" operator="containsText" text="Domestic">
      <formula>NOT(ISERROR(SEARCH("Domestic",I74)))</formula>
    </cfRule>
    <cfRule type="containsText" dxfId="644" priority="533" operator="containsText" text="Re-join">
      <formula>NOT(ISERROR(SEARCH("Re-join",I74)))</formula>
    </cfRule>
    <cfRule type="containsText" dxfId="643" priority="534" operator="containsText" text="Resigned">
      <formula>NOT(ISERROR(SEARCH("Resigned",I74)))</formula>
    </cfRule>
    <cfRule type="containsText" dxfId="642" priority="535" operator="containsText" text="Dismissed">
      <formula>NOT(ISERROR(SEARCH("Dismissed",I74)))</formula>
    </cfRule>
    <cfRule type="containsText" dxfId="641" priority="536" operator="containsText" text="Nearshore">
      <formula>NOT(ISERROR(SEARCH("Nearshore",I74)))</formula>
    </cfRule>
    <cfRule type="containsText" dxfId="640" priority="537" operator="containsText" text="Freedom">
      <formula>NOT(ISERROR(SEARCH("Freedom",I74)))</formula>
    </cfRule>
    <cfRule type="containsText" dxfId="639" priority="538" operator="containsText" text="WU">
      <formula>NOT(ISERROR(SEARCH("WU",I74)))</formula>
    </cfRule>
    <cfRule type="containsText" dxfId="638" priority="539" operator="containsText" text="Expedia">
      <formula>NOT(ISERROR(SEARCH("Expedia",I74)))</formula>
    </cfRule>
  </conditionalFormatting>
  <conditionalFormatting sqref="I74">
    <cfRule type="containsText" dxfId="637" priority="529" operator="containsText" text="Du Enterprise">
      <formula>NOT(ISERROR(SEARCH("Du Enterprise",I74)))</formula>
    </cfRule>
  </conditionalFormatting>
  <conditionalFormatting sqref="F75:F77">
    <cfRule type="duplicateValues" dxfId="636" priority="528"/>
  </conditionalFormatting>
  <conditionalFormatting sqref="E75:E77">
    <cfRule type="duplicateValues" dxfId="635" priority="527"/>
  </conditionalFormatting>
  <conditionalFormatting sqref="H75:H77">
    <cfRule type="duplicateValues" dxfId="634" priority="526"/>
  </conditionalFormatting>
  <conditionalFormatting sqref="I75:I77">
    <cfRule type="containsText" dxfId="633" priority="516" operator="containsText" text="B1">
      <formula>NOT(ISERROR(SEARCH("B1",I75)))</formula>
    </cfRule>
    <cfRule type="containsText" dxfId="632" priority="517" operator="containsText" text="A2">
      <formula>NOT(ISERROR(SEARCH("A2",I75)))</formula>
    </cfRule>
    <cfRule type="containsText" dxfId="631" priority="518" operator="containsText" text="Domestic">
      <formula>NOT(ISERROR(SEARCH("Domestic",I75)))</formula>
    </cfRule>
    <cfRule type="containsText" dxfId="630" priority="519" operator="containsText" text="Re-join">
      <formula>NOT(ISERROR(SEARCH("Re-join",I75)))</formula>
    </cfRule>
    <cfRule type="containsText" dxfId="629" priority="520" operator="containsText" text="Resigned">
      <formula>NOT(ISERROR(SEARCH("Resigned",I75)))</formula>
    </cfRule>
    <cfRule type="containsText" dxfId="628" priority="521" operator="containsText" text="Dismissed">
      <formula>NOT(ISERROR(SEARCH("Dismissed",I75)))</formula>
    </cfRule>
    <cfRule type="containsText" dxfId="627" priority="522" operator="containsText" text="Nearshore">
      <formula>NOT(ISERROR(SEARCH("Nearshore",I75)))</formula>
    </cfRule>
    <cfRule type="containsText" dxfId="626" priority="523" operator="containsText" text="Freedom">
      <formula>NOT(ISERROR(SEARCH("Freedom",I75)))</formula>
    </cfRule>
    <cfRule type="containsText" dxfId="625" priority="524" operator="containsText" text="WU">
      <formula>NOT(ISERROR(SEARCH("WU",I75)))</formula>
    </cfRule>
    <cfRule type="containsText" dxfId="624" priority="525" operator="containsText" text="Expedia">
      <formula>NOT(ISERROR(SEARCH("Expedia",I75)))</formula>
    </cfRule>
  </conditionalFormatting>
  <conditionalFormatting sqref="I75:I77">
    <cfRule type="containsText" dxfId="623" priority="515" operator="containsText" text="Du Enterprise">
      <formula>NOT(ISERROR(SEARCH("Du Enterprise",I75)))</formula>
    </cfRule>
  </conditionalFormatting>
  <conditionalFormatting sqref="I73">
    <cfRule type="containsText" dxfId="622" priority="500" operator="containsText" text="B1">
      <formula>NOT(ISERROR(SEARCH("B1",I73)))</formula>
    </cfRule>
    <cfRule type="containsText" dxfId="621" priority="501" operator="containsText" text="A2">
      <formula>NOT(ISERROR(SEARCH("A2",I73)))</formula>
    </cfRule>
    <cfRule type="containsText" dxfId="620" priority="502" operator="containsText" text="Domestic">
      <formula>NOT(ISERROR(SEARCH("Domestic",I73)))</formula>
    </cfRule>
    <cfRule type="containsText" dxfId="619" priority="503" operator="containsText" text="Re-join">
      <formula>NOT(ISERROR(SEARCH("Re-join",I73)))</formula>
    </cfRule>
    <cfRule type="containsText" dxfId="618" priority="504" operator="containsText" text="Resigned">
      <formula>NOT(ISERROR(SEARCH("Resigned",I73)))</formula>
    </cfRule>
    <cfRule type="containsText" dxfId="617" priority="505" operator="containsText" text="Dismissed">
      <formula>NOT(ISERROR(SEARCH("Dismissed",I73)))</formula>
    </cfRule>
    <cfRule type="containsText" dxfId="616" priority="506" operator="containsText" text="Nearshore">
      <formula>NOT(ISERROR(SEARCH("Nearshore",I73)))</formula>
    </cfRule>
    <cfRule type="containsText" dxfId="615" priority="507" operator="containsText" text="Freedom">
      <formula>NOT(ISERROR(SEARCH("Freedom",I73)))</formula>
    </cfRule>
    <cfRule type="containsText" dxfId="614" priority="508" operator="containsText" text="WU">
      <formula>NOT(ISERROR(SEARCH("WU",I73)))</formula>
    </cfRule>
    <cfRule type="containsText" dxfId="613" priority="509" operator="containsText" text="Expedia">
      <formula>NOT(ISERROR(SEARCH("Expedia",I73)))</formula>
    </cfRule>
  </conditionalFormatting>
  <conditionalFormatting sqref="I73">
    <cfRule type="containsText" dxfId="612" priority="499" operator="containsText" text="Du Enterprise">
      <formula>NOT(ISERROR(SEARCH("Du Enterprise",I73)))</formula>
    </cfRule>
  </conditionalFormatting>
  <conditionalFormatting sqref="J73">
    <cfRule type="containsText" dxfId="611" priority="489" operator="containsText" text="B1">
      <formula>NOT(ISERROR(SEARCH("B1",J73)))</formula>
    </cfRule>
    <cfRule type="containsText" dxfId="610" priority="490" operator="containsText" text="A2">
      <formula>NOT(ISERROR(SEARCH("A2",J73)))</formula>
    </cfRule>
    <cfRule type="containsText" dxfId="609" priority="491" operator="containsText" text="Domestic">
      <formula>NOT(ISERROR(SEARCH("Domestic",J73)))</formula>
    </cfRule>
    <cfRule type="containsText" dxfId="608" priority="492" operator="containsText" text="Re-join">
      <formula>NOT(ISERROR(SEARCH("Re-join",J73)))</formula>
    </cfRule>
    <cfRule type="containsText" dxfId="607" priority="493" operator="containsText" text="Resigned">
      <formula>NOT(ISERROR(SEARCH("Resigned",J73)))</formula>
    </cfRule>
    <cfRule type="containsText" dxfId="606" priority="494" operator="containsText" text="Dismissed">
      <formula>NOT(ISERROR(SEARCH("Dismissed",J73)))</formula>
    </cfRule>
    <cfRule type="containsText" dxfId="605" priority="495" operator="containsText" text="Nearshore">
      <formula>NOT(ISERROR(SEARCH("Nearshore",J73)))</formula>
    </cfRule>
    <cfRule type="containsText" dxfId="604" priority="496" operator="containsText" text="Freedom">
      <formula>NOT(ISERROR(SEARCH("Freedom",J73)))</formula>
    </cfRule>
    <cfRule type="containsText" dxfId="603" priority="497" operator="containsText" text="WU">
      <formula>NOT(ISERROR(SEARCH("WU",J73)))</formula>
    </cfRule>
    <cfRule type="containsText" dxfId="602" priority="498" operator="containsText" text="Expedia">
      <formula>NOT(ISERROR(SEARCH("Expedia",J73)))</formula>
    </cfRule>
  </conditionalFormatting>
  <conditionalFormatting sqref="J73">
    <cfRule type="containsText" dxfId="601" priority="488" operator="containsText" text="Du Enterprise">
      <formula>NOT(ISERROR(SEARCH("Du Enterprise",J73)))</formula>
    </cfRule>
  </conditionalFormatting>
  <conditionalFormatting sqref="F73">
    <cfRule type="duplicateValues" dxfId="600" priority="513"/>
  </conditionalFormatting>
  <conditionalFormatting sqref="E73:F73">
    <cfRule type="duplicateValues" dxfId="599" priority="512"/>
  </conditionalFormatting>
  <conditionalFormatting sqref="F73">
    <cfRule type="duplicateValues" dxfId="598" priority="511"/>
  </conditionalFormatting>
  <conditionalFormatting sqref="F73">
    <cfRule type="duplicateValues" dxfId="597" priority="510"/>
  </conditionalFormatting>
  <conditionalFormatting sqref="H73">
    <cfRule type="duplicateValues" dxfId="596" priority="514"/>
  </conditionalFormatting>
  <conditionalFormatting sqref="K73">
    <cfRule type="containsText" dxfId="595" priority="478" operator="containsText" text="B1">
      <formula>NOT(ISERROR(SEARCH("B1",K73)))</formula>
    </cfRule>
    <cfRule type="containsText" dxfId="594" priority="479" operator="containsText" text="A2">
      <formula>NOT(ISERROR(SEARCH("A2",K73)))</formula>
    </cfRule>
    <cfRule type="containsText" dxfId="593" priority="480" operator="containsText" text="Domestic">
      <formula>NOT(ISERROR(SEARCH("Domestic",K73)))</formula>
    </cfRule>
    <cfRule type="containsText" dxfId="592" priority="481" operator="containsText" text="Re-join">
      <formula>NOT(ISERROR(SEARCH("Re-join",K73)))</formula>
    </cfRule>
    <cfRule type="containsText" dxfId="591" priority="482" operator="containsText" text="Resigned">
      <formula>NOT(ISERROR(SEARCH("Resigned",K73)))</formula>
    </cfRule>
    <cfRule type="containsText" dxfId="590" priority="483" operator="containsText" text="Dismissed">
      <formula>NOT(ISERROR(SEARCH("Dismissed",K73)))</formula>
    </cfRule>
    <cfRule type="containsText" dxfId="589" priority="484" operator="containsText" text="Nearshore">
      <formula>NOT(ISERROR(SEARCH("Nearshore",K73)))</formula>
    </cfRule>
    <cfRule type="containsText" dxfId="588" priority="485" operator="containsText" text="Freedom">
      <formula>NOT(ISERROR(SEARCH("Freedom",K73)))</formula>
    </cfRule>
    <cfRule type="containsText" dxfId="587" priority="486" operator="containsText" text="WU">
      <formula>NOT(ISERROR(SEARCH("WU",K73)))</formula>
    </cfRule>
    <cfRule type="containsText" dxfId="586" priority="487" operator="containsText" text="Expedia">
      <formula>NOT(ISERROR(SEARCH("Expedia",K73)))</formula>
    </cfRule>
  </conditionalFormatting>
  <conditionalFormatting sqref="K73">
    <cfRule type="containsText" dxfId="585" priority="477" operator="containsText" text="Du Enterprise">
      <formula>NOT(ISERROR(SEARCH("Du Enterprise",K73)))</formula>
    </cfRule>
  </conditionalFormatting>
  <conditionalFormatting sqref="F10">
    <cfRule type="duplicateValues" dxfId="584" priority="476"/>
  </conditionalFormatting>
  <conditionalFormatting sqref="E10">
    <cfRule type="duplicateValues" dxfId="583" priority="475"/>
  </conditionalFormatting>
  <conditionalFormatting sqref="H10">
    <cfRule type="duplicateValues" dxfId="582" priority="474"/>
  </conditionalFormatting>
  <conditionalFormatting sqref="I10">
    <cfRule type="containsText" dxfId="581" priority="464" operator="containsText" text="B1">
      <formula>NOT(ISERROR(SEARCH("B1",I10)))</formula>
    </cfRule>
    <cfRule type="containsText" dxfId="580" priority="465" operator="containsText" text="A2">
      <formula>NOT(ISERROR(SEARCH("A2",I10)))</formula>
    </cfRule>
    <cfRule type="containsText" dxfId="579" priority="466" operator="containsText" text="Domestic">
      <formula>NOT(ISERROR(SEARCH("Domestic",I10)))</formula>
    </cfRule>
    <cfRule type="containsText" dxfId="578" priority="467" operator="containsText" text="Re-join">
      <formula>NOT(ISERROR(SEARCH("Re-join",I10)))</formula>
    </cfRule>
    <cfRule type="containsText" dxfId="577" priority="468" operator="containsText" text="Resigned">
      <formula>NOT(ISERROR(SEARCH("Resigned",I10)))</formula>
    </cfRule>
    <cfRule type="containsText" dxfId="576" priority="469" operator="containsText" text="Dismissed">
      <formula>NOT(ISERROR(SEARCH("Dismissed",I10)))</formula>
    </cfRule>
    <cfRule type="containsText" dxfId="575" priority="470" operator="containsText" text="Nearshore">
      <formula>NOT(ISERROR(SEARCH("Nearshore",I10)))</formula>
    </cfRule>
    <cfRule type="containsText" dxfId="574" priority="471" operator="containsText" text="Freedom">
      <formula>NOT(ISERROR(SEARCH("Freedom",I10)))</formula>
    </cfRule>
    <cfRule type="containsText" dxfId="573" priority="472" operator="containsText" text="WU">
      <formula>NOT(ISERROR(SEARCH("WU",I10)))</formula>
    </cfRule>
    <cfRule type="containsText" dxfId="572" priority="473" operator="containsText" text="Expedia">
      <formula>NOT(ISERROR(SEARCH("Expedia",I10)))</formula>
    </cfRule>
  </conditionalFormatting>
  <conditionalFormatting sqref="I10">
    <cfRule type="containsText" dxfId="571" priority="463" operator="containsText" text="Du Enterprise">
      <formula>NOT(ISERROR(SEARCH("Du Enterprise",I10)))</formula>
    </cfRule>
  </conditionalFormatting>
  <conditionalFormatting sqref="F28">
    <cfRule type="duplicateValues" dxfId="570" priority="462"/>
  </conditionalFormatting>
  <conditionalFormatting sqref="E28">
    <cfRule type="duplicateValues" dxfId="569" priority="461"/>
  </conditionalFormatting>
  <conditionalFormatting sqref="H28">
    <cfRule type="duplicateValues" dxfId="568" priority="460"/>
  </conditionalFormatting>
  <conditionalFormatting sqref="I28">
    <cfRule type="containsText" dxfId="567" priority="450" operator="containsText" text="B1">
      <formula>NOT(ISERROR(SEARCH("B1",I28)))</formula>
    </cfRule>
    <cfRule type="containsText" dxfId="566" priority="451" operator="containsText" text="A2">
      <formula>NOT(ISERROR(SEARCH("A2",I28)))</formula>
    </cfRule>
    <cfRule type="containsText" dxfId="565" priority="452" operator="containsText" text="Domestic">
      <formula>NOT(ISERROR(SEARCH("Domestic",I28)))</formula>
    </cfRule>
    <cfRule type="containsText" dxfId="564" priority="453" operator="containsText" text="Re-join">
      <formula>NOT(ISERROR(SEARCH("Re-join",I28)))</formula>
    </cfRule>
    <cfRule type="containsText" dxfId="563" priority="454" operator="containsText" text="Resigned">
      <formula>NOT(ISERROR(SEARCH("Resigned",I28)))</formula>
    </cfRule>
    <cfRule type="containsText" dxfId="562" priority="455" operator="containsText" text="Dismissed">
      <formula>NOT(ISERROR(SEARCH("Dismissed",I28)))</formula>
    </cfRule>
    <cfRule type="containsText" dxfId="561" priority="456" operator="containsText" text="Nearshore">
      <formula>NOT(ISERROR(SEARCH("Nearshore",I28)))</formula>
    </cfRule>
    <cfRule type="containsText" dxfId="560" priority="457" operator="containsText" text="Freedom">
      <formula>NOT(ISERROR(SEARCH("Freedom",I28)))</formula>
    </cfRule>
    <cfRule type="containsText" dxfId="559" priority="458" operator="containsText" text="WU">
      <formula>NOT(ISERROR(SEARCH("WU",I28)))</formula>
    </cfRule>
    <cfRule type="containsText" dxfId="558" priority="459" operator="containsText" text="Expedia">
      <formula>NOT(ISERROR(SEARCH("Expedia",I28)))</formula>
    </cfRule>
  </conditionalFormatting>
  <conditionalFormatting sqref="I28">
    <cfRule type="containsText" dxfId="557" priority="449" operator="containsText" text="Du Enterprise">
      <formula>NOT(ISERROR(SEARCH("Du Enterprise",I28)))</formula>
    </cfRule>
  </conditionalFormatting>
  <conditionalFormatting sqref="F13">
    <cfRule type="duplicateValues" dxfId="556" priority="448"/>
  </conditionalFormatting>
  <conditionalFormatting sqref="E13">
    <cfRule type="duplicateValues" dxfId="555" priority="447"/>
  </conditionalFormatting>
  <conditionalFormatting sqref="H13">
    <cfRule type="duplicateValues" dxfId="554" priority="446"/>
  </conditionalFormatting>
  <conditionalFormatting sqref="I13">
    <cfRule type="containsText" dxfId="553" priority="436" operator="containsText" text="B1">
      <formula>NOT(ISERROR(SEARCH("B1",I13)))</formula>
    </cfRule>
    <cfRule type="containsText" dxfId="552" priority="437" operator="containsText" text="A2">
      <formula>NOT(ISERROR(SEARCH("A2",I13)))</formula>
    </cfRule>
    <cfRule type="containsText" dxfId="551" priority="438" operator="containsText" text="Domestic">
      <formula>NOT(ISERROR(SEARCH("Domestic",I13)))</formula>
    </cfRule>
    <cfRule type="containsText" dxfId="550" priority="439" operator="containsText" text="Re-join">
      <formula>NOT(ISERROR(SEARCH("Re-join",I13)))</formula>
    </cfRule>
    <cfRule type="containsText" dxfId="549" priority="440" operator="containsText" text="Resigned">
      <formula>NOT(ISERROR(SEARCH("Resigned",I13)))</formula>
    </cfRule>
    <cfRule type="containsText" dxfId="548" priority="441" operator="containsText" text="Dismissed">
      <formula>NOT(ISERROR(SEARCH("Dismissed",I13)))</formula>
    </cfRule>
    <cfRule type="containsText" dxfId="547" priority="442" operator="containsText" text="Nearshore">
      <formula>NOT(ISERROR(SEARCH("Nearshore",I13)))</formula>
    </cfRule>
    <cfRule type="containsText" dxfId="546" priority="443" operator="containsText" text="Freedom">
      <formula>NOT(ISERROR(SEARCH("Freedom",I13)))</formula>
    </cfRule>
    <cfRule type="containsText" dxfId="545" priority="444" operator="containsText" text="WU">
      <formula>NOT(ISERROR(SEARCH("WU",I13)))</formula>
    </cfRule>
    <cfRule type="containsText" dxfId="544" priority="445" operator="containsText" text="Expedia">
      <formula>NOT(ISERROR(SEARCH("Expedia",I13)))</formula>
    </cfRule>
  </conditionalFormatting>
  <conditionalFormatting sqref="I13">
    <cfRule type="containsText" dxfId="543" priority="435" operator="containsText" text="Du Enterprise">
      <formula>NOT(ISERROR(SEARCH("Du Enterprise",I13)))</formula>
    </cfRule>
  </conditionalFormatting>
  <conditionalFormatting sqref="F29">
    <cfRule type="duplicateValues" dxfId="542" priority="434"/>
  </conditionalFormatting>
  <conditionalFormatting sqref="E29">
    <cfRule type="duplicateValues" dxfId="541" priority="433"/>
  </conditionalFormatting>
  <conditionalFormatting sqref="H29">
    <cfRule type="duplicateValues" dxfId="540" priority="432"/>
  </conditionalFormatting>
  <conditionalFormatting sqref="I29">
    <cfRule type="containsText" dxfId="539" priority="422" operator="containsText" text="B1">
      <formula>NOT(ISERROR(SEARCH("B1",I29)))</formula>
    </cfRule>
    <cfRule type="containsText" dxfId="538" priority="423" operator="containsText" text="A2">
      <formula>NOT(ISERROR(SEARCH("A2",I29)))</formula>
    </cfRule>
    <cfRule type="containsText" dxfId="537" priority="424" operator="containsText" text="Domestic">
      <formula>NOT(ISERROR(SEARCH("Domestic",I29)))</formula>
    </cfRule>
    <cfRule type="containsText" dxfId="536" priority="425" operator="containsText" text="Re-join">
      <formula>NOT(ISERROR(SEARCH("Re-join",I29)))</formula>
    </cfRule>
    <cfRule type="containsText" dxfId="535" priority="426" operator="containsText" text="Resigned">
      <formula>NOT(ISERROR(SEARCH("Resigned",I29)))</formula>
    </cfRule>
    <cfRule type="containsText" dxfId="534" priority="427" operator="containsText" text="Dismissed">
      <formula>NOT(ISERROR(SEARCH("Dismissed",I29)))</formula>
    </cfRule>
    <cfRule type="containsText" dxfId="533" priority="428" operator="containsText" text="Nearshore">
      <formula>NOT(ISERROR(SEARCH("Nearshore",I29)))</formula>
    </cfRule>
    <cfRule type="containsText" dxfId="532" priority="429" operator="containsText" text="Freedom">
      <formula>NOT(ISERROR(SEARCH("Freedom",I29)))</formula>
    </cfRule>
    <cfRule type="containsText" dxfId="531" priority="430" operator="containsText" text="WU">
      <formula>NOT(ISERROR(SEARCH("WU",I29)))</formula>
    </cfRule>
    <cfRule type="containsText" dxfId="530" priority="431" operator="containsText" text="Expedia">
      <formula>NOT(ISERROR(SEARCH("Expedia",I29)))</formula>
    </cfRule>
  </conditionalFormatting>
  <conditionalFormatting sqref="I29">
    <cfRule type="containsText" dxfId="529" priority="421" operator="containsText" text="Du Enterprise">
      <formula>NOT(ISERROR(SEARCH("Du Enterprise",I29)))</formula>
    </cfRule>
  </conditionalFormatting>
  <conditionalFormatting sqref="F30:F32">
    <cfRule type="duplicateValues" dxfId="528" priority="420"/>
  </conditionalFormatting>
  <conditionalFormatting sqref="E30:E32">
    <cfRule type="duplicateValues" dxfId="527" priority="419"/>
  </conditionalFormatting>
  <conditionalFormatting sqref="H30:H32">
    <cfRule type="duplicateValues" dxfId="526" priority="418"/>
  </conditionalFormatting>
  <conditionalFormatting sqref="I30:I32">
    <cfRule type="containsText" dxfId="525" priority="408" operator="containsText" text="B1">
      <formula>NOT(ISERROR(SEARCH("B1",I30)))</formula>
    </cfRule>
    <cfRule type="containsText" dxfId="524" priority="409" operator="containsText" text="A2">
      <formula>NOT(ISERROR(SEARCH("A2",I30)))</formula>
    </cfRule>
    <cfRule type="containsText" dxfId="523" priority="410" operator="containsText" text="Domestic">
      <formula>NOT(ISERROR(SEARCH("Domestic",I30)))</formula>
    </cfRule>
    <cfRule type="containsText" dxfId="522" priority="411" operator="containsText" text="Re-join">
      <formula>NOT(ISERROR(SEARCH("Re-join",I30)))</formula>
    </cfRule>
    <cfRule type="containsText" dxfId="521" priority="412" operator="containsText" text="Resigned">
      <formula>NOT(ISERROR(SEARCH("Resigned",I30)))</formula>
    </cfRule>
    <cfRule type="containsText" dxfId="520" priority="413" operator="containsText" text="Dismissed">
      <formula>NOT(ISERROR(SEARCH("Dismissed",I30)))</formula>
    </cfRule>
    <cfRule type="containsText" dxfId="519" priority="414" operator="containsText" text="Nearshore">
      <formula>NOT(ISERROR(SEARCH("Nearshore",I30)))</formula>
    </cfRule>
    <cfRule type="containsText" dxfId="518" priority="415" operator="containsText" text="Freedom">
      <formula>NOT(ISERROR(SEARCH("Freedom",I30)))</formula>
    </cfRule>
    <cfRule type="containsText" dxfId="517" priority="416" operator="containsText" text="WU">
      <formula>NOT(ISERROR(SEARCH("WU",I30)))</formula>
    </cfRule>
    <cfRule type="containsText" dxfId="516" priority="417" operator="containsText" text="Expedia">
      <formula>NOT(ISERROR(SEARCH("Expedia",I30)))</formula>
    </cfRule>
  </conditionalFormatting>
  <conditionalFormatting sqref="I30:I32">
    <cfRule type="containsText" dxfId="515" priority="407" operator="containsText" text="Du Enterprise">
      <formula>NOT(ISERROR(SEARCH("Du Enterprise",I30)))</formula>
    </cfRule>
  </conditionalFormatting>
  <conditionalFormatting sqref="F14">
    <cfRule type="duplicateValues" dxfId="514" priority="406"/>
  </conditionalFormatting>
  <conditionalFormatting sqref="E14">
    <cfRule type="duplicateValues" dxfId="513" priority="405"/>
  </conditionalFormatting>
  <conditionalFormatting sqref="H14">
    <cfRule type="duplicateValues" dxfId="512" priority="404"/>
  </conditionalFormatting>
  <conditionalFormatting sqref="I14">
    <cfRule type="containsText" dxfId="511" priority="394" operator="containsText" text="B1">
      <formula>NOT(ISERROR(SEARCH("B1",I14)))</formula>
    </cfRule>
    <cfRule type="containsText" dxfId="510" priority="395" operator="containsText" text="A2">
      <formula>NOT(ISERROR(SEARCH("A2",I14)))</formula>
    </cfRule>
    <cfRule type="containsText" dxfId="509" priority="396" operator="containsText" text="Domestic">
      <formula>NOT(ISERROR(SEARCH("Domestic",I14)))</formula>
    </cfRule>
    <cfRule type="containsText" dxfId="508" priority="397" operator="containsText" text="Re-join">
      <formula>NOT(ISERROR(SEARCH("Re-join",I14)))</formula>
    </cfRule>
    <cfRule type="containsText" dxfId="507" priority="398" operator="containsText" text="Resigned">
      <formula>NOT(ISERROR(SEARCH("Resigned",I14)))</formula>
    </cfRule>
    <cfRule type="containsText" dxfId="506" priority="399" operator="containsText" text="Dismissed">
      <formula>NOT(ISERROR(SEARCH("Dismissed",I14)))</formula>
    </cfRule>
    <cfRule type="containsText" dxfId="505" priority="400" operator="containsText" text="Nearshore">
      <formula>NOT(ISERROR(SEARCH("Nearshore",I14)))</formula>
    </cfRule>
    <cfRule type="containsText" dxfId="504" priority="401" operator="containsText" text="Freedom">
      <formula>NOT(ISERROR(SEARCH("Freedom",I14)))</formula>
    </cfRule>
    <cfRule type="containsText" dxfId="503" priority="402" operator="containsText" text="WU">
      <formula>NOT(ISERROR(SEARCH("WU",I14)))</formula>
    </cfRule>
    <cfRule type="containsText" dxfId="502" priority="403" operator="containsText" text="Expedia">
      <formula>NOT(ISERROR(SEARCH("Expedia",I14)))</formula>
    </cfRule>
  </conditionalFormatting>
  <conditionalFormatting sqref="I14">
    <cfRule type="containsText" dxfId="501" priority="393" operator="containsText" text="Du Enterprise">
      <formula>NOT(ISERROR(SEARCH("Du Enterprise",I14)))</formula>
    </cfRule>
  </conditionalFormatting>
  <conditionalFormatting sqref="F15">
    <cfRule type="duplicateValues" dxfId="500" priority="392"/>
  </conditionalFormatting>
  <conditionalFormatting sqref="E15">
    <cfRule type="duplicateValues" dxfId="499" priority="391"/>
  </conditionalFormatting>
  <conditionalFormatting sqref="H15">
    <cfRule type="duplicateValues" dxfId="498" priority="390"/>
  </conditionalFormatting>
  <conditionalFormatting sqref="I15">
    <cfRule type="containsText" dxfId="497" priority="380" operator="containsText" text="B1">
      <formula>NOT(ISERROR(SEARCH("B1",I15)))</formula>
    </cfRule>
    <cfRule type="containsText" dxfId="496" priority="381" operator="containsText" text="A2">
      <formula>NOT(ISERROR(SEARCH("A2",I15)))</formula>
    </cfRule>
    <cfRule type="containsText" dxfId="495" priority="382" operator="containsText" text="Domestic">
      <formula>NOT(ISERROR(SEARCH("Domestic",I15)))</formula>
    </cfRule>
    <cfRule type="containsText" dxfId="494" priority="383" operator="containsText" text="Re-join">
      <formula>NOT(ISERROR(SEARCH("Re-join",I15)))</formula>
    </cfRule>
    <cfRule type="containsText" dxfId="493" priority="384" operator="containsText" text="Resigned">
      <formula>NOT(ISERROR(SEARCH("Resigned",I15)))</formula>
    </cfRule>
    <cfRule type="containsText" dxfId="492" priority="385" operator="containsText" text="Dismissed">
      <formula>NOT(ISERROR(SEARCH("Dismissed",I15)))</formula>
    </cfRule>
    <cfRule type="containsText" dxfId="491" priority="386" operator="containsText" text="Nearshore">
      <formula>NOT(ISERROR(SEARCH("Nearshore",I15)))</formula>
    </cfRule>
    <cfRule type="containsText" dxfId="490" priority="387" operator="containsText" text="Freedom">
      <formula>NOT(ISERROR(SEARCH("Freedom",I15)))</formula>
    </cfRule>
    <cfRule type="containsText" dxfId="489" priority="388" operator="containsText" text="WU">
      <formula>NOT(ISERROR(SEARCH("WU",I15)))</formula>
    </cfRule>
    <cfRule type="containsText" dxfId="488" priority="389" operator="containsText" text="Expedia">
      <formula>NOT(ISERROR(SEARCH("Expedia",I15)))</formula>
    </cfRule>
  </conditionalFormatting>
  <conditionalFormatting sqref="I15">
    <cfRule type="containsText" dxfId="487" priority="379" operator="containsText" text="Du Enterprise">
      <formula>NOT(ISERROR(SEARCH("Du Enterprise",I15)))</formula>
    </cfRule>
  </conditionalFormatting>
  <conditionalFormatting sqref="I16">
    <cfRule type="containsText" dxfId="486" priority="366" operator="containsText" text="B1">
      <formula>NOT(ISERROR(SEARCH("B1",I16)))</formula>
    </cfRule>
    <cfRule type="containsText" dxfId="485" priority="367" operator="containsText" text="A2">
      <formula>NOT(ISERROR(SEARCH("A2",I16)))</formula>
    </cfRule>
    <cfRule type="containsText" dxfId="484" priority="368" operator="containsText" text="Domestic">
      <formula>NOT(ISERROR(SEARCH("Domestic",I16)))</formula>
    </cfRule>
    <cfRule type="containsText" dxfId="483" priority="369" operator="containsText" text="Re-join">
      <formula>NOT(ISERROR(SEARCH("Re-join",I16)))</formula>
    </cfRule>
    <cfRule type="containsText" dxfId="482" priority="370" operator="containsText" text="Resigned">
      <formula>NOT(ISERROR(SEARCH("Resigned",I16)))</formula>
    </cfRule>
    <cfRule type="containsText" dxfId="481" priority="371" operator="containsText" text="Dismissed">
      <formula>NOT(ISERROR(SEARCH("Dismissed",I16)))</formula>
    </cfRule>
    <cfRule type="containsText" dxfId="480" priority="372" operator="containsText" text="Nearshore">
      <formula>NOT(ISERROR(SEARCH("Nearshore",I16)))</formula>
    </cfRule>
    <cfRule type="containsText" dxfId="479" priority="373" operator="containsText" text="Freedom">
      <formula>NOT(ISERROR(SEARCH("Freedom",I16)))</formula>
    </cfRule>
    <cfRule type="containsText" dxfId="478" priority="374" operator="containsText" text="WU">
      <formula>NOT(ISERROR(SEARCH("WU",I16)))</formula>
    </cfRule>
    <cfRule type="containsText" dxfId="477" priority="375" operator="containsText" text="Expedia">
      <formula>NOT(ISERROR(SEARCH("Expedia",I16)))</formula>
    </cfRule>
  </conditionalFormatting>
  <conditionalFormatting sqref="I16">
    <cfRule type="containsText" dxfId="476" priority="365" operator="containsText" text="Du Enterprise">
      <formula>NOT(ISERROR(SEARCH("Du Enterprise",I16)))</formula>
    </cfRule>
  </conditionalFormatting>
  <conditionalFormatting sqref="F17">
    <cfRule type="duplicateValues" dxfId="475" priority="364"/>
  </conditionalFormatting>
  <conditionalFormatting sqref="E17">
    <cfRule type="duplicateValues" dxfId="474" priority="363"/>
  </conditionalFormatting>
  <conditionalFormatting sqref="H17">
    <cfRule type="duplicateValues" dxfId="473" priority="362"/>
  </conditionalFormatting>
  <conditionalFormatting sqref="I17">
    <cfRule type="containsText" dxfId="472" priority="352" operator="containsText" text="B1">
      <formula>NOT(ISERROR(SEARCH("B1",I17)))</formula>
    </cfRule>
    <cfRule type="containsText" dxfId="471" priority="353" operator="containsText" text="A2">
      <formula>NOT(ISERROR(SEARCH("A2",I17)))</formula>
    </cfRule>
    <cfRule type="containsText" dxfId="470" priority="354" operator="containsText" text="Domestic">
      <formula>NOT(ISERROR(SEARCH("Domestic",I17)))</formula>
    </cfRule>
    <cfRule type="containsText" dxfId="469" priority="355" operator="containsText" text="Re-join">
      <formula>NOT(ISERROR(SEARCH("Re-join",I17)))</formula>
    </cfRule>
    <cfRule type="containsText" dxfId="468" priority="356" operator="containsText" text="Resigned">
      <formula>NOT(ISERROR(SEARCH("Resigned",I17)))</formula>
    </cfRule>
    <cfRule type="containsText" dxfId="467" priority="357" operator="containsText" text="Dismissed">
      <formula>NOT(ISERROR(SEARCH("Dismissed",I17)))</formula>
    </cfRule>
    <cfRule type="containsText" dxfId="466" priority="358" operator="containsText" text="Nearshore">
      <formula>NOT(ISERROR(SEARCH("Nearshore",I17)))</formula>
    </cfRule>
    <cfRule type="containsText" dxfId="465" priority="359" operator="containsText" text="Freedom">
      <formula>NOT(ISERROR(SEARCH("Freedom",I17)))</formula>
    </cfRule>
    <cfRule type="containsText" dxfId="464" priority="360" operator="containsText" text="WU">
      <formula>NOT(ISERROR(SEARCH("WU",I17)))</formula>
    </cfRule>
    <cfRule type="containsText" dxfId="463" priority="361" operator="containsText" text="Expedia">
      <formula>NOT(ISERROR(SEARCH("Expedia",I17)))</formula>
    </cfRule>
  </conditionalFormatting>
  <conditionalFormatting sqref="I17">
    <cfRule type="containsText" dxfId="462" priority="351" operator="containsText" text="Du Enterprise">
      <formula>NOT(ISERROR(SEARCH("Du Enterprise",I17)))</formula>
    </cfRule>
  </conditionalFormatting>
  <conditionalFormatting sqref="F33:F34 F37:F38">
    <cfRule type="duplicateValues" dxfId="461" priority="350"/>
  </conditionalFormatting>
  <conditionalFormatting sqref="E33:E34 E37:E38">
    <cfRule type="duplicateValues" dxfId="460" priority="349"/>
  </conditionalFormatting>
  <conditionalFormatting sqref="H33:H34 H37:H38">
    <cfRule type="duplicateValues" dxfId="459" priority="348"/>
  </conditionalFormatting>
  <conditionalFormatting sqref="I33:I34 I37:I38">
    <cfRule type="containsText" dxfId="458" priority="338" operator="containsText" text="B1">
      <formula>NOT(ISERROR(SEARCH("B1",I33)))</formula>
    </cfRule>
    <cfRule type="containsText" dxfId="457" priority="339" operator="containsText" text="A2">
      <formula>NOT(ISERROR(SEARCH("A2",I33)))</formula>
    </cfRule>
    <cfRule type="containsText" dxfId="456" priority="340" operator="containsText" text="Domestic">
      <formula>NOT(ISERROR(SEARCH("Domestic",I33)))</formula>
    </cfRule>
    <cfRule type="containsText" dxfId="455" priority="341" operator="containsText" text="Re-join">
      <formula>NOT(ISERROR(SEARCH("Re-join",I33)))</formula>
    </cfRule>
    <cfRule type="containsText" dxfId="454" priority="342" operator="containsText" text="Resigned">
      <formula>NOT(ISERROR(SEARCH("Resigned",I33)))</formula>
    </cfRule>
    <cfRule type="containsText" dxfId="453" priority="343" operator="containsText" text="Dismissed">
      <formula>NOT(ISERROR(SEARCH("Dismissed",I33)))</formula>
    </cfRule>
    <cfRule type="containsText" dxfId="452" priority="344" operator="containsText" text="Nearshore">
      <formula>NOT(ISERROR(SEARCH("Nearshore",I33)))</formula>
    </cfRule>
    <cfRule type="containsText" dxfId="451" priority="345" operator="containsText" text="Freedom">
      <formula>NOT(ISERROR(SEARCH("Freedom",I33)))</formula>
    </cfRule>
    <cfRule type="containsText" dxfId="450" priority="346" operator="containsText" text="WU">
      <formula>NOT(ISERROR(SEARCH("WU",I33)))</formula>
    </cfRule>
    <cfRule type="containsText" dxfId="449" priority="347" operator="containsText" text="Expedia">
      <formula>NOT(ISERROR(SEARCH("Expedia",I33)))</formula>
    </cfRule>
  </conditionalFormatting>
  <conditionalFormatting sqref="I33:I34 I37:I38">
    <cfRule type="containsText" dxfId="448" priority="337" operator="containsText" text="Du Enterprise">
      <formula>NOT(ISERROR(SEARCH("Du Enterprise",I33)))</formula>
    </cfRule>
  </conditionalFormatting>
  <conditionalFormatting sqref="F18:F19">
    <cfRule type="duplicateValues" dxfId="447" priority="336"/>
  </conditionalFormatting>
  <conditionalFormatting sqref="E18:E19">
    <cfRule type="duplicateValues" dxfId="446" priority="335"/>
  </conditionalFormatting>
  <conditionalFormatting sqref="H18:H19">
    <cfRule type="duplicateValues" dxfId="445" priority="334"/>
  </conditionalFormatting>
  <conditionalFormatting sqref="I18:I19">
    <cfRule type="containsText" dxfId="444" priority="324" operator="containsText" text="B1">
      <formula>NOT(ISERROR(SEARCH("B1",I18)))</formula>
    </cfRule>
    <cfRule type="containsText" dxfId="443" priority="325" operator="containsText" text="A2">
      <formula>NOT(ISERROR(SEARCH("A2",I18)))</formula>
    </cfRule>
    <cfRule type="containsText" dxfId="442" priority="326" operator="containsText" text="Domestic">
      <formula>NOT(ISERROR(SEARCH("Domestic",I18)))</formula>
    </cfRule>
    <cfRule type="containsText" dxfId="441" priority="327" operator="containsText" text="Re-join">
      <formula>NOT(ISERROR(SEARCH("Re-join",I18)))</formula>
    </cfRule>
    <cfRule type="containsText" dxfId="440" priority="328" operator="containsText" text="Resigned">
      <formula>NOT(ISERROR(SEARCH("Resigned",I18)))</formula>
    </cfRule>
    <cfRule type="containsText" dxfId="439" priority="329" operator="containsText" text="Dismissed">
      <formula>NOT(ISERROR(SEARCH("Dismissed",I18)))</formula>
    </cfRule>
    <cfRule type="containsText" dxfId="438" priority="330" operator="containsText" text="Nearshore">
      <formula>NOT(ISERROR(SEARCH("Nearshore",I18)))</formula>
    </cfRule>
    <cfRule type="containsText" dxfId="437" priority="331" operator="containsText" text="Freedom">
      <formula>NOT(ISERROR(SEARCH("Freedom",I18)))</formula>
    </cfRule>
    <cfRule type="containsText" dxfId="436" priority="332" operator="containsText" text="WU">
      <formula>NOT(ISERROR(SEARCH("WU",I18)))</formula>
    </cfRule>
    <cfRule type="containsText" dxfId="435" priority="333" operator="containsText" text="Expedia">
      <formula>NOT(ISERROR(SEARCH("Expedia",I18)))</formula>
    </cfRule>
  </conditionalFormatting>
  <conditionalFormatting sqref="I18:I19">
    <cfRule type="containsText" dxfId="434" priority="323" operator="containsText" text="Du Enterprise">
      <formula>NOT(ISERROR(SEARCH("Du Enterprise",I18)))</formula>
    </cfRule>
  </conditionalFormatting>
  <conditionalFormatting sqref="F35:F36">
    <cfRule type="duplicateValues" dxfId="433" priority="322"/>
  </conditionalFormatting>
  <conditionalFormatting sqref="E35:E36">
    <cfRule type="duplicateValues" dxfId="432" priority="321"/>
  </conditionalFormatting>
  <conditionalFormatting sqref="H35:H36">
    <cfRule type="duplicateValues" dxfId="431" priority="320"/>
  </conditionalFormatting>
  <conditionalFormatting sqref="I35:I36">
    <cfRule type="containsText" dxfId="430" priority="310" operator="containsText" text="B1">
      <formula>NOT(ISERROR(SEARCH("B1",I35)))</formula>
    </cfRule>
    <cfRule type="containsText" dxfId="429" priority="311" operator="containsText" text="A2">
      <formula>NOT(ISERROR(SEARCH("A2",I35)))</formula>
    </cfRule>
    <cfRule type="containsText" dxfId="428" priority="312" operator="containsText" text="Domestic">
      <formula>NOT(ISERROR(SEARCH("Domestic",I35)))</formula>
    </cfRule>
    <cfRule type="containsText" dxfId="427" priority="313" operator="containsText" text="Re-join">
      <formula>NOT(ISERROR(SEARCH("Re-join",I35)))</formula>
    </cfRule>
    <cfRule type="containsText" dxfId="426" priority="314" operator="containsText" text="Resigned">
      <formula>NOT(ISERROR(SEARCH("Resigned",I35)))</formula>
    </cfRule>
    <cfRule type="containsText" dxfId="425" priority="315" operator="containsText" text="Dismissed">
      <formula>NOT(ISERROR(SEARCH("Dismissed",I35)))</formula>
    </cfRule>
    <cfRule type="containsText" dxfId="424" priority="316" operator="containsText" text="Nearshore">
      <formula>NOT(ISERROR(SEARCH("Nearshore",I35)))</formula>
    </cfRule>
    <cfRule type="containsText" dxfId="423" priority="317" operator="containsText" text="Freedom">
      <formula>NOT(ISERROR(SEARCH("Freedom",I35)))</formula>
    </cfRule>
    <cfRule type="containsText" dxfId="422" priority="318" operator="containsText" text="WU">
      <formula>NOT(ISERROR(SEARCH("WU",I35)))</formula>
    </cfRule>
    <cfRule type="containsText" dxfId="421" priority="319" operator="containsText" text="Expedia">
      <formula>NOT(ISERROR(SEARCH("Expedia",I35)))</formula>
    </cfRule>
  </conditionalFormatting>
  <conditionalFormatting sqref="I35:I36">
    <cfRule type="containsText" dxfId="420" priority="309" operator="containsText" text="Du Enterprise">
      <formula>NOT(ISERROR(SEARCH("Du Enterprise",I35)))</formula>
    </cfRule>
  </conditionalFormatting>
  <conditionalFormatting sqref="I20:I22">
    <cfRule type="containsText" dxfId="419" priority="296" operator="containsText" text="B1">
      <formula>NOT(ISERROR(SEARCH("B1",I20)))</formula>
    </cfRule>
    <cfRule type="containsText" dxfId="418" priority="297" operator="containsText" text="A2">
      <formula>NOT(ISERROR(SEARCH("A2",I20)))</formula>
    </cfRule>
    <cfRule type="containsText" dxfId="417" priority="298" operator="containsText" text="Domestic">
      <formula>NOT(ISERROR(SEARCH("Domestic",I20)))</formula>
    </cfRule>
    <cfRule type="containsText" dxfId="416" priority="299" operator="containsText" text="Re-join">
      <formula>NOT(ISERROR(SEARCH("Re-join",I20)))</formula>
    </cfRule>
    <cfRule type="containsText" dxfId="415" priority="300" operator="containsText" text="Resigned">
      <formula>NOT(ISERROR(SEARCH("Resigned",I20)))</formula>
    </cfRule>
    <cfRule type="containsText" dxfId="414" priority="301" operator="containsText" text="Dismissed">
      <formula>NOT(ISERROR(SEARCH("Dismissed",I20)))</formula>
    </cfRule>
    <cfRule type="containsText" dxfId="413" priority="302" operator="containsText" text="Nearshore">
      <formula>NOT(ISERROR(SEARCH("Nearshore",I20)))</formula>
    </cfRule>
    <cfRule type="containsText" dxfId="412" priority="303" operator="containsText" text="Freedom">
      <formula>NOT(ISERROR(SEARCH("Freedom",I20)))</formula>
    </cfRule>
    <cfRule type="containsText" dxfId="411" priority="304" operator="containsText" text="WU">
      <formula>NOT(ISERROR(SEARCH("WU",I20)))</formula>
    </cfRule>
    <cfRule type="containsText" dxfId="410" priority="305" operator="containsText" text="Expedia">
      <formula>NOT(ISERROR(SEARCH("Expedia",I20)))</formula>
    </cfRule>
  </conditionalFormatting>
  <conditionalFormatting sqref="I20:I22">
    <cfRule type="containsText" dxfId="409" priority="295" operator="containsText" text="Du Enterprise">
      <formula>NOT(ISERROR(SEARCH("Du Enterprise",I20)))</formula>
    </cfRule>
  </conditionalFormatting>
  <conditionalFormatting sqref="F23:F25">
    <cfRule type="duplicateValues" dxfId="408" priority="294"/>
  </conditionalFormatting>
  <conditionalFormatting sqref="E23:E25">
    <cfRule type="duplicateValues" dxfId="407" priority="293"/>
  </conditionalFormatting>
  <conditionalFormatting sqref="H23:H25">
    <cfRule type="duplicateValues" dxfId="406" priority="292"/>
  </conditionalFormatting>
  <conditionalFormatting sqref="I23:I25">
    <cfRule type="containsText" dxfId="405" priority="282" operator="containsText" text="B1">
      <formula>NOT(ISERROR(SEARCH("B1",I23)))</formula>
    </cfRule>
    <cfRule type="containsText" dxfId="404" priority="283" operator="containsText" text="A2">
      <formula>NOT(ISERROR(SEARCH("A2",I23)))</formula>
    </cfRule>
    <cfRule type="containsText" dxfId="403" priority="284" operator="containsText" text="Domestic">
      <formula>NOT(ISERROR(SEARCH("Domestic",I23)))</formula>
    </cfRule>
    <cfRule type="containsText" dxfId="402" priority="285" operator="containsText" text="Re-join">
      <formula>NOT(ISERROR(SEARCH("Re-join",I23)))</formula>
    </cfRule>
    <cfRule type="containsText" dxfId="401" priority="286" operator="containsText" text="Resigned">
      <formula>NOT(ISERROR(SEARCH("Resigned",I23)))</formula>
    </cfRule>
    <cfRule type="containsText" dxfId="400" priority="287" operator="containsText" text="Dismissed">
      <formula>NOT(ISERROR(SEARCH("Dismissed",I23)))</formula>
    </cfRule>
    <cfRule type="containsText" dxfId="399" priority="288" operator="containsText" text="Nearshore">
      <formula>NOT(ISERROR(SEARCH("Nearshore",I23)))</formula>
    </cfRule>
    <cfRule type="containsText" dxfId="398" priority="289" operator="containsText" text="Freedom">
      <formula>NOT(ISERROR(SEARCH("Freedom",I23)))</formula>
    </cfRule>
    <cfRule type="containsText" dxfId="397" priority="290" operator="containsText" text="WU">
      <formula>NOT(ISERROR(SEARCH("WU",I23)))</formula>
    </cfRule>
    <cfRule type="containsText" dxfId="396" priority="291" operator="containsText" text="Expedia">
      <formula>NOT(ISERROR(SEARCH("Expedia",I23)))</formula>
    </cfRule>
  </conditionalFormatting>
  <conditionalFormatting sqref="I23:I25">
    <cfRule type="containsText" dxfId="395" priority="281" operator="containsText" text="Du Enterprise">
      <formula>NOT(ISERROR(SEARCH("Du Enterprise",I23)))</formula>
    </cfRule>
  </conditionalFormatting>
  <conditionalFormatting sqref="X21:X25">
    <cfRule type="duplicateValues" dxfId="394" priority="26712"/>
  </conditionalFormatting>
  <conditionalFormatting sqref="W21:W25">
    <cfRule type="duplicateValues" dxfId="393" priority="26713"/>
  </conditionalFormatting>
  <conditionalFormatting sqref="Y21:Y25">
    <cfRule type="duplicateValues" dxfId="392" priority="26714"/>
  </conditionalFormatting>
  <conditionalFormatting sqref="Z21:Z25">
    <cfRule type="duplicateValues" dxfId="391" priority="26715"/>
  </conditionalFormatting>
  <conditionalFormatting sqref="F16">
    <cfRule type="duplicateValues" dxfId="390" priority="26716"/>
  </conditionalFormatting>
  <conditionalFormatting sqref="E16">
    <cfRule type="duplicateValues" dxfId="389" priority="26717"/>
  </conditionalFormatting>
  <conditionalFormatting sqref="H16">
    <cfRule type="duplicateValues" dxfId="388" priority="26718"/>
  </conditionalFormatting>
  <conditionalFormatting sqref="F20:F22">
    <cfRule type="duplicateValues" dxfId="387" priority="26722"/>
  </conditionalFormatting>
  <conditionalFormatting sqref="E20:E22">
    <cfRule type="duplicateValues" dxfId="386" priority="26723"/>
  </conditionalFormatting>
  <conditionalFormatting sqref="H20:H22">
    <cfRule type="duplicateValues" dxfId="385" priority="26724"/>
  </conditionalFormatting>
  <conditionalFormatting sqref="M11">
    <cfRule type="containsText" dxfId="384" priority="271" operator="containsText" text="B1">
      <formula>NOT(ISERROR(SEARCH("B1",M11)))</formula>
    </cfRule>
    <cfRule type="containsText" dxfId="383" priority="272" operator="containsText" text="A2">
      <formula>NOT(ISERROR(SEARCH("A2",M11)))</formula>
    </cfRule>
    <cfRule type="containsText" dxfId="382" priority="273" operator="containsText" text="Domestic">
      <formula>NOT(ISERROR(SEARCH("Domestic",M11)))</formula>
    </cfRule>
    <cfRule type="containsText" dxfId="381" priority="274" operator="containsText" text="Re-join">
      <formula>NOT(ISERROR(SEARCH("Re-join",M11)))</formula>
    </cfRule>
    <cfRule type="containsText" dxfId="380" priority="275" operator="containsText" text="Resigned">
      <formula>NOT(ISERROR(SEARCH("Resigned",M11)))</formula>
    </cfRule>
    <cfRule type="containsText" dxfId="379" priority="276" operator="containsText" text="Dismissed">
      <formula>NOT(ISERROR(SEARCH("Dismissed",M11)))</formula>
    </cfRule>
    <cfRule type="containsText" dxfId="378" priority="277" operator="containsText" text="Nearshore">
      <formula>NOT(ISERROR(SEARCH("Nearshore",M11)))</formula>
    </cfRule>
    <cfRule type="containsText" dxfId="377" priority="278" operator="containsText" text="Freedom">
      <formula>NOT(ISERROR(SEARCH("Freedom",M11)))</formula>
    </cfRule>
    <cfRule type="containsText" dxfId="376" priority="279" operator="containsText" text="WU">
      <formula>NOT(ISERROR(SEARCH("WU",M11)))</formula>
    </cfRule>
    <cfRule type="containsText" dxfId="375" priority="280" operator="containsText" text="Expedia">
      <formula>NOT(ISERROR(SEARCH("Expedia",M11)))</formula>
    </cfRule>
  </conditionalFormatting>
  <conditionalFormatting sqref="M11">
    <cfRule type="containsText" dxfId="374" priority="270" operator="containsText" text="Du Enterprise">
      <formula>NOT(ISERROR(SEARCH("Du Enterprise",M11)))</formula>
    </cfRule>
  </conditionalFormatting>
  <conditionalFormatting sqref="O11">
    <cfRule type="containsText" dxfId="373" priority="249" operator="containsText" text="B1">
      <formula>NOT(ISERROR(SEARCH("B1",O11)))</formula>
    </cfRule>
    <cfRule type="containsText" dxfId="372" priority="250" operator="containsText" text="A2">
      <formula>NOT(ISERROR(SEARCH("A2",O11)))</formula>
    </cfRule>
    <cfRule type="containsText" dxfId="371" priority="251" operator="containsText" text="Domestic">
      <formula>NOT(ISERROR(SEARCH("Domestic",O11)))</formula>
    </cfRule>
    <cfRule type="containsText" dxfId="370" priority="252" operator="containsText" text="Re-join">
      <formula>NOT(ISERROR(SEARCH("Re-join",O11)))</formula>
    </cfRule>
    <cfRule type="containsText" dxfId="369" priority="253" operator="containsText" text="Resigned">
      <formula>NOT(ISERROR(SEARCH("Resigned",O11)))</formula>
    </cfRule>
    <cfRule type="containsText" dxfId="368" priority="254" operator="containsText" text="Dismissed">
      <formula>NOT(ISERROR(SEARCH("Dismissed",O11)))</formula>
    </cfRule>
    <cfRule type="containsText" dxfId="367" priority="255" operator="containsText" text="Nearshore">
      <formula>NOT(ISERROR(SEARCH("Nearshore",O11)))</formula>
    </cfRule>
    <cfRule type="containsText" dxfId="366" priority="256" operator="containsText" text="Freedom">
      <formula>NOT(ISERROR(SEARCH("Freedom",O11)))</formula>
    </cfRule>
    <cfRule type="containsText" dxfId="365" priority="257" operator="containsText" text="WU">
      <formula>NOT(ISERROR(SEARCH("WU",O11)))</formula>
    </cfRule>
    <cfRule type="containsText" dxfId="364" priority="258" operator="containsText" text="Expedia">
      <formula>NOT(ISERROR(SEARCH("Expedia",O11)))</formula>
    </cfRule>
  </conditionalFormatting>
  <conditionalFormatting sqref="O11">
    <cfRule type="containsText" dxfId="363" priority="248" operator="containsText" text="Du Enterprise">
      <formula>NOT(ISERROR(SEARCH("Du Enterprise",O11)))</formula>
    </cfRule>
  </conditionalFormatting>
  <conditionalFormatting sqref="X7">
    <cfRule type="duplicateValues" dxfId="362" priority="247"/>
  </conditionalFormatting>
  <conditionalFormatting sqref="W7">
    <cfRule type="duplicateValues" dxfId="361" priority="246"/>
  </conditionalFormatting>
  <conditionalFormatting sqref="Y7">
    <cfRule type="duplicateValues" dxfId="360" priority="245"/>
  </conditionalFormatting>
  <conditionalFormatting sqref="Z7">
    <cfRule type="duplicateValues" dxfId="359" priority="244"/>
  </conditionalFormatting>
  <conditionalFormatting sqref="AA7">
    <cfRule type="containsText" dxfId="358" priority="234" operator="containsText" text="B1">
      <formula>NOT(ISERROR(SEARCH("B1",AA7)))</formula>
    </cfRule>
    <cfRule type="containsText" dxfId="357" priority="235" operator="containsText" text="A2">
      <formula>NOT(ISERROR(SEARCH("A2",AA7)))</formula>
    </cfRule>
    <cfRule type="containsText" dxfId="356" priority="236" operator="containsText" text="Domestic">
      <formula>NOT(ISERROR(SEARCH("Domestic",AA7)))</formula>
    </cfRule>
    <cfRule type="containsText" dxfId="355" priority="237" operator="containsText" text="Re-join">
      <formula>NOT(ISERROR(SEARCH("Re-join",AA7)))</formula>
    </cfRule>
    <cfRule type="containsText" dxfId="354" priority="238" operator="containsText" text="Resigned">
      <formula>NOT(ISERROR(SEARCH("Resigned",AA7)))</formula>
    </cfRule>
    <cfRule type="containsText" dxfId="353" priority="239" operator="containsText" text="Dismissed">
      <formula>NOT(ISERROR(SEARCH("Dismissed",AA7)))</formula>
    </cfRule>
    <cfRule type="containsText" dxfId="352" priority="240" operator="containsText" text="Nearshore">
      <formula>NOT(ISERROR(SEARCH("Nearshore",AA7)))</formula>
    </cfRule>
    <cfRule type="containsText" dxfId="351" priority="241" operator="containsText" text="Freedom">
      <formula>NOT(ISERROR(SEARCH("Freedom",AA7)))</formula>
    </cfRule>
    <cfRule type="containsText" dxfId="350" priority="242" operator="containsText" text="WU">
      <formula>NOT(ISERROR(SEARCH("WU",AA7)))</formula>
    </cfRule>
    <cfRule type="containsText" dxfId="349" priority="243" operator="containsText" text="Expedia">
      <formula>NOT(ISERROR(SEARCH("Expedia",AA7)))</formula>
    </cfRule>
  </conditionalFormatting>
  <conditionalFormatting sqref="AA7">
    <cfRule type="containsText" dxfId="348" priority="233" operator="containsText" text="Du Enterprise">
      <formula>NOT(ISERROR(SEARCH("Du Enterprise",AA7)))</formula>
    </cfRule>
  </conditionalFormatting>
  <conditionalFormatting sqref="X12">
    <cfRule type="duplicateValues" dxfId="347" priority="217"/>
  </conditionalFormatting>
  <conditionalFormatting sqref="W12">
    <cfRule type="duplicateValues" dxfId="346" priority="216"/>
  </conditionalFormatting>
  <conditionalFormatting sqref="Y12">
    <cfRule type="duplicateValues" dxfId="345" priority="215"/>
  </conditionalFormatting>
  <conditionalFormatting sqref="Z12">
    <cfRule type="duplicateValues" dxfId="344" priority="214"/>
  </conditionalFormatting>
  <conditionalFormatting sqref="AA12">
    <cfRule type="containsText" dxfId="343" priority="204" operator="containsText" text="B1">
      <formula>NOT(ISERROR(SEARCH("B1",AA12)))</formula>
    </cfRule>
    <cfRule type="containsText" dxfId="342" priority="205" operator="containsText" text="A2">
      <formula>NOT(ISERROR(SEARCH("A2",AA12)))</formula>
    </cfRule>
    <cfRule type="containsText" dxfId="341" priority="206" operator="containsText" text="Domestic">
      <formula>NOT(ISERROR(SEARCH("Domestic",AA12)))</formula>
    </cfRule>
    <cfRule type="containsText" dxfId="340" priority="207" operator="containsText" text="Re-join">
      <formula>NOT(ISERROR(SEARCH("Re-join",AA12)))</formula>
    </cfRule>
    <cfRule type="containsText" dxfId="339" priority="208" operator="containsText" text="Resigned">
      <formula>NOT(ISERROR(SEARCH("Resigned",AA12)))</formula>
    </cfRule>
    <cfRule type="containsText" dxfId="338" priority="209" operator="containsText" text="Dismissed">
      <formula>NOT(ISERROR(SEARCH("Dismissed",AA12)))</formula>
    </cfRule>
    <cfRule type="containsText" dxfId="337" priority="210" operator="containsText" text="Nearshore">
      <formula>NOT(ISERROR(SEARCH("Nearshore",AA12)))</formula>
    </cfRule>
    <cfRule type="containsText" dxfId="336" priority="211" operator="containsText" text="Freedom">
      <formula>NOT(ISERROR(SEARCH("Freedom",AA12)))</formula>
    </cfRule>
    <cfRule type="containsText" dxfId="335" priority="212" operator="containsText" text="WU">
      <formula>NOT(ISERROR(SEARCH("WU",AA12)))</formula>
    </cfRule>
    <cfRule type="containsText" dxfId="334" priority="213" operator="containsText" text="Expedia">
      <formula>NOT(ISERROR(SEARCH("Expedia",AA12)))</formula>
    </cfRule>
  </conditionalFormatting>
  <conditionalFormatting sqref="AA12">
    <cfRule type="containsText" dxfId="333" priority="203" operator="containsText" text="Du Enterprise">
      <formula>NOT(ISERROR(SEARCH("Du Enterprise",AA12)))</formula>
    </cfRule>
  </conditionalFormatting>
  <conditionalFormatting sqref="X8">
    <cfRule type="duplicateValues" dxfId="332" priority="202"/>
  </conditionalFormatting>
  <conditionalFormatting sqref="W8">
    <cfRule type="duplicateValues" dxfId="331" priority="201"/>
  </conditionalFormatting>
  <conditionalFormatting sqref="Y8">
    <cfRule type="duplicateValues" dxfId="330" priority="200"/>
  </conditionalFormatting>
  <conditionalFormatting sqref="Z8">
    <cfRule type="duplicateValues" dxfId="329" priority="199"/>
  </conditionalFormatting>
  <conditionalFormatting sqref="AA8">
    <cfRule type="containsText" dxfId="328" priority="189" operator="containsText" text="B1">
      <formula>NOT(ISERROR(SEARCH("B1",AA8)))</formula>
    </cfRule>
    <cfRule type="containsText" dxfId="327" priority="190" operator="containsText" text="A2">
      <formula>NOT(ISERROR(SEARCH("A2",AA8)))</formula>
    </cfRule>
    <cfRule type="containsText" dxfId="326" priority="191" operator="containsText" text="Domestic">
      <formula>NOT(ISERROR(SEARCH("Domestic",AA8)))</formula>
    </cfRule>
    <cfRule type="containsText" dxfId="325" priority="192" operator="containsText" text="Re-join">
      <formula>NOT(ISERROR(SEARCH("Re-join",AA8)))</formula>
    </cfRule>
    <cfRule type="containsText" dxfId="324" priority="193" operator="containsText" text="Resigned">
      <formula>NOT(ISERROR(SEARCH("Resigned",AA8)))</formula>
    </cfRule>
    <cfRule type="containsText" dxfId="323" priority="194" operator="containsText" text="Dismissed">
      <formula>NOT(ISERROR(SEARCH("Dismissed",AA8)))</formula>
    </cfRule>
    <cfRule type="containsText" dxfId="322" priority="195" operator="containsText" text="Nearshore">
      <formula>NOT(ISERROR(SEARCH("Nearshore",AA8)))</formula>
    </cfRule>
    <cfRule type="containsText" dxfId="321" priority="196" operator="containsText" text="Freedom">
      <formula>NOT(ISERROR(SEARCH("Freedom",AA8)))</formula>
    </cfRule>
    <cfRule type="containsText" dxfId="320" priority="197" operator="containsText" text="WU">
      <formula>NOT(ISERROR(SEARCH("WU",AA8)))</formula>
    </cfRule>
    <cfRule type="containsText" dxfId="319" priority="198" operator="containsText" text="Expedia">
      <formula>NOT(ISERROR(SEARCH("Expedia",AA8)))</formula>
    </cfRule>
  </conditionalFormatting>
  <conditionalFormatting sqref="AA8">
    <cfRule type="containsText" dxfId="318" priority="188" operator="containsText" text="Du Enterprise">
      <formula>NOT(ISERROR(SEARCH("Du Enterprise",AA8)))</formula>
    </cfRule>
  </conditionalFormatting>
  <conditionalFormatting sqref="X9">
    <cfRule type="duplicateValues" dxfId="317" priority="187"/>
  </conditionalFormatting>
  <conditionalFormatting sqref="W9">
    <cfRule type="duplicateValues" dxfId="316" priority="186"/>
  </conditionalFormatting>
  <conditionalFormatting sqref="Y9">
    <cfRule type="duplicateValues" dxfId="315" priority="185"/>
  </conditionalFormatting>
  <conditionalFormatting sqref="Z9">
    <cfRule type="duplicateValues" dxfId="314" priority="184"/>
  </conditionalFormatting>
  <conditionalFormatting sqref="AA9">
    <cfRule type="containsText" dxfId="313" priority="174" operator="containsText" text="B1">
      <formula>NOT(ISERROR(SEARCH("B1",AA9)))</formula>
    </cfRule>
    <cfRule type="containsText" dxfId="312" priority="175" operator="containsText" text="A2">
      <formula>NOT(ISERROR(SEARCH("A2",AA9)))</formula>
    </cfRule>
    <cfRule type="containsText" dxfId="311" priority="176" operator="containsText" text="Domestic">
      <formula>NOT(ISERROR(SEARCH("Domestic",AA9)))</formula>
    </cfRule>
    <cfRule type="containsText" dxfId="310" priority="177" operator="containsText" text="Re-join">
      <formula>NOT(ISERROR(SEARCH("Re-join",AA9)))</formula>
    </cfRule>
    <cfRule type="containsText" dxfId="309" priority="178" operator="containsText" text="Resigned">
      <formula>NOT(ISERROR(SEARCH("Resigned",AA9)))</formula>
    </cfRule>
    <cfRule type="containsText" dxfId="308" priority="179" operator="containsText" text="Dismissed">
      <formula>NOT(ISERROR(SEARCH("Dismissed",AA9)))</formula>
    </cfRule>
    <cfRule type="containsText" dxfId="307" priority="180" operator="containsText" text="Nearshore">
      <formula>NOT(ISERROR(SEARCH("Nearshore",AA9)))</formula>
    </cfRule>
    <cfRule type="containsText" dxfId="306" priority="181" operator="containsText" text="Freedom">
      <formula>NOT(ISERROR(SEARCH("Freedom",AA9)))</formula>
    </cfRule>
    <cfRule type="containsText" dxfId="305" priority="182" operator="containsText" text="WU">
      <formula>NOT(ISERROR(SEARCH("WU",AA9)))</formula>
    </cfRule>
    <cfRule type="containsText" dxfId="304" priority="183" operator="containsText" text="Expedia">
      <formula>NOT(ISERROR(SEARCH("Expedia",AA9)))</formula>
    </cfRule>
  </conditionalFormatting>
  <conditionalFormatting sqref="AA9">
    <cfRule type="containsText" dxfId="303" priority="173" operator="containsText" text="Du Enterprise">
      <formula>NOT(ISERROR(SEARCH("Du Enterprise",AA9)))</formula>
    </cfRule>
  </conditionalFormatting>
  <conditionalFormatting sqref="X10">
    <cfRule type="duplicateValues" dxfId="302" priority="172"/>
  </conditionalFormatting>
  <conditionalFormatting sqref="W10">
    <cfRule type="duplicateValues" dxfId="301" priority="171"/>
  </conditionalFormatting>
  <conditionalFormatting sqref="Y10">
    <cfRule type="duplicateValues" dxfId="300" priority="170"/>
  </conditionalFormatting>
  <conditionalFormatting sqref="Z10">
    <cfRule type="duplicateValues" dxfId="299" priority="169"/>
  </conditionalFormatting>
  <conditionalFormatting sqref="AA20">
    <cfRule type="containsText" dxfId="298" priority="2" operator="containsText" text="B1">
      <formula>NOT(ISERROR(SEARCH("B1",AA20)))</formula>
    </cfRule>
    <cfRule type="containsText" dxfId="297" priority="3" operator="containsText" text="A2">
      <formula>NOT(ISERROR(SEARCH("A2",AA20)))</formula>
    </cfRule>
    <cfRule type="containsText" dxfId="296" priority="4" operator="containsText" text="Domestic">
      <formula>NOT(ISERROR(SEARCH("Domestic",AA20)))</formula>
    </cfRule>
    <cfRule type="containsText" dxfId="295" priority="5" operator="containsText" text="Re-join">
      <formula>NOT(ISERROR(SEARCH("Re-join",AA20)))</formula>
    </cfRule>
    <cfRule type="containsText" dxfId="294" priority="6" operator="containsText" text="Resigned">
      <formula>NOT(ISERROR(SEARCH("Resigned",AA20)))</formula>
    </cfRule>
    <cfRule type="containsText" dxfId="293" priority="7" operator="containsText" text="Dismissed">
      <formula>NOT(ISERROR(SEARCH("Dismissed",AA20)))</formula>
    </cfRule>
    <cfRule type="containsText" dxfId="292" priority="8" operator="containsText" text="Nearshore">
      <formula>NOT(ISERROR(SEARCH("Nearshore",AA20)))</formula>
    </cfRule>
    <cfRule type="containsText" dxfId="291" priority="9" operator="containsText" text="Freedom">
      <formula>NOT(ISERROR(SEARCH("Freedom",AA20)))</formula>
    </cfRule>
    <cfRule type="containsText" dxfId="290" priority="10" operator="containsText" text="WU">
      <formula>NOT(ISERROR(SEARCH("WU",AA20)))</formula>
    </cfRule>
    <cfRule type="containsText" dxfId="289" priority="11" operator="containsText" text="Expedia">
      <formula>NOT(ISERROR(SEARCH("Expedia",AA20)))</formula>
    </cfRule>
  </conditionalFormatting>
  <conditionalFormatting sqref="AA20">
    <cfRule type="containsText" dxfId="288" priority="1" operator="containsText" text="Du Enterprise">
      <formula>NOT(ISERROR(SEARCH("Du Enterprise",AA20)))</formula>
    </cfRule>
  </conditionalFormatting>
  <conditionalFormatting sqref="AA10">
    <cfRule type="containsText" dxfId="287" priority="148" operator="containsText" text="B1">
      <formula>NOT(ISERROR(SEARCH("B1",AA10)))</formula>
    </cfRule>
    <cfRule type="containsText" dxfId="286" priority="149" operator="containsText" text="A2">
      <formula>NOT(ISERROR(SEARCH("A2",AA10)))</formula>
    </cfRule>
    <cfRule type="containsText" dxfId="285" priority="150" operator="containsText" text="Domestic">
      <formula>NOT(ISERROR(SEARCH("Domestic",AA10)))</formula>
    </cfRule>
    <cfRule type="containsText" dxfId="284" priority="151" operator="containsText" text="Re-join">
      <formula>NOT(ISERROR(SEARCH("Re-join",AA10)))</formula>
    </cfRule>
    <cfRule type="containsText" dxfId="283" priority="152" operator="containsText" text="Resigned">
      <formula>NOT(ISERROR(SEARCH("Resigned",AA10)))</formula>
    </cfRule>
    <cfRule type="containsText" dxfId="282" priority="153" operator="containsText" text="Dismissed">
      <formula>NOT(ISERROR(SEARCH("Dismissed",AA10)))</formula>
    </cfRule>
    <cfRule type="containsText" dxfId="281" priority="154" operator="containsText" text="Nearshore">
      <formula>NOT(ISERROR(SEARCH("Nearshore",AA10)))</formula>
    </cfRule>
    <cfRule type="containsText" dxfId="280" priority="155" operator="containsText" text="Freedom">
      <formula>NOT(ISERROR(SEARCH("Freedom",AA10)))</formula>
    </cfRule>
    <cfRule type="containsText" dxfId="279" priority="156" operator="containsText" text="WU">
      <formula>NOT(ISERROR(SEARCH("WU",AA10)))</formula>
    </cfRule>
    <cfRule type="containsText" dxfId="278" priority="157" operator="containsText" text="Expedia">
      <formula>NOT(ISERROR(SEARCH("Expedia",AA10)))</formula>
    </cfRule>
  </conditionalFormatting>
  <conditionalFormatting sqref="AA10">
    <cfRule type="containsText" dxfId="277" priority="147" operator="containsText" text="Du Enterprise">
      <formula>NOT(ISERROR(SEARCH("Du Enterprise",AA10)))</formula>
    </cfRule>
  </conditionalFormatting>
  <conditionalFormatting sqref="X11">
    <cfRule type="duplicateValues" dxfId="276" priority="146"/>
  </conditionalFormatting>
  <conditionalFormatting sqref="W11">
    <cfRule type="duplicateValues" dxfId="275" priority="145"/>
  </conditionalFormatting>
  <conditionalFormatting sqref="Y11">
    <cfRule type="duplicateValues" dxfId="274" priority="144"/>
  </conditionalFormatting>
  <conditionalFormatting sqref="Z11">
    <cfRule type="duplicateValues" dxfId="273" priority="143"/>
  </conditionalFormatting>
  <conditionalFormatting sqref="AA11">
    <cfRule type="containsText" dxfId="272" priority="122" operator="containsText" text="B1">
      <formula>NOT(ISERROR(SEARCH("B1",AA11)))</formula>
    </cfRule>
    <cfRule type="containsText" dxfId="271" priority="123" operator="containsText" text="A2">
      <formula>NOT(ISERROR(SEARCH("A2",AA11)))</formula>
    </cfRule>
    <cfRule type="containsText" dxfId="270" priority="124" operator="containsText" text="Domestic">
      <formula>NOT(ISERROR(SEARCH("Domestic",AA11)))</formula>
    </cfRule>
    <cfRule type="containsText" dxfId="269" priority="125" operator="containsText" text="Re-join">
      <formula>NOT(ISERROR(SEARCH("Re-join",AA11)))</formula>
    </cfRule>
    <cfRule type="containsText" dxfId="268" priority="126" operator="containsText" text="Resigned">
      <formula>NOT(ISERROR(SEARCH("Resigned",AA11)))</formula>
    </cfRule>
    <cfRule type="containsText" dxfId="267" priority="127" operator="containsText" text="Dismissed">
      <formula>NOT(ISERROR(SEARCH("Dismissed",AA11)))</formula>
    </cfRule>
    <cfRule type="containsText" dxfId="266" priority="128" operator="containsText" text="Nearshore">
      <formula>NOT(ISERROR(SEARCH("Nearshore",AA11)))</formula>
    </cfRule>
    <cfRule type="containsText" dxfId="265" priority="129" operator="containsText" text="Freedom">
      <formula>NOT(ISERROR(SEARCH("Freedom",AA11)))</formula>
    </cfRule>
    <cfRule type="containsText" dxfId="264" priority="130" operator="containsText" text="WU">
      <formula>NOT(ISERROR(SEARCH("WU",AA11)))</formula>
    </cfRule>
    <cfRule type="containsText" dxfId="263" priority="131" operator="containsText" text="Expedia">
      <formula>NOT(ISERROR(SEARCH("Expedia",AA11)))</formula>
    </cfRule>
  </conditionalFormatting>
  <conditionalFormatting sqref="AA11">
    <cfRule type="containsText" dxfId="262" priority="121" operator="containsText" text="Du Enterprise">
      <formula>NOT(ISERROR(SEARCH("Du Enterprise",AA11)))</formula>
    </cfRule>
  </conditionalFormatting>
  <conditionalFormatting sqref="X13">
    <cfRule type="duplicateValues" dxfId="261" priority="120"/>
  </conditionalFormatting>
  <conditionalFormatting sqref="W13">
    <cfRule type="duplicateValues" dxfId="260" priority="119"/>
  </conditionalFormatting>
  <conditionalFormatting sqref="Y13">
    <cfRule type="duplicateValues" dxfId="259" priority="118"/>
  </conditionalFormatting>
  <conditionalFormatting sqref="Z13">
    <cfRule type="duplicateValues" dxfId="258" priority="117"/>
  </conditionalFormatting>
  <conditionalFormatting sqref="AA13">
    <cfRule type="containsText" dxfId="257" priority="107" operator="containsText" text="B1">
      <formula>NOT(ISERROR(SEARCH("B1",AA13)))</formula>
    </cfRule>
    <cfRule type="containsText" dxfId="256" priority="108" operator="containsText" text="A2">
      <formula>NOT(ISERROR(SEARCH("A2",AA13)))</formula>
    </cfRule>
    <cfRule type="containsText" dxfId="255" priority="109" operator="containsText" text="Domestic">
      <formula>NOT(ISERROR(SEARCH("Domestic",AA13)))</formula>
    </cfRule>
    <cfRule type="containsText" dxfId="254" priority="110" operator="containsText" text="Re-join">
      <formula>NOT(ISERROR(SEARCH("Re-join",AA13)))</formula>
    </cfRule>
    <cfRule type="containsText" dxfId="253" priority="111" operator="containsText" text="Resigned">
      <formula>NOT(ISERROR(SEARCH("Resigned",AA13)))</formula>
    </cfRule>
    <cfRule type="containsText" dxfId="252" priority="112" operator="containsText" text="Dismissed">
      <formula>NOT(ISERROR(SEARCH("Dismissed",AA13)))</formula>
    </cfRule>
    <cfRule type="containsText" dxfId="251" priority="113" operator="containsText" text="Nearshore">
      <formula>NOT(ISERROR(SEARCH("Nearshore",AA13)))</formula>
    </cfRule>
    <cfRule type="containsText" dxfId="250" priority="114" operator="containsText" text="Freedom">
      <formula>NOT(ISERROR(SEARCH("Freedom",AA13)))</formula>
    </cfRule>
    <cfRule type="containsText" dxfId="249" priority="115" operator="containsText" text="WU">
      <formula>NOT(ISERROR(SEARCH("WU",AA13)))</formula>
    </cfRule>
    <cfRule type="containsText" dxfId="248" priority="116" operator="containsText" text="Expedia">
      <formula>NOT(ISERROR(SEARCH("Expedia",AA13)))</formula>
    </cfRule>
  </conditionalFormatting>
  <conditionalFormatting sqref="AA13">
    <cfRule type="containsText" dxfId="247" priority="106" operator="containsText" text="Du Enterprise">
      <formula>NOT(ISERROR(SEARCH("Du Enterprise",AA13)))</formula>
    </cfRule>
  </conditionalFormatting>
  <conditionalFormatting sqref="X14">
    <cfRule type="duplicateValues" dxfId="246" priority="105"/>
  </conditionalFormatting>
  <conditionalFormatting sqref="W14">
    <cfRule type="duplicateValues" dxfId="245" priority="104"/>
  </conditionalFormatting>
  <conditionalFormatting sqref="Y14">
    <cfRule type="duplicateValues" dxfId="244" priority="103"/>
  </conditionalFormatting>
  <conditionalFormatting sqref="Z14">
    <cfRule type="duplicateValues" dxfId="243" priority="102"/>
  </conditionalFormatting>
  <conditionalFormatting sqref="AA14">
    <cfRule type="containsText" dxfId="242" priority="92" operator="containsText" text="B1">
      <formula>NOT(ISERROR(SEARCH("B1",AA14)))</formula>
    </cfRule>
    <cfRule type="containsText" dxfId="241" priority="93" operator="containsText" text="A2">
      <formula>NOT(ISERROR(SEARCH("A2",AA14)))</formula>
    </cfRule>
    <cfRule type="containsText" dxfId="240" priority="94" operator="containsText" text="Domestic">
      <formula>NOT(ISERROR(SEARCH("Domestic",AA14)))</formula>
    </cfRule>
    <cfRule type="containsText" dxfId="239" priority="95" operator="containsText" text="Re-join">
      <formula>NOT(ISERROR(SEARCH("Re-join",AA14)))</formula>
    </cfRule>
    <cfRule type="containsText" dxfId="238" priority="96" operator="containsText" text="Resigned">
      <formula>NOT(ISERROR(SEARCH("Resigned",AA14)))</formula>
    </cfRule>
    <cfRule type="containsText" dxfId="237" priority="97" operator="containsText" text="Dismissed">
      <formula>NOT(ISERROR(SEARCH("Dismissed",AA14)))</formula>
    </cfRule>
    <cfRule type="containsText" dxfId="236" priority="98" operator="containsText" text="Nearshore">
      <formula>NOT(ISERROR(SEARCH("Nearshore",AA14)))</formula>
    </cfRule>
    <cfRule type="containsText" dxfId="235" priority="99" operator="containsText" text="Freedom">
      <formula>NOT(ISERROR(SEARCH("Freedom",AA14)))</formula>
    </cfRule>
    <cfRule type="containsText" dxfId="234" priority="100" operator="containsText" text="WU">
      <formula>NOT(ISERROR(SEARCH("WU",AA14)))</formula>
    </cfRule>
    <cfRule type="containsText" dxfId="233" priority="101" operator="containsText" text="Expedia">
      <formula>NOT(ISERROR(SEARCH("Expedia",AA14)))</formula>
    </cfRule>
  </conditionalFormatting>
  <conditionalFormatting sqref="AA14">
    <cfRule type="containsText" dxfId="232" priority="91" operator="containsText" text="Du Enterprise">
      <formula>NOT(ISERROR(SEARCH("Du Enterprise",AA14)))</formula>
    </cfRule>
  </conditionalFormatting>
  <conditionalFormatting sqref="X15">
    <cfRule type="duplicateValues" dxfId="231" priority="90"/>
  </conditionalFormatting>
  <conditionalFormatting sqref="W15">
    <cfRule type="duplicateValues" dxfId="230" priority="89"/>
  </conditionalFormatting>
  <conditionalFormatting sqref="Y15">
    <cfRule type="duplicateValues" dxfId="229" priority="88"/>
  </conditionalFormatting>
  <conditionalFormatting sqref="Z15">
    <cfRule type="duplicateValues" dxfId="228" priority="87"/>
  </conditionalFormatting>
  <conditionalFormatting sqref="AA15">
    <cfRule type="containsText" dxfId="227" priority="77" operator="containsText" text="B1">
      <formula>NOT(ISERROR(SEARCH("B1",AA15)))</formula>
    </cfRule>
    <cfRule type="containsText" dxfId="226" priority="78" operator="containsText" text="A2">
      <formula>NOT(ISERROR(SEARCH("A2",AA15)))</formula>
    </cfRule>
    <cfRule type="containsText" dxfId="225" priority="79" operator="containsText" text="Domestic">
      <formula>NOT(ISERROR(SEARCH("Domestic",AA15)))</formula>
    </cfRule>
    <cfRule type="containsText" dxfId="224" priority="80" operator="containsText" text="Re-join">
      <formula>NOT(ISERROR(SEARCH("Re-join",AA15)))</formula>
    </cfRule>
    <cfRule type="containsText" dxfId="223" priority="81" operator="containsText" text="Resigned">
      <formula>NOT(ISERROR(SEARCH("Resigned",AA15)))</formula>
    </cfRule>
    <cfRule type="containsText" dxfId="222" priority="82" operator="containsText" text="Dismissed">
      <formula>NOT(ISERROR(SEARCH("Dismissed",AA15)))</formula>
    </cfRule>
    <cfRule type="containsText" dxfId="221" priority="83" operator="containsText" text="Nearshore">
      <formula>NOT(ISERROR(SEARCH("Nearshore",AA15)))</formula>
    </cfRule>
    <cfRule type="containsText" dxfId="220" priority="84" operator="containsText" text="Freedom">
      <formula>NOT(ISERROR(SEARCH("Freedom",AA15)))</formula>
    </cfRule>
    <cfRule type="containsText" dxfId="219" priority="85" operator="containsText" text="WU">
      <formula>NOT(ISERROR(SEARCH("WU",AA15)))</formula>
    </cfRule>
    <cfRule type="containsText" dxfId="218" priority="86" operator="containsText" text="Expedia">
      <formula>NOT(ISERROR(SEARCH("Expedia",AA15)))</formula>
    </cfRule>
  </conditionalFormatting>
  <conditionalFormatting sqref="AA15">
    <cfRule type="containsText" dxfId="217" priority="76" operator="containsText" text="Du Enterprise">
      <formula>NOT(ISERROR(SEARCH("Du Enterprise",AA15)))</formula>
    </cfRule>
  </conditionalFormatting>
  <conditionalFormatting sqref="X16">
    <cfRule type="duplicateValues" dxfId="216" priority="75"/>
  </conditionalFormatting>
  <conditionalFormatting sqref="W16">
    <cfRule type="duplicateValues" dxfId="215" priority="74"/>
  </conditionalFormatting>
  <conditionalFormatting sqref="Y16">
    <cfRule type="duplicateValues" dxfId="214" priority="73"/>
  </conditionalFormatting>
  <conditionalFormatting sqref="Z16">
    <cfRule type="duplicateValues" dxfId="213" priority="72"/>
  </conditionalFormatting>
  <conditionalFormatting sqref="AA16">
    <cfRule type="containsText" dxfId="212" priority="62" operator="containsText" text="B1">
      <formula>NOT(ISERROR(SEARCH("B1",AA16)))</formula>
    </cfRule>
    <cfRule type="containsText" dxfId="211" priority="63" operator="containsText" text="A2">
      <formula>NOT(ISERROR(SEARCH("A2",AA16)))</formula>
    </cfRule>
    <cfRule type="containsText" dxfId="210" priority="64" operator="containsText" text="Domestic">
      <formula>NOT(ISERROR(SEARCH("Domestic",AA16)))</formula>
    </cfRule>
    <cfRule type="containsText" dxfId="209" priority="65" operator="containsText" text="Re-join">
      <formula>NOT(ISERROR(SEARCH("Re-join",AA16)))</formula>
    </cfRule>
    <cfRule type="containsText" dxfId="208" priority="66" operator="containsText" text="Resigned">
      <formula>NOT(ISERROR(SEARCH("Resigned",AA16)))</formula>
    </cfRule>
    <cfRule type="containsText" dxfId="207" priority="67" operator="containsText" text="Dismissed">
      <formula>NOT(ISERROR(SEARCH("Dismissed",AA16)))</formula>
    </cfRule>
    <cfRule type="containsText" dxfId="206" priority="68" operator="containsText" text="Nearshore">
      <formula>NOT(ISERROR(SEARCH("Nearshore",AA16)))</formula>
    </cfRule>
    <cfRule type="containsText" dxfId="205" priority="69" operator="containsText" text="Freedom">
      <formula>NOT(ISERROR(SEARCH("Freedom",AA16)))</formula>
    </cfRule>
    <cfRule type="containsText" dxfId="204" priority="70" operator="containsText" text="WU">
      <formula>NOT(ISERROR(SEARCH("WU",AA16)))</formula>
    </cfRule>
    <cfRule type="containsText" dxfId="203" priority="71" operator="containsText" text="Expedia">
      <formula>NOT(ISERROR(SEARCH("Expedia",AA16)))</formula>
    </cfRule>
  </conditionalFormatting>
  <conditionalFormatting sqref="AA16">
    <cfRule type="containsText" dxfId="202" priority="61" operator="containsText" text="Du Enterprise">
      <formula>NOT(ISERROR(SEARCH("Du Enterprise",AA16)))</formula>
    </cfRule>
  </conditionalFormatting>
  <conditionalFormatting sqref="X17">
    <cfRule type="duplicateValues" dxfId="201" priority="60"/>
  </conditionalFormatting>
  <conditionalFormatting sqref="W17">
    <cfRule type="duplicateValues" dxfId="200" priority="59"/>
  </conditionalFormatting>
  <conditionalFormatting sqref="Y17">
    <cfRule type="duplicateValues" dxfId="199" priority="58"/>
  </conditionalFormatting>
  <conditionalFormatting sqref="Z17">
    <cfRule type="duplicateValues" dxfId="198" priority="57"/>
  </conditionalFormatting>
  <conditionalFormatting sqref="AA17">
    <cfRule type="containsText" dxfId="197" priority="47" operator="containsText" text="B1">
      <formula>NOT(ISERROR(SEARCH("B1",AA17)))</formula>
    </cfRule>
    <cfRule type="containsText" dxfId="196" priority="48" operator="containsText" text="A2">
      <formula>NOT(ISERROR(SEARCH("A2",AA17)))</formula>
    </cfRule>
    <cfRule type="containsText" dxfId="195" priority="49" operator="containsText" text="Domestic">
      <formula>NOT(ISERROR(SEARCH("Domestic",AA17)))</formula>
    </cfRule>
    <cfRule type="containsText" dxfId="194" priority="50" operator="containsText" text="Re-join">
      <formula>NOT(ISERROR(SEARCH("Re-join",AA17)))</formula>
    </cfRule>
    <cfRule type="containsText" dxfId="193" priority="51" operator="containsText" text="Resigned">
      <formula>NOT(ISERROR(SEARCH("Resigned",AA17)))</formula>
    </cfRule>
    <cfRule type="containsText" dxfId="192" priority="52" operator="containsText" text="Dismissed">
      <formula>NOT(ISERROR(SEARCH("Dismissed",AA17)))</formula>
    </cfRule>
    <cfRule type="containsText" dxfId="191" priority="53" operator="containsText" text="Nearshore">
      <formula>NOT(ISERROR(SEARCH("Nearshore",AA17)))</formula>
    </cfRule>
    <cfRule type="containsText" dxfId="190" priority="54" operator="containsText" text="Freedom">
      <formula>NOT(ISERROR(SEARCH("Freedom",AA17)))</formula>
    </cfRule>
    <cfRule type="containsText" dxfId="189" priority="55" operator="containsText" text="WU">
      <formula>NOT(ISERROR(SEARCH("WU",AA17)))</formula>
    </cfRule>
    <cfRule type="containsText" dxfId="188" priority="56" operator="containsText" text="Expedia">
      <formula>NOT(ISERROR(SEARCH("Expedia",AA17)))</formula>
    </cfRule>
  </conditionalFormatting>
  <conditionalFormatting sqref="AA17">
    <cfRule type="containsText" dxfId="187" priority="46" operator="containsText" text="Du Enterprise">
      <formula>NOT(ISERROR(SEARCH("Du Enterprise",AA17)))</formula>
    </cfRule>
  </conditionalFormatting>
  <conditionalFormatting sqref="X18">
    <cfRule type="duplicateValues" dxfId="186" priority="45"/>
  </conditionalFormatting>
  <conditionalFormatting sqref="W18">
    <cfRule type="duplicateValues" dxfId="185" priority="44"/>
  </conditionalFormatting>
  <conditionalFormatting sqref="Y18">
    <cfRule type="duplicateValues" dxfId="184" priority="43"/>
  </conditionalFormatting>
  <conditionalFormatting sqref="Z18">
    <cfRule type="duplicateValues" dxfId="183" priority="42"/>
  </conditionalFormatting>
  <conditionalFormatting sqref="AA18">
    <cfRule type="containsText" dxfId="182" priority="32" operator="containsText" text="B1">
      <formula>NOT(ISERROR(SEARCH("B1",AA18)))</formula>
    </cfRule>
    <cfRule type="containsText" dxfId="181" priority="33" operator="containsText" text="A2">
      <formula>NOT(ISERROR(SEARCH("A2",AA18)))</formula>
    </cfRule>
    <cfRule type="containsText" dxfId="180" priority="34" operator="containsText" text="Domestic">
      <formula>NOT(ISERROR(SEARCH("Domestic",AA18)))</formula>
    </cfRule>
    <cfRule type="containsText" dxfId="179" priority="35" operator="containsText" text="Re-join">
      <formula>NOT(ISERROR(SEARCH("Re-join",AA18)))</formula>
    </cfRule>
    <cfRule type="containsText" dxfId="178" priority="36" operator="containsText" text="Resigned">
      <formula>NOT(ISERROR(SEARCH("Resigned",AA18)))</formula>
    </cfRule>
    <cfRule type="containsText" dxfId="177" priority="37" operator="containsText" text="Dismissed">
      <formula>NOT(ISERROR(SEARCH("Dismissed",AA18)))</formula>
    </cfRule>
    <cfRule type="containsText" dxfId="176" priority="38" operator="containsText" text="Nearshore">
      <formula>NOT(ISERROR(SEARCH("Nearshore",AA18)))</formula>
    </cfRule>
    <cfRule type="containsText" dxfId="175" priority="39" operator="containsText" text="Freedom">
      <formula>NOT(ISERROR(SEARCH("Freedom",AA18)))</formula>
    </cfRule>
    <cfRule type="containsText" dxfId="174" priority="40" operator="containsText" text="WU">
      <formula>NOT(ISERROR(SEARCH("WU",AA18)))</formula>
    </cfRule>
    <cfRule type="containsText" dxfId="173" priority="41" operator="containsText" text="Expedia">
      <formula>NOT(ISERROR(SEARCH("Expedia",AA18)))</formula>
    </cfRule>
  </conditionalFormatting>
  <conditionalFormatting sqref="AA18">
    <cfRule type="containsText" dxfId="172" priority="31" operator="containsText" text="Du Enterprise">
      <formula>NOT(ISERROR(SEARCH("Du Enterprise",AA18)))</formula>
    </cfRule>
  </conditionalFormatting>
  <conditionalFormatting sqref="X19">
    <cfRule type="duplicateValues" dxfId="171" priority="30"/>
  </conditionalFormatting>
  <conditionalFormatting sqref="W19">
    <cfRule type="duplicateValues" dxfId="170" priority="29"/>
  </conditionalFormatting>
  <conditionalFormatting sqref="Y19">
    <cfRule type="duplicateValues" dxfId="169" priority="28"/>
  </conditionalFormatting>
  <conditionalFormatting sqref="Z19">
    <cfRule type="duplicateValues" dxfId="168" priority="27"/>
  </conditionalFormatting>
  <conditionalFormatting sqref="AA19">
    <cfRule type="containsText" dxfId="167" priority="17" operator="containsText" text="B1">
      <formula>NOT(ISERROR(SEARCH("B1",AA19)))</formula>
    </cfRule>
    <cfRule type="containsText" dxfId="166" priority="18" operator="containsText" text="A2">
      <formula>NOT(ISERROR(SEARCH("A2",AA19)))</formula>
    </cfRule>
    <cfRule type="containsText" dxfId="165" priority="19" operator="containsText" text="Domestic">
      <formula>NOT(ISERROR(SEARCH("Domestic",AA19)))</formula>
    </cfRule>
    <cfRule type="containsText" dxfId="164" priority="20" operator="containsText" text="Re-join">
      <formula>NOT(ISERROR(SEARCH("Re-join",AA19)))</formula>
    </cfRule>
    <cfRule type="containsText" dxfId="163" priority="21" operator="containsText" text="Resigned">
      <formula>NOT(ISERROR(SEARCH("Resigned",AA19)))</formula>
    </cfRule>
    <cfRule type="containsText" dxfId="162" priority="22" operator="containsText" text="Dismissed">
      <formula>NOT(ISERROR(SEARCH("Dismissed",AA19)))</formula>
    </cfRule>
    <cfRule type="containsText" dxfId="161" priority="23" operator="containsText" text="Nearshore">
      <formula>NOT(ISERROR(SEARCH("Nearshore",AA19)))</formula>
    </cfRule>
    <cfRule type="containsText" dxfId="160" priority="24" operator="containsText" text="Freedom">
      <formula>NOT(ISERROR(SEARCH("Freedom",AA19)))</formula>
    </cfRule>
    <cfRule type="containsText" dxfId="159" priority="25" operator="containsText" text="WU">
      <formula>NOT(ISERROR(SEARCH("WU",AA19)))</formula>
    </cfRule>
    <cfRule type="containsText" dxfId="158" priority="26" operator="containsText" text="Expedia">
      <formula>NOT(ISERROR(SEARCH("Expedia",AA19)))</formula>
    </cfRule>
  </conditionalFormatting>
  <conditionalFormatting sqref="AA19">
    <cfRule type="containsText" dxfId="157" priority="16" operator="containsText" text="Du Enterprise">
      <formula>NOT(ISERROR(SEARCH("Du Enterprise",AA19)))</formula>
    </cfRule>
  </conditionalFormatting>
  <conditionalFormatting sqref="X20">
    <cfRule type="duplicateValues" dxfId="156" priority="15"/>
  </conditionalFormatting>
  <conditionalFormatting sqref="W20">
    <cfRule type="duplicateValues" dxfId="155" priority="14"/>
  </conditionalFormatting>
  <conditionalFormatting sqref="Y20">
    <cfRule type="duplicateValues" dxfId="154" priority="13"/>
  </conditionalFormatting>
  <conditionalFormatting sqref="Z20">
    <cfRule type="duplicateValues" dxfId="153" priority="12"/>
  </conditionalFormatting>
  <dataValidations count="1">
    <dataValidation type="list" allowBlank="1" showInputMessage="1" showErrorMessage="1" sqref="I6:I7 I42:I53 I74:I77 I28:I38 I10:I11 AO33:AO52 I56:I71 I13:I26 AA7:AA30">
      <formula1>Allocation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2"/>
  <sheetViews>
    <sheetView showGridLines="0" zoomScale="80" zoomScaleNormal="80" workbookViewId="0">
      <pane ySplit="1" topLeftCell="A635" activePane="bottomLeft" state="frozen"/>
      <selection pane="bottomLeft" activeCell="C640" sqref="C640:C651"/>
    </sheetView>
  </sheetViews>
  <sheetFormatPr defaultRowHeight="15"/>
  <cols>
    <col min="1" max="1" width="10.5703125" style="54" bestFit="1" customWidth="1"/>
    <col min="2" max="2" width="7.85546875" style="55" customWidth="1"/>
    <col min="3" max="3" width="12.28515625" style="55" customWidth="1"/>
    <col min="4" max="4" width="59.42578125" style="55" bestFit="1" customWidth="1"/>
    <col min="5" max="5" width="9.140625" style="47"/>
    <col min="6" max="6" width="11" style="47" bestFit="1" customWidth="1"/>
    <col min="7" max="7" width="6.28515625" style="47" bestFit="1" customWidth="1"/>
    <col min="8" max="16384" width="9.140625" style="47"/>
  </cols>
  <sheetData>
    <row r="1" spans="1:13" s="48" customFormat="1" ht="15.75">
      <c r="A1" s="50" t="s">
        <v>0</v>
      </c>
      <c r="B1" s="50" t="s">
        <v>3771</v>
      </c>
      <c r="C1" s="50" t="s">
        <v>3116</v>
      </c>
      <c r="D1" s="50" t="s">
        <v>1</v>
      </c>
    </row>
    <row r="2" spans="1:13" ht="15.75">
      <c r="A2" s="54">
        <v>12265</v>
      </c>
      <c r="B2" s="329">
        <v>1</v>
      </c>
      <c r="C2" s="329" t="s">
        <v>3119</v>
      </c>
      <c r="D2" s="52" t="s">
        <v>3504</v>
      </c>
      <c r="F2" s="50" t="s">
        <v>3775</v>
      </c>
      <c r="G2" s="50" t="s">
        <v>3119</v>
      </c>
      <c r="H2" s="50" t="s">
        <v>3127</v>
      </c>
      <c r="I2" s="50" t="s">
        <v>3124</v>
      </c>
      <c r="J2" s="50" t="s">
        <v>3129</v>
      </c>
      <c r="K2" s="50" t="s">
        <v>3122</v>
      </c>
      <c r="L2" s="50" t="s">
        <v>3123</v>
      </c>
      <c r="M2" s="50" t="s">
        <v>3773</v>
      </c>
    </row>
    <row r="3" spans="1:13">
      <c r="A3" s="54">
        <v>18561</v>
      </c>
      <c r="B3" s="329"/>
      <c r="C3" s="329"/>
      <c r="D3" s="52" t="s">
        <v>3072</v>
      </c>
      <c r="F3" s="96">
        <f>COUNTIF(C:C,"Megahed")</f>
        <v>14</v>
      </c>
      <c r="G3" s="96">
        <f>COUNTIF(C:C,"Peter")</f>
        <v>7</v>
      </c>
      <c r="H3" s="96">
        <f>COUNTIF(C:C,"Hala")</f>
        <v>6</v>
      </c>
      <c r="I3" s="96">
        <f>COUNTIF(C:C,"Dalia")</f>
        <v>3</v>
      </c>
      <c r="J3" s="96">
        <f>COUNTIF(C:C,"Anwar")</f>
        <v>3</v>
      </c>
      <c r="K3" s="96">
        <f>COUNTIF(C:C,"Shady")</f>
        <v>1</v>
      </c>
      <c r="L3" s="96">
        <f>COUNTIF(C:C,"Kurdi")</f>
        <v>2</v>
      </c>
      <c r="M3" s="96">
        <f>COUNTIF(C:C,"Abanob")</f>
        <v>18</v>
      </c>
    </row>
    <row r="4" spans="1:13">
      <c r="A4" s="54">
        <v>12416</v>
      </c>
      <c r="B4" s="329"/>
      <c r="C4" s="329"/>
      <c r="D4" s="52" t="s">
        <v>3460</v>
      </c>
    </row>
    <row r="5" spans="1:13">
      <c r="A5" s="54">
        <v>18559</v>
      </c>
      <c r="B5" s="329"/>
      <c r="C5" s="329"/>
      <c r="D5" s="52" t="s">
        <v>3070</v>
      </c>
    </row>
    <row r="6" spans="1:13">
      <c r="A6" s="54">
        <v>18587</v>
      </c>
      <c r="B6" s="329"/>
      <c r="C6" s="329"/>
      <c r="D6" s="53" t="s">
        <v>3008</v>
      </c>
    </row>
    <row r="7" spans="1:13">
      <c r="A7" s="54">
        <v>18601</v>
      </c>
      <c r="B7" s="329"/>
      <c r="C7" s="329"/>
      <c r="D7" s="52" t="s">
        <v>2973</v>
      </c>
    </row>
    <row r="8" spans="1:13">
      <c r="A8" s="54">
        <v>18619</v>
      </c>
      <c r="B8" s="329"/>
      <c r="C8" s="329"/>
      <c r="D8" s="52" t="s">
        <v>2969</v>
      </c>
    </row>
    <row r="9" spans="1:13">
      <c r="A9" s="54">
        <v>18612</v>
      </c>
      <c r="B9" s="329"/>
      <c r="C9" s="329"/>
      <c r="D9" s="52" t="s">
        <v>2961</v>
      </c>
    </row>
    <row r="10" spans="1:13">
      <c r="A10" s="54">
        <v>18611</v>
      </c>
      <c r="B10" s="329"/>
      <c r="C10" s="329"/>
      <c r="D10" s="52" t="s">
        <v>2963</v>
      </c>
    </row>
    <row r="11" spans="1:13">
      <c r="A11" s="54">
        <v>18614</v>
      </c>
      <c r="B11" s="329"/>
      <c r="C11" s="329"/>
      <c r="D11" s="52" t="s">
        <v>2960</v>
      </c>
    </row>
    <row r="12" spans="1:13">
      <c r="A12" s="54">
        <v>9723</v>
      </c>
      <c r="B12" s="329"/>
      <c r="C12" s="329"/>
      <c r="D12" s="52" t="s">
        <v>3075</v>
      </c>
    </row>
    <row r="13" spans="1:13">
      <c r="A13" s="54">
        <v>18613</v>
      </c>
      <c r="B13" s="329"/>
      <c r="C13" s="329"/>
      <c r="D13" s="52" t="s">
        <v>2958</v>
      </c>
    </row>
    <row r="14" spans="1:13" ht="15.75" thickBot="1">
      <c r="A14" s="59">
        <v>18615</v>
      </c>
      <c r="B14" s="330"/>
      <c r="C14" s="330"/>
      <c r="D14" s="61" t="s">
        <v>2962</v>
      </c>
    </row>
    <row r="15" spans="1:13">
      <c r="A15" s="57">
        <v>18924</v>
      </c>
      <c r="B15" s="331">
        <v>2</v>
      </c>
      <c r="C15" s="331" t="s">
        <v>3119</v>
      </c>
      <c r="D15" s="62" t="s">
        <v>2859</v>
      </c>
    </row>
    <row r="16" spans="1:13">
      <c r="A16" s="54">
        <v>18925</v>
      </c>
      <c r="B16" s="329"/>
      <c r="C16" s="329"/>
      <c r="D16" s="52" t="s">
        <v>2861</v>
      </c>
    </row>
    <row r="17" spans="1:4">
      <c r="A17" s="54">
        <v>18935</v>
      </c>
      <c r="B17" s="329"/>
      <c r="C17" s="329"/>
      <c r="D17" s="52" t="s">
        <v>2873</v>
      </c>
    </row>
    <row r="18" spans="1:4">
      <c r="A18" s="54">
        <v>18938</v>
      </c>
      <c r="B18" s="329"/>
      <c r="C18" s="329"/>
      <c r="D18" s="52" t="s">
        <v>2876</v>
      </c>
    </row>
    <row r="19" spans="1:4">
      <c r="A19" s="54">
        <v>18944</v>
      </c>
      <c r="B19" s="329"/>
      <c r="C19" s="329"/>
      <c r="D19" s="52" t="s">
        <v>2825</v>
      </c>
    </row>
    <row r="20" spans="1:4">
      <c r="A20" s="54">
        <v>18951</v>
      </c>
      <c r="B20" s="329"/>
      <c r="C20" s="329"/>
      <c r="D20" s="52" t="s">
        <v>2832</v>
      </c>
    </row>
    <row r="21" spans="1:4">
      <c r="A21" s="54">
        <v>18980</v>
      </c>
      <c r="B21" s="329"/>
      <c r="C21" s="329"/>
      <c r="D21" s="52" t="s">
        <v>2750</v>
      </c>
    </row>
    <row r="22" spans="1:4">
      <c r="A22" s="54">
        <v>18984</v>
      </c>
      <c r="B22" s="329"/>
      <c r="C22" s="329"/>
      <c r="D22" s="52" t="s">
        <v>2754</v>
      </c>
    </row>
    <row r="23" spans="1:4">
      <c r="A23" s="54">
        <v>18649</v>
      </c>
      <c r="B23" s="329"/>
      <c r="C23" s="329"/>
      <c r="D23" s="52" t="s">
        <v>2909</v>
      </c>
    </row>
    <row r="24" spans="1:4">
      <c r="A24" s="54">
        <v>18937</v>
      </c>
      <c r="B24" s="329"/>
      <c r="C24" s="329"/>
      <c r="D24" s="52" t="s">
        <v>2875</v>
      </c>
    </row>
    <row r="25" spans="1:4">
      <c r="A25" s="54">
        <v>18958</v>
      </c>
      <c r="B25" s="329"/>
      <c r="C25" s="329"/>
      <c r="D25" s="52" t="s">
        <v>2785</v>
      </c>
    </row>
    <row r="26" spans="1:4">
      <c r="A26" s="54">
        <v>18962</v>
      </c>
      <c r="B26" s="329"/>
      <c r="C26" s="329"/>
      <c r="D26" s="52" t="s">
        <v>2789</v>
      </c>
    </row>
    <row r="27" spans="1:4">
      <c r="A27" s="54">
        <v>18968</v>
      </c>
      <c r="B27" s="329"/>
      <c r="C27" s="329"/>
      <c r="D27" s="52" t="s">
        <v>2795</v>
      </c>
    </row>
    <row r="28" spans="1:4">
      <c r="A28" s="54">
        <v>18970</v>
      </c>
      <c r="B28" s="329"/>
      <c r="C28" s="329"/>
      <c r="D28" s="52" t="s">
        <v>2797</v>
      </c>
    </row>
    <row r="29" spans="1:4">
      <c r="A29" s="54">
        <v>18973</v>
      </c>
      <c r="B29" s="329"/>
      <c r="C29" s="329"/>
      <c r="D29" s="52" t="s">
        <v>2800</v>
      </c>
    </row>
    <row r="30" spans="1:4">
      <c r="A30" s="54">
        <v>18975</v>
      </c>
      <c r="B30" s="329"/>
      <c r="C30" s="329"/>
      <c r="D30" s="52" t="s">
        <v>2744</v>
      </c>
    </row>
    <row r="31" spans="1:4">
      <c r="A31" s="54">
        <v>18987</v>
      </c>
      <c r="B31" s="329"/>
      <c r="C31" s="329"/>
      <c r="D31" s="52" t="s">
        <v>2758</v>
      </c>
    </row>
    <row r="32" spans="1:4">
      <c r="A32" s="54">
        <v>18979</v>
      </c>
      <c r="B32" s="329"/>
      <c r="C32" s="329"/>
      <c r="D32" s="52" t="s">
        <v>2748</v>
      </c>
    </row>
    <row r="33" spans="1:4" ht="15.75" thickBot="1">
      <c r="A33" s="56">
        <v>18989</v>
      </c>
      <c r="B33" s="338"/>
      <c r="C33" s="338"/>
      <c r="D33" s="63" t="s">
        <v>2760</v>
      </c>
    </row>
    <row r="34" spans="1:4">
      <c r="A34" s="64">
        <v>19000</v>
      </c>
      <c r="B34" s="328">
        <v>3</v>
      </c>
      <c r="C34" s="328" t="s">
        <v>3119</v>
      </c>
      <c r="D34" s="65" t="s">
        <v>2714</v>
      </c>
    </row>
    <row r="35" spans="1:4">
      <c r="A35" s="54">
        <v>19008</v>
      </c>
      <c r="B35" s="329"/>
      <c r="C35" s="329"/>
      <c r="D35" s="52" t="s">
        <v>2722</v>
      </c>
    </row>
    <row r="36" spans="1:4">
      <c r="A36" s="54">
        <v>19006</v>
      </c>
      <c r="B36" s="329"/>
      <c r="C36" s="329"/>
      <c r="D36" s="52" t="s">
        <v>2720</v>
      </c>
    </row>
    <row r="37" spans="1:4">
      <c r="A37" s="54">
        <v>18995</v>
      </c>
      <c r="B37" s="329"/>
      <c r="C37" s="329"/>
      <c r="D37" s="52" t="s">
        <v>2709</v>
      </c>
    </row>
    <row r="38" spans="1:4">
      <c r="A38" s="54">
        <v>18651</v>
      </c>
      <c r="B38" s="329"/>
      <c r="C38" s="329"/>
      <c r="D38" s="52" t="s">
        <v>2911</v>
      </c>
    </row>
    <row r="39" spans="1:4">
      <c r="A39" s="54">
        <v>19178</v>
      </c>
      <c r="B39" s="329"/>
      <c r="C39" s="329"/>
      <c r="D39" s="52" t="s">
        <v>2675</v>
      </c>
    </row>
    <row r="40" spans="1:4">
      <c r="A40" s="54">
        <v>19185</v>
      </c>
      <c r="B40" s="329"/>
      <c r="C40" s="329"/>
      <c r="D40" s="52" t="s">
        <v>2680</v>
      </c>
    </row>
    <row r="41" spans="1:4">
      <c r="A41" s="54">
        <v>18994</v>
      </c>
      <c r="B41" s="329"/>
      <c r="C41" s="329"/>
      <c r="D41" s="52" t="s">
        <v>2708</v>
      </c>
    </row>
    <row r="42" spans="1:4">
      <c r="A42" s="54">
        <v>19189</v>
      </c>
      <c r="B42" s="329"/>
      <c r="C42" s="329"/>
      <c r="D42" s="52" t="s">
        <v>2684</v>
      </c>
    </row>
    <row r="43" spans="1:4">
      <c r="A43" s="54">
        <v>19181</v>
      </c>
      <c r="B43" s="329"/>
      <c r="C43" s="329"/>
      <c r="D43" s="52" t="s">
        <v>2677</v>
      </c>
    </row>
    <row r="44" spans="1:4">
      <c r="A44" s="54">
        <v>19186</v>
      </c>
      <c r="B44" s="329"/>
      <c r="C44" s="329"/>
      <c r="D44" s="52" t="s">
        <v>2681</v>
      </c>
    </row>
    <row r="45" spans="1:4">
      <c r="A45" s="54">
        <v>19176</v>
      </c>
      <c r="B45" s="329"/>
      <c r="C45" s="329"/>
      <c r="D45" s="52" t="s">
        <v>2673</v>
      </c>
    </row>
    <row r="46" spans="1:4">
      <c r="A46" s="54">
        <v>19001</v>
      </c>
      <c r="B46" s="329"/>
      <c r="C46" s="329"/>
      <c r="D46" s="52" t="s">
        <v>2715</v>
      </c>
    </row>
    <row r="47" spans="1:4">
      <c r="A47" s="54">
        <v>19188</v>
      </c>
      <c r="B47" s="329"/>
      <c r="C47" s="329"/>
      <c r="D47" s="52" t="s">
        <v>2683</v>
      </c>
    </row>
    <row r="48" spans="1:4" ht="15.75" thickBot="1">
      <c r="A48" s="59">
        <v>18642</v>
      </c>
      <c r="B48" s="330"/>
      <c r="C48" s="330"/>
      <c r="D48" s="61" t="s">
        <v>2902</v>
      </c>
    </row>
    <row r="49" spans="1:4">
      <c r="A49" s="57">
        <v>19213</v>
      </c>
      <c r="B49" s="331">
        <v>4</v>
      </c>
      <c r="C49" s="331" t="s">
        <v>3119</v>
      </c>
      <c r="D49" s="62" t="s">
        <v>2609</v>
      </c>
    </row>
    <row r="50" spans="1:4">
      <c r="A50" s="54">
        <v>19216</v>
      </c>
      <c r="B50" s="329"/>
      <c r="C50" s="329"/>
      <c r="D50" s="52" t="s">
        <v>2612</v>
      </c>
    </row>
    <row r="51" spans="1:4">
      <c r="A51" s="54">
        <v>19219</v>
      </c>
      <c r="B51" s="329"/>
      <c r="C51" s="329"/>
      <c r="D51" s="52" t="s">
        <v>2615</v>
      </c>
    </row>
    <row r="52" spans="1:4">
      <c r="A52" s="54">
        <v>19222</v>
      </c>
      <c r="B52" s="329"/>
      <c r="C52" s="329"/>
      <c r="D52" s="52" t="s">
        <v>2618</v>
      </c>
    </row>
    <row r="53" spans="1:4">
      <c r="A53" s="54">
        <v>19231</v>
      </c>
      <c r="B53" s="329"/>
      <c r="C53" s="329"/>
      <c r="D53" s="52" t="s">
        <v>2578</v>
      </c>
    </row>
    <row r="54" spans="1:4">
      <c r="A54" s="54">
        <v>19225</v>
      </c>
      <c r="B54" s="329"/>
      <c r="C54" s="329"/>
      <c r="D54" s="52" t="s">
        <v>2621</v>
      </c>
    </row>
    <row r="55" spans="1:4">
      <c r="A55" s="54">
        <v>19235</v>
      </c>
      <c r="B55" s="329"/>
      <c r="C55" s="329"/>
      <c r="D55" s="52" t="s">
        <v>2583</v>
      </c>
    </row>
    <row r="56" spans="1:4">
      <c r="A56" s="54">
        <v>19236</v>
      </c>
      <c r="B56" s="329"/>
      <c r="C56" s="329"/>
      <c r="D56" s="52" t="s">
        <v>2584</v>
      </c>
    </row>
    <row r="57" spans="1:4">
      <c r="A57" s="54">
        <v>19241</v>
      </c>
      <c r="B57" s="329"/>
      <c r="C57" s="329"/>
      <c r="D57" s="52" t="s">
        <v>2589</v>
      </c>
    </row>
    <row r="58" spans="1:4">
      <c r="A58" s="54">
        <v>19227</v>
      </c>
      <c r="B58" s="329"/>
      <c r="C58" s="329"/>
      <c r="D58" s="52" t="s">
        <v>2575</v>
      </c>
    </row>
    <row r="59" spans="1:4">
      <c r="A59" s="54">
        <v>19234</v>
      </c>
      <c r="B59" s="329"/>
      <c r="C59" s="329"/>
      <c r="D59" s="52" t="s">
        <v>2582</v>
      </c>
    </row>
    <row r="60" spans="1:4">
      <c r="A60" s="54">
        <v>19209</v>
      </c>
      <c r="B60" s="329"/>
      <c r="C60" s="329"/>
      <c r="D60" s="52" t="s">
        <v>2651</v>
      </c>
    </row>
    <row r="61" spans="1:4">
      <c r="A61" s="54">
        <v>19205</v>
      </c>
      <c r="B61" s="329"/>
      <c r="C61" s="329"/>
      <c r="D61" s="52" t="s">
        <v>2647</v>
      </c>
    </row>
    <row r="62" spans="1:4">
      <c r="A62" s="54">
        <v>19206</v>
      </c>
      <c r="B62" s="329"/>
      <c r="C62" s="329"/>
      <c r="D62" s="52" t="s">
        <v>2648</v>
      </c>
    </row>
    <row r="63" spans="1:4">
      <c r="A63" s="54">
        <v>19199</v>
      </c>
      <c r="B63" s="329"/>
      <c r="C63" s="329"/>
      <c r="D63" s="52" t="s">
        <v>2642</v>
      </c>
    </row>
    <row r="64" spans="1:4">
      <c r="A64" s="54">
        <v>19220</v>
      </c>
      <c r="B64" s="329"/>
      <c r="C64" s="329"/>
      <c r="D64" s="52" t="s">
        <v>2616</v>
      </c>
    </row>
    <row r="65" spans="1:4">
      <c r="A65" s="54">
        <v>19215</v>
      </c>
      <c r="B65" s="329"/>
      <c r="C65" s="329"/>
      <c r="D65" s="52" t="s">
        <v>2611</v>
      </c>
    </row>
    <row r="66" spans="1:4">
      <c r="A66" s="54">
        <v>19201</v>
      </c>
      <c r="B66" s="329"/>
      <c r="C66" s="329"/>
      <c r="D66" s="52" t="s">
        <v>2643</v>
      </c>
    </row>
    <row r="67" spans="1:4" ht="15.75" thickBot="1">
      <c r="A67" s="56">
        <v>19194</v>
      </c>
      <c r="B67" s="338"/>
      <c r="C67" s="338"/>
      <c r="D67" s="63" t="s">
        <v>2636</v>
      </c>
    </row>
    <row r="68" spans="1:4">
      <c r="A68" s="64">
        <v>19243</v>
      </c>
      <c r="B68" s="328">
        <v>5</v>
      </c>
      <c r="C68" s="328" t="s">
        <v>3773</v>
      </c>
      <c r="D68" s="65" t="s">
        <v>2537</v>
      </c>
    </row>
    <row r="69" spans="1:4">
      <c r="A69" s="54">
        <v>19254</v>
      </c>
      <c r="B69" s="329"/>
      <c r="C69" s="329"/>
      <c r="D69" s="52" t="s">
        <v>2548</v>
      </c>
    </row>
    <row r="70" spans="1:4">
      <c r="A70" s="54">
        <v>19252</v>
      </c>
      <c r="B70" s="329"/>
      <c r="C70" s="329"/>
      <c r="D70" s="52" t="s">
        <v>2546</v>
      </c>
    </row>
    <row r="71" spans="1:4">
      <c r="A71" s="54">
        <v>19260</v>
      </c>
      <c r="B71" s="329"/>
      <c r="C71" s="329"/>
      <c r="D71" s="52" t="s">
        <v>2554</v>
      </c>
    </row>
    <row r="72" spans="1:4">
      <c r="A72" s="54">
        <v>19253</v>
      </c>
      <c r="B72" s="329"/>
      <c r="C72" s="329"/>
      <c r="D72" s="52" t="s">
        <v>2547</v>
      </c>
    </row>
    <row r="73" spans="1:4">
      <c r="A73" s="54">
        <v>19255</v>
      </c>
      <c r="B73" s="329"/>
      <c r="C73" s="329"/>
      <c r="D73" s="52" t="s">
        <v>2550</v>
      </c>
    </row>
    <row r="74" spans="1:4">
      <c r="A74" s="54">
        <v>19248</v>
      </c>
      <c r="B74" s="329"/>
      <c r="C74" s="329"/>
      <c r="D74" s="52" t="s">
        <v>2542</v>
      </c>
    </row>
    <row r="75" spans="1:4">
      <c r="A75" s="54">
        <v>19259</v>
      </c>
      <c r="B75" s="329"/>
      <c r="C75" s="329"/>
      <c r="D75" s="52" t="s">
        <v>2553</v>
      </c>
    </row>
    <row r="76" spans="1:4">
      <c r="A76" s="54">
        <v>19339</v>
      </c>
      <c r="B76" s="329"/>
      <c r="C76" s="329"/>
      <c r="D76" s="52" t="s">
        <v>2500</v>
      </c>
    </row>
    <row r="77" spans="1:4">
      <c r="A77" s="54">
        <v>19350</v>
      </c>
      <c r="B77" s="329"/>
      <c r="C77" s="329"/>
      <c r="D77" s="52" t="s">
        <v>2511</v>
      </c>
    </row>
    <row r="78" spans="1:4">
      <c r="A78" s="54">
        <v>19341</v>
      </c>
      <c r="B78" s="329"/>
      <c r="C78" s="329"/>
      <c r="D78" s="52" t="s">
        <v>2502</v>
      </c>
    </row>
    <row r="79" spans="1:4">
      <c r="A79" s="54">
        <v>19338</v>
      </c>
      <c r="B79" s="329"/>
      <c r="C79" s="329"/>
      <c r="D79" s="52" t="s">
        <v>2499</v>
      </c>
    </row>
    <row r="80" spans="1:4">
      <c r="A80" s="54">
        <v>19336</v>
      </c>
      <c r="B80" s="329"/>
      <c r="C80" s="329"/>
      <c r="D80" s="52" t="s">
        <v>2497</v>
      </c>
    </row>
    <row r="81" spans="1:4">
      <c r="A81" s="54">
        <v>19356</v>
      </c>
      <c r="B81" s="329"/>
      <c r="C81" s="329"/>
      <c r="D81" s="52" t="s">
        <v>2457</v>
      </c>
    </row>
    <row r="82" spans="1:4">
      <c r="A82" s="54">
        <v>19357</v>
      </c>
      <c r="B82" s="329"/>
      <c r="C82" s="329"/>
      <c r="D82" s="52" t="s">
        <v>2458</v>
      </c>
    </row>
    <row r="83" spans="1:4">
      <c r="A83" s="54">
        <v>19358</v>
      </c>
      <c r="B83" s="329"/>
      <c r="C83" s="329"/>
      <c r="D83" s="52" t="s">
        <v>2459</v>
      </c>
    </row>
    <row r="84" spans="1:4">
      <c r="A84" s="54">
        <v>19360</v>
      </c>
      <c r="B84" s="329"/>
      <c r="C84" s="329"/>
      <c r="D84" s="52" t="s">
        <v>2461</v>
      </c>
    </row>
    <row r="85" spans="1:4">
      <c r="A85" s="54">
        <v>19372</v>
      </c>
      <c r="B85" s="329"/>
      <c r="C85" s="329"/>
      <c r="D85" s="52" t="s">
        <v>2475</v>
      </c>
    </row>
    <row r="86" spans="1:4">
      <c r="A86" s="54">
        <v>19368</v>
      </c>
      <c r="B86" s="329"/>
      <c r="C86" s="329"/>
      <c r="D86" s="52" t="s">
        <v>2471</v>
      </c>
    </row>
    <row r="87" spans="1:4">
      <c r="A87" s="54">
        <v>19228</v>
      </c>
      <c r="B87" s="329"/>
      <c r="C87" s="329"/>
      <c r="D87" s="52" t="s">
        <v>2476</v>
      </c>
    </row>
    <row r="88" spans="1:4" ht="15.75" thickBot="1">
      <c r="A88" s="59">
        <v>19362</v>
      </c>
      <c r="B88" s="330"/>
      <c r="C88" s="330"/>
      <c r="D88" s="61" t="s">
        <v>2465</v>
      </c>
    </row>
    <row r="89" spans="1:4">
      <c r="A89" s="57">
        <v>19388</v>
      </c>
      <c r="B89" s="331">
        <v>6</v>
      </c>
      <c r="C89" s="331" t="s">
        <v>3773</v>
      </c>
      <c r="D89" s="62" t="s">
        <v>2382</v>
      </c>
    </row>
    <row r="90" spans="1:4">
      <c r="A90" s="54">
        <v>19374</v>
      </c>
      <c r="B90" s="329"/>
      <c r="C90" s="329"/>
      <c r="D90" s="52" t="s">
        <v>679</v>
      </c>
    </row>
    <row r="91" spans="1:4">
      <c r="A91" s="54">
        <v>19390</v>
      </c>
      <c r="B91" s="329"/>
      <c r="C91" s="329"/>
      <c r="D91" s="53" t="s">
        <v>3774</v>
      </c>
    </row>
    <row r="92" spans="1:4">
      <c r="A92" s="54">
        <v>19378</v>
      </c>
      <c r="B92" s="329"/>
      <c r="C92" s="329"/>
      <c r="D92" s="52" t="s">
        <v>2429</v>
      </c>
    </row>
    <row r="93" spans="1:4">
      <c r="A93" s="54">
        <v>19393</v>
      </c>
      <c r="B93" s="329"/>
      <c r="C93" s="329"/>
      <c r="D93" s="52" t="s">
        <v>2387</v>
      </c>
    </row>
    <row r="94" spans="1:4">
      <c r="A94" s="54">
        <v>19386</v>
      </c>
      <c r="B94" s="329"/>
      <c r="C94" s="329"/>
      <c r="D94" s="52" t="s">
        <v>2438</v>
      </c>
    </row>
    <row r="95" spans="1:4">
      <c r="A95" s="54">
        <v>19407</v>
      </c>
      <c r="B95" s="329"/>
      <c r="C95" s="329"/>
      <c r="D95" s="52" t="s">
        <v>2403</v>
      </c>
    </row>
    <row r="96" spans="1:4">
      <c r="A96" s="54">
        <v>19381</v>
      </c>
      <c r="B96" s="329"/>
      <c r="C96" s="329"/>
      <c r="D96" s="52" t="s">
        <v>2432</v>
      </c>
    </row>
    <row r="97" spans="1:4">
      <c r="A97" s="54">
        <v>17394</v>
      </c>
      <c r="B97" s="329"/>
      <c r="C97" s="329"/>
      <c r="D97" s="52" t="s">
        <v>2391</v>
      </c>
    </row>
    <row r="98" spans="1:4">
      <c r="A98" s="54">
        <v>19400</v>
      </c>
      <c r="B98" s="329"/>
      <c r="C98" s="329"/>
      <c r="D98" s="52" t="s">
        <v>2395</v>
      </c>
    </row>
    <row r="99" spans="1:4">
      <c r="A99" s="54">
        <v>19402</v>
      </c>
      <c r="B99" s="329"/>
      <c r="C99" s="329"/>
      <c r="D99" s="52" t="s">
        <v>2398</v>
      </c>
    </row>
    <row r="100" spans="1:4">
      <c r="A100" s="54">
        <v>6670</v>
      </c>
      <c r="B100" s="329"/>
      <c r="C100" s="329"/>
      <c r="D100" s="52" t="s">
        <v>2436</v>
      </c>
    </row>
    <row r="101" spans="1:4">
      <c r="A101" s="54">
        <v>19405</v>
      </c>
      <c r="B101" s="329"/>
      <c r="C101" s="329"/>
      <c r="D101" s="52" t="s">
        <v>2401</v>
      </c>
    </row>
    <row r="102" spans="1:4">
      <c r="A102" s="54">
        <v>19406</v>
      </c>
      <c r="B102" s="329"/>
      <c r="C102" s="329"/>
      <c r="D102" s="52" t="s">
        <v>2402</v>
      </c>
    </row>
    <row r="103" spans="1:4">
      <c r="A103" s="54">
        <v>19357</v>
      </c>
      <c r="B103" s="329"/>
      <c r="C103" s="329"/>
      <c r="D103" s="52" t="s">
        <v>2458</v>
      </c>
    </row>
    <row r="104" spans="1:4" ht="15.75" thickBot="1">
      <c r="A104" s="56">
        <v>19385</v>
      </c>
      <c r="B104" s="338"/>
      <c r="C104" s="338"/>
      <c r="D104" s="63" t="s">
        <v>2437</v>
      </c>
    </row>
    <row r="105" spans="1:4">
      <c r="A105" s="64">
        <v>19543</v>
      </c>
      <c r="B105" s="328">
        <v>7</v>
      </c>
      <c r="C105" s="328" t="s">
        <v>3118</v>
      </c>
      <c r="D105" s="65" t="s">
        <v>2291</v>
      </c>
    </row>
    <row r="106" spans="1:4">
      <c r="A106" s="54">
        <v>19535</v>
      </c>
      <c r="B106" s="329"/>
      <c r="C106" s="329"/>
      <c r="D106" s="52" t="s">
        <v>2283</v>
      </c>
    </row>
    <row r="107" spans="1:4">
      <c r="A107" s="54">
        <v>19423</v>
      </c>
      <c r="B107" s="329"/>
      <c r="C107" s="329"/>
      <c r="D107" s="52" t="s">
        <v>2348</v>
      </c>
    </row>
    <row r="108" spans="1:4">
      <c r="A108" s="54">
        <v>19428</v>
      </c>
      <c r="B108" s="329"/>
      <c r="C108" s="329"/>
      <c r="D108" s="52" t="s">
        <v>2317</v>
      </c>
    </row>
    <row r="109" spans="1:4">
      <c r="A109" s="54">
        <v>19429</v>
      </c>
      <c r="B109" s="329"/>
      <c r="C109" s="329"/>
      <c r="D109" s="52" t="s">
        <v>2318</v>
      </c>
    </row>
    <row r="110" spans="1:4">
      <c r="A110" s="54">
        <v>19417</v>
      </c>
      <c r="B110" s="329"/>
      <c r="C110" s="329"/>
      <c r="D110" s="52" t="s">
        <v>2351</v>
      </c>
    </row>
    <row r="111" spans="1:4">
      <c r="A111" s="54">
        <v>19416</v>
      </c>
      <c r="B111" s="329"/>
      <c r="C111" s="329"/>
      <c r="D111" s="52" t="s">
        <v>2352</v>
      </c>
    </row>
    <row r="112" spans="1:4">
      <c r="A112" s="54">
        <v>19430</v>
      </c>
      <c r="B112" s="329"/>
      <c r="C112" s="329"/>
      <c r="D112" s="52" t="s">
        <v>2319</v>
      </c>
    </row>
    <row r="113" spans="1:4">
      <c r="A113" s="54">
        <v>19431</v>
      </c>
      <c r="B113" s="329"/>
      <c r="C113" s="329"/>
      <c r="D113" s="52" t="s">
        <v>2320</v>
      </c>
    </row>
    <row r="114" spans="1:4">
      <c r="A114" s="54">
        <v>19547</v>
      </c>
      <c r="B114" s="329"/>
      <c r="C114" s="329"/>
      <c r="D114" s="52" t="s">
        <v>2297</v>
      </c>
    </row>
    <row r="115" spans="1:4">
      <c r="A115" s="54">
        <v>19432</v>
      </c>
      <c r="B115" s="329"/>
      <c r="C115" s="329"/>
      <c r="D115" s="52" t="s">
        <v>2321</v>
      </c>
    </row>
    <row r="116" spans="1:4">
      <c r="A116" s="54">
        <v>19436</v>
      </c>
      <c r="B116" s="329"/>
      <c r="C116" s="329"/>
      <c r="D116" s="52" t="s">
        <v>2325</v>
      </c>
    </row>
    <row r="117" spans="1:4">
      <c r="A117" s="54">
        <v>19422</v>
      </c>
      <c r="B117" s="329"/>
      <c r="C117" s="329"/>
      <c r="D117" s="52" t="s">
        <v>2356</v>
      </c>
    </row>
    <row r="118" spans="1:4">
      <c r="A118" s="54">
        <v>15552</v>
      </c>
      <c r="B118" s="329"/>
      <c r="C118" s="329"/>
      <c r="D118" s="52" t="s">
        <v>2358</v>
      </c>
    </row>
    <row r="119" spans="1:4">
      <c r="A119" s="54">
        <v>19541</v>
      </c>
      <c r="B119" s="329"/>
      <c r="C119" s="329"/>
      <c r="D119" s="52" t="s">
        <v>2289</v>
      </c>
    </row>
    <row r="120" spans="1:4">
      <c r="A120" s="54">
        <v>19437</v>
      </c>
      <c r="B120" s="329"/>
      <c r="C120" s="329"/>
      <c r="D120" s="52" t="s">
        <v>2326</v>
      </c>
    </row>
    <row r="121" spans="1:4">
      <c r="A121" s="54">
        <v>19438</v>
      </c>
      <c r="B121" s="329"/>
      <c r="C121" s="329"/>
      <c r="D121" s="52" t="s">
        <v>2327</v>
      </c>
    </row>
    <row r="122" spans="1:4">
      <c r="A122" s="54">
        <v>19542</v>
      </c>
      <c r="B122" s="329"/>
      <c r="C122" s="329"/>
      <c r="D122" s="52" t="s">
        <v>2290</v>
      </c>
    </row>
    <row r="123" spans="1:4">
      <c r="A123" s="54">
        <v>19548</v>
      </c>
      <c r="B123" s="329"/>
      <c r="C123" s="329"/>
      <c r="D123" s="52" t="s">
        <v>2298</v>
      </c>
    </row>
    <row r="124" spans="1:4" ht="15.75" thickBot="1">
      <c r="A124" s="59">
        <v>19440</v>
      </c>
      <c r="B124" s="330"/>
      <c r="C124" s="330"/>
      <c r="D124" s="61" t="s">
        <v>2329</v>
      </c>
    </row>
    <row r="125" spans="1:4">
      <c r="A125" s="57">
        <v>19553</v>
      </c>
      <c r="B125" s="331">
        <v>8</v>
      </c>
      <c r="C125" s="331" t="s">
        <v>3118</v>
      </c>
      <c r="D125" s="62" t="s">
        <v>2244</v>
      </c>
    </row>
    <row r="126" spans="1:4">
      <c r="A126" s="54">
        <v>19575</v>
      </c>
      <c r="B126" s="329"/>
      <c r="C126" s="329"/>
      <c r="D126" s="52" t="s">
        <v>2212</v>
      </c>
    </row>
    <row r="127" spans="1:4">
      <c r="A127" s="54">
        <v>19555</v>
      </c>
      <c r="B127" s="329"/>
      <c r="C127" s="329"/>
      <c r="D127" s="52" t="s">
        <v>2246</v>
      </c>
    </row>
    <row r="128" spans="1:4">
      <c r="A128" s="54">
        <v>19558</v>
      </c>
      <c r="B128" s="329"/>
      <c r="C128" s="329"/>
      <c r="D128" s="52" t="s">
        <v>2224</v>
      </c>
    </row>
    <row r="129" spans="1:4">
      <c r="A129" s="54">
        <v>19559</v>
      </c>
      <c r="B129" s="329"/>
      <c r="C129" s="329"/>
      <c r="D129" s="52" t="s">
        <v>2249</v>
      </c>
    </row>
    <row r="130" spans="1:4">
      <c r="A130" s="54">
        <v>19594</v>
      </c>
      <c r="B130" s="329"/>
      <c r="C130" s="329"/>
      <c r="D130" s="52" t="s">
        <v>2190</v>
      </c>
    </row>
    <row r="131" spans="1:4">
      <c r="A131" s="54">
        <v>19578</v>
      </c>
      <c r="B131" s="329"/>
      <c r="C131" s="329"/>
      <c r="D131" s="52" t="s">
        <v>2216</v>
      </c>
    </row>
    <row r="132" spans="1:4">
      <c r="A132" s="54">
        <v>19563</v>
      </c>
      <c r="B132" s="329"/>
      <c r="C132" s="329"/>
      <c r="D132" s="52" t="s">
        <v>2252</v>
      </c>
    </row>
    <row r="133" spans="1:4">
      <c r="A133" s="54">
        <v>19564</v>
      </c>
      <c r="B133" s="329"/>
      <c r="C133" s="329"/>
      <c r="D133" s="52" t="s">
        <v>2253</v>
      </c>
    </row>
    <row r="134" spans="1:4">
      <c r="A134" s="54">
        <v>19565</v>
      </c>
      <c r="B134" s="329"/>
      <c r="C134" s="329"/>
      <c r="D134" s="52" t="s">
        <v>2254</v>
      </c>
    </row>
    <row r="135" spans="1:4">
      <c r="A135" s="54">
        <v>19596</v>
      </c>
      <c r="B135" s="329"/>
      <c r="C135" s="329"/>
      <c r="D135" s="52" t="s">
        <v>2193</v>
      </c>
    </row>
    <row r="136" spans="1:4">
      <c r="A136" s="54">
        <v>19582</v>
      </c>
      <c r="B136" s="329"/>
      <c r="C136" s="329"/>
      <c r="D136" s="52" t="s">
        <v>2220</v>
      </c>
    </row>
    <row r="137" spans="1:4">
      <c r="A137" s="54">
        <v>19397</v>
      </c>
      <c r="B137" s="329"/>
      <c r="C137" s="329"/>
      <c r="D137" s="52" t="s">
        <v>2392</v>
      </c>
    </row>
    <row r="138" spans="1:4">
      <c r="A138" s="54">
        <v>19398</v>
      </c>
      <c r="B138" s="329"/>
      <c r="C138" s="329"/>
      <c r="D138" s="52" t="s">
        <v>2393</v>
      </c>
    </row>
    <row r="139" spans="1:4">
      <c r="A139" s="54">
        <v>19585</v>
      </c>
      <c r="B139" s="329"/>
      <c r="C139" s="329"/>
      <c r="D139" s="52" t="s">
        <v>2223</v>
      </c>
    </row>
    <row r="140" spans="1:4" ht="15.75" thickBot="1">
      <c r="A140" s="56">
        <v>19598</v>
      </c>
      <c r="B140" s="338"/>
      <c r="C140" s="338"/>
      <c r="D140" s="63" t="s">
        <v>2195</v>
      </c>
    </row>
    <row r="141" spans="1:4">
      <c r="A141" s="64">
        <v>19629</v>
      </c>
      <c r="B141" s="328">
        <v>9</v>
      </c>
      <c r="C141" s="328" t="s">
        <v>3127</v>
      </c>
      <c r="D141" s="65" t="s">
        <v>2113</v>
      </c>
    </row>
    <row r="142" spans="1:4">
      <c r="A142" s="54">
        <v>19621</v>
      </c>
      <c r="B142" s="329"/>
      <c r="C142" s="329"/>
      <c r="D142" s="51" t="s">
        <v>2105</v>
      </c>
    </row>
    <row r="143" spans="1:4">
      <c r="A143" s="54">
        <v>19632</v>
      </c>
      <c r="B143" s="329"/>
      <c r="C143" s="329"/>
      <c r="D143" s="52" t="s">
        <v>2116</v>
      </c>
    </row>
    <row r="144" spans="1:4">
      <c r="A144" s="54">
        <v>19633</v>
      </c>
      <c r="B144" s="329"/>
      <c r="C144" s="329"/>
      <c r="D144" s="52" t="s">
        <v>2117</v>
      </c>
    </row>
    <row r="145" spans="1:4">
      <c r="A145" s="54">
        <v>19628</v>
      </c>
      <c r="B145" s="329"/>
      <c r="C145" s="329"/>
      <c r="D145" s="51" t="s">
        <v>2112</v>
      </c>
    </row>
    <row r="146" spans="1:4">
      <c r="A146" s="54">
        <v>19630</v>
      </c>
      <c r="B146" s="329"/>
      <c r="C146" s="329"/>
      <c r="D146" s="51" t="s">
        <v>2114</v>
      </c>
    </row>
    <row r="147" spans="1:4">
      <c r="A147" s="54">
        <v>19605</v>
      </c>
      <c r="B147" s="329"/>
      <c r="C147" s="329"/>
      <c r="D147" s="51" t="s">
        <v>2143</v>
      </c>
    </row>
    <row r="148" spans="1:4">
      <c r="A148" s="54">
        <v>19613</v>
      </c>
      <c r="B148" s="329"/>
      <c r="C148" s="329"/>
      <c r="D148" s="51" t="s">
        <v>2152</v>
      </c>
    </row>
    <row r="149" spans="1:4">
      <c r="A149" s="54">
        <v>19607</v>
      </c>
      <c r="B149" s="329"/>
      <c r="C149" s="329"/>
      <c r="D149" s="52" t="s">
        <v>2145</v>
      </c>
    </row>
    <row r="150" spans="1:4">
      <c r="A150" s="54">
        <v>19617</v>
      </c>
      <c r="B150" s="329"/>
      <c r="C150" s="329"/>
      <c r="D150" s="52" t="s">
        <v>2156</v>
      </c>
    </row>
    <row r="151" spans="1:4">
      <c r="A151" s="54" t="s">
        <v>3772</v>
      </c>
      <c r="B151" s="329"/>
      <c r="C151" s="329"/>
      <c r="D151" s="52" t="s">
        <v>3776</v>
      </c>
    </row>
    <row r="152" spans="1:4">
      <c r="A152" s="54">
        <v>19558</v>
      </c>
      <c r="B152" s="329"/>
      <c r="C152" s="329"/>
      <c r="D152" s="52" t="s">
        <v>2224</v>
      </c>
    </row>
    <row r="153" spans="1:4">
      <c r="A153" s="54">
        <v>19555</v>
      </c>
      <c r="B153" s="329"/>
      <c r="C153" s="329"/>
      <c r="D153" s="52" t="s">
        <v>2246</v>
      </c>
    </row>
    <row r="154" spans="1:4" ht="15.75" thickBot="1">
      <c r="A154" s="59">
        <v>19603</v>
      </c>
      <c r="B154" s="330"/>
      <c r="C154" s="330"/>
      <c r="D154" s="61" t="s">
        <v>2141</v>
      </c>
    </row>
    <row r="155" spans="1:4">
      <c r="A155" s="57">
        <v>19794</v>
      </c>
      <c r="B155" s="331">
        <v>10</v>
      </c>
      <c r="C155" s="331" t="s">
        <v>3127</v>
      </c>
      <c r="D155" s="62" t="s">
        <v>2040</v>
      </c>
    </row>
    <row r="156" spans="1:4">
      <c r="A156" s="54">
        <v>19795</v>
      </c>
      <c r="B156" s="329"/>
      <c r="C156" s="329"/>
      <c r="D156" s="53" t="s">
        <v>2041</v>
      </c>
    </row>
    <row r="157" spans="1:4">
      <c r="A157" s="54">
        <v>19798</v>
      </c>
      <c r="B157" s="329"/>
      <c r="C157" s="329"/>
      <c r="D157" s="53" t="s">
        <v>2044</v>
      </c>
    </row>
    <row r="158" spans="1:4">
      <c r="A158" s="54">
        <v>19800</v>
      </c>
      <c r="B158" s="329"/>
      <c r="C158" s="329"/>
      <c r="D158" s="53" t="s">
        <v>2047</v>
      </c>
    </row>
    <row r="159" spans="1:4">
      <c r="A159" s="54">
        <v>19803</v>
      </c>
      <c r="B159" s="329"/>
      <c r="C159" s="329"/>
      <c r="D159" s="53" t="s">
        <v>2050</v>
      </c>
    </row>
    <row r="160" spans="1:4">
      <c r="A160" s="54">
        <v>19644</v>
      </c>
      <c r="B160" s="329"/>
      <c r="C160" s="329"/>
      <c r="D160" s="53" t="s">
        <v>2079</v>
      </c>
    </row>
    <row r="161" spans="1:4">
      <c r="A161" s="54">
        <v>19643</v>
      </c>
      <c r="B161" s="329"/>
      <c r="C161" s="329"/>
      <c r="D161" s="53" t="s">
        <v>2078</v>
      </c>
    </row>
    <row r="162" spans="1:4">
      <c r="A162" s="54">
        <v>19642</v>
      </c>
      <c r="B162" s="329"/>
      <c r="C162" s="329"/>
      <c r="D162" s="53" t="s">
        <v>2076</v>
      </c>
    </row>
    <row r="163" spans="1:4" ht="15.75" thickBot="1">
      <c r="A163" s="56">
        <v>19622</v>
      </c>
      <c r="B163" s="338"/>
      <c r="C163" s="338"/>
      <c r="D163" s="66" t="s">
        <v>2106</v>
      </c>
    </row>
    <row r="164" spans="1:4">
      <c r="A164" s="64">
        <v>19857</v>
      </c>
      <c r="B164" s="328">
        <v>11</v>
      </c>
      <c r="C164" s="328" t="s">
        <v>3773</v>
      </c>
      <c r="D164" s="67" t="s">
        <v>1916</v>
      </c>
    </row>
    <row r="165" spans="1:4">
      <c r="A165" s="54">
        <v>19864</v>
      </c>
      <c r="B165" s="329"/>
      <c r="C165" s="329"/>
      <c r="D165" s="53" t="s">
        <v>1924</v>
      </c>
    </row>
    <row r="166" spans="1:4">
      <c r="A166" s="54">
        <v>19841</v>
      </c>
      <c r="B166" s="329"/>
      <c r="C166" s="329"/>
      <c r="D166" s="53" t="s">
        <v>1940</v>
      </c>
    </row>
    <row r="167" spans="1:4">
      <c r="A167" s="54">
        <v>19842</v>
      </c>
      <c r="B167" s="329"/>
      <c r="C167" s="329"/>
      <c r="D167" s="53" t="s">
        <v>1952</v>
      </c>
    </row>
    <row r="168" spans="1:4">
      <c r="A168" s="54">
        <v>19840</v>
      </c>
      <c r="B168" s="329"/>
      <c r="C168" s="329"/>
      <c r="D168" s="53" t="s">
        <v>1943</v>
      </c>
    </row>
    <row r="169" spans="1:4" ht="15.75" thickBot="1">
      <c r="A169" s="59">
        <v>19848</v>
      </c>
      <c r="B169" s="330"/>
      <c r="C169" s="330"/>
      <c r="D169" s="60" t="s">
        <v>1954</v>
      </c>
    </row>
    <row r="170" spans="1:4">
      <c r="A170" s="57">
        <v>20009</v>
      </c>
      <c r="B170" s="331">
        <v>12</v>
      </c>
      <c r="C170" s="331" t="s">
        <v>3122</v>
      </c>
      <c r="D170" s="58" t="s">
        <v>1852</v>
      </c>
    </row>
    <row r="171" spans="1:4">
      <c r="A171" s="54">
        <v>20011</v>
      </c>
      <c r="B171" s="329"/>
      <c r="C171" s="329"/>
      <c r="D171" s="53" t="s">
        <v>1854</v>
      </c>
    </row>
    <row r="172" spans="1:4">
      <c r="A172" s="54">
        <v>20020</v>
      </c>
      <c r="B172" s="329"/>
      <c r="C172" s="329"/>
      <c r="D172" s="51" t="s">
        <v>1863</v>
      </c>
    </row>
    <row r="173" spans="1:4">
      <c r="A173" s="54">
        <v>20023</v>
      </c>
      <c r="B173" s="329"/>
      <c r="C173" s="329"/>
      <c r="D173" s="53" t="s">
        <v>1867</v>
      </c>
    </row>
    <row r="174" spans="1:4">
      <c r="A174" s="54">
        <v>20010</v>
      </c>
      <c r="B174" s="329"/>
      <c r="C174" s="329"/>
      <c r="D174" s="53" t="s">
        <v>1853</v>
      </c>
    </row>
    <row r="175" spans="1:4">
      <c r="A175" s="54">
        <v>20019</v>
      </c>
      <c r="B175" s="329"/>
      <c r="C175" s="329"/>
      <c r="D175" s="53" t="s">
        <v>1862</v>
      </c>
    </row>
    <row r="176" spans="1:4">
      <c r="A176" s="54">
        <v>19879</v>
      </c>
      <c r="B176" s="329"/>
      <c r="C176" s="329"/>
      <c r="D176" s="51" t="s">
        <v>1896</v>
      </c>
    </row>
    <row r="177" spans="1:4">
      <c r="A177" s="54">
        <v>19876</v>
      </c>
      <c r="B177" s="329"/>
      <c r="C177" s="329"/>
      <c r="D177" s="52" t="s">
        <v>1893</v>
      </c>
    </row>
    <row r="178" spans="1:4">
      <c r="A178" s="54">
        <v>19874</v>
      </c>
      <c r="B178" s="329"/>
      <c r="C178" s="329"/>
      <c r="D178" s="52" t="s">
        <v>1891</v>
      </c>
    </row>
    <row r="179" spans="1:4">
      <c r="A179" s="54">
        <v>19872</v>
      </c>
      <c r="B179" s="329"/>
      <c r="C179" s="329"/>
      <c r="D179" s="52" t="s">
        <v>1889</v>
      </c>
    </row>
    <row r="180" spans="1:4" ht="15.75" thickBot="1">
      <c r="A180" s="56">
        <v>19869</v>
      </c>
      <c r="B180" s="338"/>
      <c r="C180" s="338"/>
      <c r="D180" s="63" t="s">
        <v>1886</v>
      </c>
    </row>
    <row r="181" spans="1:4">
      <c r="A181" s="64">
        <v>20055</v>
      </c>
      <c r="B181" s="328">
        <v>13</v>
      </c>
      <c r="C181" s="328" t="s">
        <v>3118</v>
      </c>
      <c r="D181" s="65" t="s">
        <v>1790</v>
      </c>
    </row>
    <row r="182" spans="1:4">
      <c r="A182" s="54">
        <v>20029</v>
      </c>
      <c r="B182" s="329"/>
      <c r="C182" s="329"/>
      <c r="D182" s="52" t="s">
        <v>1838</v>
      </c>
    </row>
    <row r="183" spans="1:4">
      <c r="A183" s="54">
        <v>20024</v>
      </c>
      <c r="B183" s="329"/>
      <c r="C183" s="329"/>
      <c r="D183" s="52" t="s">
        <v>1833</v>
      </c>
    </row>
    <row r="184" spans="1:4">
      <c r="A184" s="54">
        <v>20025</v>
      </c>
      <c r="B184" s="329"/>
      <c r="C184" s="329"/>
      <c r="D184" s="52" t="s">
        <v>1834</v>
      </c>
    </row>
    <row r="185" spans="1:4">
      <c r="A185" s="54">
        <v>20046</v>
      </c>
      <c r="B185" s="329"/>
      <c r="C185" s="329"/>
      <c r="D185" s="52" t="s">
        <v>1796</v>
      </c>
    </row>
    <row r="186" spans="1:4">
      <c r="A186" s="54">
        <v>20034</v>
      </c>
      <c r="B186" s="329"/>
      <c r="C186" s="329"/>
      <c r="D186" s="52" t="s">
        <v>1814</v>
      </c>
    </row>
    <row r="187" spans="1:4">
      <c r="A187" s="54">
        <v>20038</v>
      </c>
      <c r="B187" s="329"/>
      <c r="C187" s="329"/>
      <c r="D187" s="52" t="s">
        <v>1818</v>
      </c>
    </row>
    <row r="188" spans="1:4">
      <c r="A188" s="54">
        <v>20026</v>
      </c>
      <c r="B188" s="329"/>
      <c r="C188" s="329"/>
      <c r="D188" s="52" t="s">
        <v>1835</v>
      </c>
    </row>
    <row r="189" spans="1:4" ht="15.75" thickBot="1">
      <c r="A189" s="59">
        <v>20048</v>
      </c>
      <c r="B189" s="330"/>
      <c r="C189" s="330"/>
      <c r="D189" s="61" t="s">
        <v>1799</v>
      </c>
    </row>
    <row r="190" spans="1:4">
      <c r="A190" s="57" t="s">
        <v>3777</v>
      </c>
      <c r="B190" s="331">
        <v>14</v>
      </c>
      <c r="C190" s="339" t="s">
        <v>3778</v>
      </c>
      <c r="D190" s="62" t="s">
        <v>3779</v>
      </c>
    </row>
    <row r="191" spans="1:4">
      <c r="A191" s="54" t="s">
        <v>3777</v>
      </c>
      <c r="B191" s="329"/>
      <c r="C191" s="340"/>
      <c r="D191" s="52" t="s">
        <v>3780</v>
      </c>
    </row>
    <row r="192" spans="1:4">
      <c r="A192" s="54" t="s">
        <v>3777</v>
      </c>
      <c r="B192" s="329"/>
      <c r="C192" s="340"/>
      <c r="D192" s="52" t="s">
        <v>3781</v>
      </c>
    </row>
    <row r="193" spans="1:4">
      <c r="A193" s="54" t="s">
        <v>3777</v>
      </c>
      <c r="B193" s="329"/>
      <c r="C193" s="340"/>
      <c r="D193" s="52" t="s">
        <v>3782</v>
      </c>
    </row>
    <row r="194" spans="1:4">
      <c r="A194" s="54">
        <v>20077</v>
      </c>
      <c r="B194" s="329"/>
      <c r="C194" s="340"/>
      <c r="D194" s="52" t="s">
        <v>1745</v>
      </c>
    </row>
    <row r="195" spans="1:4">
      <c r="A195" s="54">
        <v>20081</v>
      </c>
      <c r="B195" s="329"/>
      <c r="C195" s="340"/>
      <c r="D195" s="52" t="s">
        <v>1750</v>
      </c>
    </row>
    <row r="196" spans="1:4">
      <c r="A196" s="54">
        <v>20082</v>
      </c>
      <c r="B196" s="329"/>
      <c r="C196" s="340"/>
      <c r="D196" s="52" t="s">
        <v>1751</v>
      </c>
    </row>
    <row r="197" spans="1:4">
      <c r="A197" s="54">
        <v>20071</v>
      </c>
      <c r="B197" s="329"/>
      <c r="C197" s="340"/>
      <c r="D197" s="52" t="s">
        <v>1739</v>
      </c>
    </row>
    <row r="198" spans="1:4" ht="15.75" thickBot="1">
      <c r="A198" s="56">
        <v>20064</v>
      </c>
      <c r="B198" s="338"/>
      <c r="C198" s="341"/>
      <c r="D198" s="63" t="s">
        <v>1774</v>
      </c>
    </row>
    <row r="199" spans="1:4">
      <c r="A199" s="64">
        <v>20089</v>
      </c>
      <c r="B199" s="328">
        <v>15</v>
      </c>
      <c r="C199" s="328" t="s">
        <v>3118</v>
      </c>
      <c r="D199" s="65" t="s">
        <v>1727</v>
      </c>
    </row>
    <row r="200" spans="1:4">
      <c r="A200" s="54">
        <v>20291</v>
      </c>
      <c r="B200" s="329"/>
      <c r="C200" s="329"/>
      <c r="D200" s="52" t="s">
        <v>1643</v>
      </c>
    </row>
    <row r="201" spans="1:4">
      <c r="A201" s="54">
        <v>20294</v>
      </c>
      <c r="B201" s="329"/>
      <c r="C201" s="329"/>
      <c r="D201" s="53" t="s">
        <v>1646</v>
      </c>
    </row>
    <row r="202" spans="1:4">
      <c r="A202" s="54" t="s">
        <v>3777</v>
      </c>
      <c r="B202" s="329"/>
      <c r="C202" s="329"/>
      <c r="D202" s="53" t="s">
        <v>1658</v>
      </c>
    </row>
    <row r="203" spans="1:4">
      <c r="A203" s="54">
        <v>20297</v>
      </c>
      <c r="B203" s="329"/>
      <c r="C203" s="329"/>
      <c r="D203" s="53" t="s">
        <v>1627</v>
      </c>
    </row>
    <row r="204" spans="1:4">
      <c r="A204" s="54" t="s">
        <v>3777</v>
      </c>
      <c r="B204" s="329"/>
      <c r="C204" s="329"/>
      <c r="D204" s="52" t="s">
        <v>1630</v>
      </c>
    </row>
    <row r="205" spans="1:4" ht="15.75" thickBot="1">
      <c r="A205" s="59" t="s">
        <v>3777</v>
      </c>
      <c r="B205" s="330"/>
      <c r="C205" s="330"/>
      <c r="D205" s="61" t="s">
        <v>3783</v>
      </c>
    </row>
    <row r="206" spans="1:4">
      <c r="A206" s="57">
        <v>20324</v>
      </c>
      <c r="B206" s="331">
        <v>16</v>
      </c>
      <c r="C206" s="331" t="s">
        <v>3127</v>
      </c>
      <c r="D206" s="62" t="s">
        <v>1589</v>
      </c>
    </row>
    <row r="207" spans="1:4">
      <c r="A207" s="54">
        <v>20321</v>
      </c>
      <c r="B207" s="329"/>
      <c r="C207" s="329"/>
      <c r="D207" s="52" t="s">
        <v>1586</v>
      </c>
    </row>
    <row r="208" spans="1:4">
      <c r="A208" s="54">
        <v>20318</v>
      </c>
      <c r="B208" s="329"/>
      <c r="C208" s="329"/>
      <c r="D208" s="52" t="s">
        <v>1583</v>
      </c>
    </row>
    <row r="209" spans="1:4">
      <c r="A209" s="54">
        <v>20333</v>
      </c>
      <c r="B209" s="329"/>
      <c r="C209" s="329"/>
      <c r="D209" s="52" t="s">
        <v>1563</v>
      </c>
    </row>
    <row r="210" spans="1:4">
      <c r="A210" s="54">
        <v>20331</v>
      </c>
      <c r="B210" s="329"/>
      <c r="C210" s="329"/>
      <c r="D210" s="52" t="s">
        <v>1561</v>
      </c>
    </row>
    <row r="211" spans="1:4" ht="15.75" thickBot="1">
      <c r="A211" s="56">
        <v>20482</v>
      </c>
      <c r="B211" s="338"/>
      <c r="C211" s="338"/>
      <c r="D211" s="63" t="s">
        <v>1540</v>
      </c>
    </row>
    <row r="212" spans="1:4">
      <c r="A212" s="64">
        <v>20499</v>
      </c>
      <c r="B212" s="328">
        <v>17</v>
      </c>
      <c r="C212" s="328" t="s">
        <v>3773</v>
      </c>
      <c r="D212" s="65" t="s">
        <v>1490</v>
      </c>
    </row>
    <row r="213" spans="1:4">
      <c r="A213" s="54">
        <v>20500</v>
      </c>
      <c r="B213" s="329"/>
      <c r="C213" s="329"/>
      <c r="D213" s="52" t="s">
        <v>1491</v>
      </c>
    </row>
    <row r="214" spans="1:4">
      <c r="A214" s="54">
        <v>20503</v>
      </c>
      <c r="B214" s="329"/>
      <c r="C214" s="329"/>
      <c r="D214" s="52" t="s">
        <v>1493</v>
      </c>
    </row>
    <row r="215" spans="1:4">
      <c r="A215" s="54">
        <v>20488</v>
      </c>
      <c r="B215" s="329"/>
      <c r="C215" s="329"/>
      <c r="D215" s="52" t="s">
        <v>1517</v>
      </c>
    </row>
    <row r="216" spans="1:4">
      <c r="A216" s="54">
        <v>20493</v>
      </c>
      <c r="B216" s="329"/>
      <c r="C216" s="329"/>
      <c r="D216" s="52" t="s">
        <v>1522</v>
      </c>
    </row>
    <row r="217" spans="1:4">
      <c r="A217" s="54">
        <v>20489</v>
      </c>
      <c r="B217" s="329"/>
      <c r="C217" s="329"/>
      <c r="D217" s="52" t="s">
        <v>1518</v>
      </c>
    </row>
    <row r="218" spans="1:4">
      <c r="A218" s="54">
        <v>20490</v>
      </c>
      <c r="B218" s="329"/>
      <c r="C218" s="329"/>
      <c r="D218" s="52" t="s">
        <v>1519</v>
      </c>
    </row>
    <row r="219" spans="1:4">
      <c r="A219" s="54">
        <v>20511</v>
      </c>
      <c r="B219" s="329"/>
      <c r="C219" s="329"/>
      <c r="D219" s="52" t="s">
        <v>1459</v>
      </c>
    </row>
    <row r="220" spans="1:4">
      <c r="A220" s="54">
        <v>20512</v>
      </c>
      <c r="B220" s="329"/>
      <c r="C220" s="329"/>
      <c r="D220" s="52" t="s">
        <v>1460</v>
      </c>
    </row>
    <row r="221" spans="1:4">
      <c r="A221" s="54">
        <v>20515</v>
      </c>
      <c r="B221" s="329"/>
      <c r="C221" s="329"/>
      <c r="D221" s="52" t="s">
        <v>1463</v>
      </c>
    </row>
    <row r="222" spans="1:4">
      <c r="A222" s="54">
        <v>20522</v>
      </c>
      <c r="B222" s="329"/>
      <c r="C222" s="329"/>
      <c r="D222" s="52" t="s">
        <v>1470</v>
      </c>
    </row>
    <row r="223" spans="1:4">
      <c r="A223" s="54">
        <v>20531</v>
      </c>
      <c r="B223" s="329"/>
      <c r="C223" s="329"/>
      <c r="D223" s="52" t="s">
        <v>1446</v>
      </c>
    </row>
    <row r="224" spans="1:4">
      <c r="A224" s="54">
        <v>20524</v>
      </c>
      <c r="B224" s="329"/>
      <c r="C224" s="329"/>
      <c r="D224" s="52" t="s">
        <v>1439</v>
      </c>
    </row>
    <row r="225" spans="1:4" ht="15.75" thickBot="1">
      <c r="A225" s="59">
        <v>20516</v>
      </c>
      <c r="B225" s="330"/>
      <c r="C225" s="330"/>
      <c r="D225" s="61" t="s">
        <v>1464</v>
      </c>
    </row>
    <row r="226" spans="1:4">
      <c r="A226" s="57">
        <v>20542</v>
      </c>
      <c r="B226" s="331">
        <v>18</v>
      </c>
      <c r="C226" s="331" t="s">
        <v>3773</v>
      </c>
      <c r="D226" s="62" t="s">
        <v>1422</v>
      </c>
    </row>
    <row r="227" spans="1:4">
      <c r="A227" s="54">
        <v>20543</v>
      </c>
      <c r="B227" s="329"/>
      <c r="C227" s="329"/>
      <c r="D227" s="52" t="s">
        <v>1423</v>
      </c>
    </row>
    <row r="228" spans="1:4">
      <c r="A228" s="54">
        <v>20532</v>
      </c>
      <c r="B228" s="329"/>
      <c r="C228" s="329"/>
      <c r="D228" s="52" t="s">
        <v>1412</v>
      </c>
    </row>
    <row r="229" spans="1:4">
      <c r="A229" s="54">
        <v>20536</v>
      </c>
      <c r="B229" s="329"/>
      <c r="C229" s="329"/>
      <c r="D229" s="52" t="s">
        <v>1416</v>
      </c>
    </row>
    <row r="230" spans="1:4">
      <c r="A230" s="54">
        <v>20538</v>
      </c>
      <c r="B230" s="329"/>
      <c r="C230" s="329"/>
      <c r="D230" s="52" t="s">
        <v>1418</v>
      </c>
    </row>
    <row r="231" spans="1:4">
      <c r="A231" s="54">
        <v>20549</v>
      </c>
      <c r="B231" s="329"/>
      <c r="C231" s="329"/>
      <c r="D231" s="52" t="s">
        <v>1395</v>
      </c>
    </row>
    <row r="232" spans="1:4">
      <c r="A232" s="54">
        <v>20552</v>
      </c>
      <c r="B232" s="329"/>
      <c r="C232" s="329"/>
      <c r="D232" s="52" t="s">
        <v>1398</v>
      </c>
    </row>
    <row r="233" spans="1:4" ht="15.75" thickBot="1">
      <c r="A233" s="56">
        <v>20544</v>
      </c>
      <c r="B233" s="338"/>
      <c r="C233" s="338"/>
      <c r="D233" s="63" t="s">
        <v>1390</v>
      </c>
    </row>
    <row r="234" spans="1:4">
      <c r="A234" s="64">
        <v>20728</v>
      </c>
      <c r="B234" s="328">
        <v>19</v>
      </c>
      <c r="C234" s="328" t="s">
        <v>3119</v>
      </c>
      <c r="D234" s="65" t="s">
        <v>1379</v>
      </c>
    </row>
    <row r="235" spans="1:4">
      <c r="A235" s="54">
        <v>18651</v>
      </c>
      <c r="B235" s="329"/>
      <c r="C235" s="329"/>
      <c r="D235" s="52" t="s">
        <v>2911</v>
      </c>
    </row>
    <row r="236" spans="1:4">
      <c r="A236" s="54">
        <v>20744</v>
      </c>
      <c r="B236" s="329"/>
      <c r="C236" s="329"/>
      <c r="D236" s="53" t="s">
        <v>1361</v>
      </c>
    </row>
    <row r="237" spans="1:4">
      <c r="A237" s="54">
        <v>20745</v>
      </c>
      <c r="B237" s="329"/>
      <c r="C237" s="329"/>
      <c r="D237" s="52" t="s">
        <v>1362</v>
      </c>
    </row>
    <row r="238" spans="1:4">
      <c r="A238" s="54">
        <v>20549</v>
      </c>
      <c r="B238" s="329"/>
      <c r="C238" s="329"/>
      <c r="D238" s="52" t="s">
        <v>1395</v>
      </c>
    </row>
    <row r="239" spans="1:4" ht="15.75" thickBot="1">
      <c r="A239" s="59">
        <v>20749</v>
      </c>
      <c r="B239" s="330"/>
      <c r="C239" s="330"/>
      <c r="D239" s="61" t="s">
        <v>1365</v>
      </c>
    </row>
    <row r="240" spans="1:4">
      <c r="A240" s="57">
        <v>20763</v>
      </c>
      <c r="B240" s="331">
        <v>20</v>
      </c>
      <c r="C240" s="331" t="s">
        <v>3118</v>
      </c>
      <c r="D240" s="62" t="s">
        <v>1338</v>
      </c>
    </row>
    <row r="241" spans="1:4">
      <c r="A241" s="54">
        <v>20764</v>
      </c>
      <c r="B241" s="329"/>
      <c r="C241" s="329"/>
      <c r="D241" s="52" t="s">
        <v>1340</v>
      </c>
    </row>
    <row r="242" spans="1:4">
      <c r="A242" s="54">
        <v>20761</v>
      </c>
      <c r="B242" s="329"/>
      <c r="C242" s="329"/>
      <c r="D242" s="52" t="s">
        <v>1334</v>
      </c>
    </row>
    <row r="243" spans="1:4">
      <c r="A243" s="54">
        <v>20765</v>
      </c>
      <c r="B243" s="329"/>
      <c r="C243" s="329"/>
      <c r="D243" s="52" t="s">
        <v>1342</v>
      </c>
    </row>
    <row r="244" spans="1:4">
      <c r="A244" s="54">
        <v>20755</v>
      </c>
      <c r="B244" s="329"/>
      <c r="C244" s="329"/>
      <c r="D244" s="52" t="s">
        <v>1322</v>
      </c>
    </row>
    <row r="245" spans="1:4">
      <c r="A245" s="54">
        <v>20970</v>
      </c>
      <c r="B245" s="329"/>
      <c r="C245" s="329"/>
      <c r="D245" s="52" t="s">
        <v>1288</v>
      </c>
    </row>
    <row r="246" spans="1:4">
      <c r="A246" s="54">
        <v>20971</v>
      </c>
      <c r="B246" s="329"/>
      <c r="C246" s="329"/>
      <c r="D246" s="52" t="s">
        <v>1289</v>
      </c>
    </row>
    <row r="247" spans="1:4">
      <c r="A247" s="54">
        <v>20974</v>
      </c>
      <c r="B247" s="329"/>
      <c r="C247" s="329"/>
      <c r="D247" s="52" t="s">
        <v>1292</v>
      </c>
    </row>
    <row r="248" spans="1:4">
      <c r="A248" s="54">
        <v>20768</v>
      </c>
      <c r="B248" s="329"/>
      <c r="C248" s="329"/>
      <c r="D248" s="52" t="s">
        <v>1278</v>
      </c>
    </row>
    <row r="249" spans="1:4" ht="15.75" thickBot="1">
      <c r="A249" s="56">
        <v>20960</v>
      </c>
      <c r="B249" s="338"/>
      <c r="C249" s="338"/>
      <c r="D249" s="63" t="s">
        <v>1250</v>
      </c>
    </row>
    <row r="250" spans="1:4">
      <c r="A250" s="64">
        <v>21235</v>
      </c>
      <c r="B250" s="328">
        <v>21</v>
      </c>
      <c r="C250" s="328" t="s">
        <v>3118</v>
      </c>
      <c r="D250" s="65" t="s">
        <v>861</v>
      </c>
    </row>
    <row r="251" spans="1:4">
      <c r="A251" s="54">
        <v>21220</v>
      </c>
      <c r="B251" s="329"/>
      <c r="C251" s="329"/>
      <c r="D251" s="52" t="s">
        <v>1014</v>
      </c>
    </row>
    <row r="252" spans="1:4">
      <c r="A252" s="54">
        <v>21220</v>
      </c>
      <c r="B252" s="329"/>
      <c r="C252" s="329"/>
      <c r="D252" s="52" t="s">
        <v>1003</v>
      </c>
    </row>
    <row r="253" spans="1:4">
      <c r="A253" s="54">
        <v>21030</v>
      </c>
      <c r="B253" s="329"/>
      <c r="C253" s="329"/>
      <c r="D253" s="52" t="s">
        <v>1098</v>
      </c>
    </row>
    <row r="254" spans="1:4">
      <c r="A254" s="54">
        <v>20990</v>
      </c>
      <c r="B254" s="329"/>
      <c r="C254" s="329"/>
      <c r="D254" s="52" t="s">
        <v>1229</v>
      </c>
    </row>
    <row r="255" spans="1:4">
      <c r="A255" s="54">
        <v>20999</v>
      </c>
      <c r="B255" s="329"/>
      <c r="C255" s="329"/>
      <c r="D255" s="52" t="s">
        <v>1178</v>
      </c>
    </row>
    <row r="256" spans="1:4">
      <c r="A256" s="54">
        <v>21236</v>
      </c>
      <c r="B256" s="329"/>
      <c r="C256" s="329"/>
      <c r="D256" s="52" t="s">
        <v>863</v>
      </c>
    </row>
    <row r="257" spans="1:4">
      <c r="A257" s="54">
        <v>21026</v>
      </c>
      <c r="B257" s="329"/>
      <c r="C257" s="329"/>
      <c r="D257" s="52" t="s">
        <v>1091</v>
      </c>
    </row>
    <row r="258" spans="1:4">
      <c r="A258" s="54">
        <v>21211</v>
      </c>
      <c r="B258" s="329"/>
      <c r="C258" s="329"/>
      <c r="D258" s="52" t="s">
        <v>1005</v>
      </c>
    </row>
    <row r="259" spans="1:4">
      <c r="A259" s="54">
        <v>21199</v>
      </c>
      <c r="B259" s="329"/>
      <c r="C259" s="329"/>
      <c r="D259" s="52" t="s">
        <v>1045</v>
      </c>
    </row>
    <row r="260" spans="1:4">
      <c r="A260" s="54">
        <v>21245</v>
      </c>
      <c r="B260" s="329"/>
      <c r="C260" s="329"/>
      <c r="D260" s="52" t="s">
        <v>881</v>
      </c>
    </row>
    <row r="261" spans="1:4">
      <c r="A261" s="54">
        <v>21029</v>
      </c>
      <c r="B261" s="329"/>
      <c r="C261" s="329"/>
      <c r="D261" s="52" t="s">
        <v>1096</v>
      </c>
    </row>
    <row r="262" spans="1:4">
      <c r="A262" s="54">
        <v>21009</v>
      </c>
      <c r="B262" s="329"/>
      <c r="C262" s="329"/>
      <c r="D262" s="52" t="s">
        <v>1129</v>
      </c>
    </row>
    <row r="263" spans="1:4" ht="15.75" thickBot="1">
      <c r="A263" s="59">
        <v>21208</v>
      </c>
      <c r="B263" s="330"/>
      <c r="C263" s="330"/>
      <c r="D263" s="61" t="s">
        <v>1002</v>
      </c>
    </row>
    <row r="264" spans="1:4">
      <c r="A264" s="57">
        <v>21365</v>
      </c>
      <c r="B264" s="331">
        <v>22</v>
      </c>
      <c r="C264" s="331" t="s">
        <v>3129</v>
      </c>
      <c r="D264" s="62" t="s">
        <v>154</v>
      </c>
    </row>
    <row r="265" spans="1:4">
      <c r="A265" s="54">
        <v>21339</v>
      </c>
      <c r="B265" s="329"/>
      <c r="C265" s="329"/>
      <c r="D265" s="52" t="s">
        <v>155</v>
      </c>
    </row>
    <row r="266" spans="1:4">
      <c r="A266" s="54">
        <v>21346</v>
      </c>
      <c r="B266" s="329"/>
      <c r="C266" s="329"/>
      <c r="D266" s="52" t="s">
        <v>156</v>
      </c>
    </row>
    <row r="267" spans="1:4">
      <c r="A267" s="54">
        <v>21366</v>
      </c>
      <c r="B267" s="329"/>
      <c r="C267" s="329"/>
      <c r="D267" s="52" t="s">
        <v>157</v>
      </c>
    </row>
    <row r="268" spans="1:4">
      <c r="A268" s="54">
        <v>21367</v>
      </c>
      <c r="B268" s="329"/>
      <c r="C268" s="329"/>
      <c r="D268" s="52" t="s">
        <v>916</v>
      </c>
    </row>
    <row r="269" spans="1:4">
      <c r="A269" s="54">
        <v>21369</v>
      </c>
      <c r="B269" s="329"/>
      <c r="C269" s="329"/>
      <c r="D269" s="52" t="s">
        <v>158</v>
      </c>
    </row>
    <row r="270" spans="1:4">
      <c r="A270" s="54">
        <v>12572</v>
      </c>
      <c r="B270" s="329"/>
      <c r="C270" s="329"/>
      <c r="D270" s="52" t="s">
        <v>159</v>
      </c>
    </row>
    <row r="271" spans="1:4">
      <c r="A271" s="54">
        <v>21392</v>
      </c>
      <c r="B271" s="329"/>
      <c r="C271" s="329"/>
      <c r="D271" s="52" t="s">
        <v>160</v>
      </c>
    </row>
    <row r="272" spans="1:4">
      <c r="A272" s="54">
        <v>21395</v>
      </c>
      <c r="B272" s="329"/>
      <c r="C272" s="329"/>
      <c r="D272" s="52" t="s">
        <v>961</v>
      </c>
    </row>
    <row r="273" spans="1:4">
      <c r="A273" s="54">
        <v>21402</v>
      </c>
      <c r="B273" s="329"/>
      <c r="C273" s="329"/>
      <c r="D273" s="52" t="s">
        <v>19</v>
      </c>
    </row>
    <row r="274" spans="1:4">
      <c r="A274" s="54">
        <v>21404</v>
      </c>
      <c r="B274" s="329"/>
      <c r="C274" s="329"/>
      <c r="D274" s="52" t="s">
        <v>21</v>
      </c>
    </row>
    <row r="275" spans="1:4">
      <c r="A275" s="54">
        <v>21405</v>
      </c>
      <c r="B275" s="329"/>
      <c r="C275" s="329"/>
      <c r="D275" s="52" t="s">
        <v>22</v>
      </c>
    </row>
    <row r="276" spans="1:4">
      <c r="A276" s="54">
        <v>21407</v>
      </c>
      <c r="B276" s="329"/>
      <c r="C276" s="329"/>
      <c r="D276" s="52" t="s">
        <v>24</v>
      </c>
    </row>
    <row r="277" spans="1:4">
      <c r="A277" s="54">
        <v>21409</v>
      </c>
      <c r="B277" s="329"/>
      <c r="C277" s="329"/>
      <c r="D277" s="52" t="s">
        <v>26</v>
      </c>
    </row>
    <row r="278" spans="1:4">
      <c r="A278" s="54">
        <v>21379</v>
      </c>
      <c r="B278" s="329"/>
      <c r="C278" s="329"/>
      <c r="D278" s="52" t="s">
        <v>712</v>
      </c>
    </row>
    <row r="279" spans="1:4" ht="15.75" thickBot="1">
      <c r="A279" s="56">
        <v>21439</v>
      </c>
      <c r="B279" s="338"/>
      <c r="C279" s="338"/>
      <c r="D279" s="66" t="s">
        <v>81</v>
      </c>
    </row>
    <row r="280" spans="1:4">
      <c r="A280" s="64">
        <v>21551</v>
      </c>
      <c r="B280" s="328">
        <v>23</v>
      </c>
      <c r="C280" s="328" t="s">
        <v>3127</v>
      </c>
      <c r="D280" s="65" t="s">
        <v>117</v>
      </c>
    </row>
    <row r="281" spans="1:4">
      <c r="A281" s="54">
        <v>21553</v>
      </c>
      <c r="B281" s="329"/>
      <c r="C281" s="329"/>
      <c r="D281" s="52" t="s">
        <v>119</v>
      </c>
    </row>
    <row r="282" spans="1:4">
      <c r="A282" s="54">
        <v>21555</v>
      </c>
      <c r="B282" s="329"/>
      <c r="C282" s="329"/>
      <c r="D282" s="52" t="s">
        <v>121</v>
      </c>
    </row>
    <row r="283" spans="1:4">
      <c r="A283" s="54">
        <v>21559</v>
      </c>
      <c r="B283" s="329"/>
      <c r="C283" s="329"/>
      <c r="D283" s="52" t="s">
        <v>125</v>
      </c>
    </row>
    <row r="284" spans="1:4">
      <c r="A284" s="54">
        <v>21562</v>
      </c>
      <c r="B284" s="329"/>
      <c r="C284" s="329"/>
      <c r="D284" s="52" t="s">
        <v>127</v>
      </c>
    </row>
    <row r="285" spans="1:4">
      <c r="A285" s="54">
        <v>21637</v>
      </c>
      <c r="B285" s="329"/>
      <c r="C285" s="329"/>
      <c r="D285" s="52" t="s">
        <v>200</v>
      </c>
    </row>
    <row r="286" spans="1:4">
      <c r="A286" s="54">
        <v>21638</v>
      </c>
      <c r="B286" s="329"/>
      <c r="C286" s="329"/>
      <c r="D286" s="52" t="s">
        <v>201</v>
      </c>
    </row>
    <row r="287" spans="1:4">
      <c r="A287" s="54">
        <v>21639</v>
      </c>
      <c r="B287" s="329"/>
      <c r="C287" s="329"/>
      <c r="D287" s="52" t="s">
        <v>202</v>
      </c>
    </row>
    <row r="288" spans="1:4">
      <c r="A288" s="54">
        <v>21624</v>
      </c>
      <c r="B288" s="329"/>
      <c r="C288" s="329"/>
      <c r="D288" s="52" t="s">
        <v>172</v>
      </c>
    </row>
    <row r="289" spans="1:4" ht="15.75" thickBot="1">
      <c r="A289" s="59">
        <v>21648</v>
      </c>
      <c r="B289" s="330"/>
      <c r="C289" s="330"/>
      <c r="D289" s="61" t="s">
        <v>183</v>
      </c>
    </row>
    <row r="290" spans="1:4">
      <c r="A290" s="57">
        <v>21659</v>
      </c>
      <c r="B290" s="331">
        <v>24</v>
      </c>
      <c r="C290" s="331" t="s">
        <v>3118</v>
      </c>
      <c r="D290" s="57" t="s">
        <v>238</v>
      </c>
    </row>
    <row r="291" spans="1:4">
      <c r="A291" s="54">
        <v>21654</v>
      </c>
      <c r="B291" s="329"/>
      <c r="C291" s="329"/>
      <c r="D291" s="52" t="s">
        <v>233</v>
      </c>
    </row>
    <row r="292" spans="1:4">
      <c r="A292" s="54">
        <v>21676</v>
      </c>
      <c r="B292" s="329"/>
      <c r="C292" s="329"/>
      <c r="D292" s="52" t="s">
        <v>272</v>
      </c>
    </row>
    <row r="293" spans="1:4">
      <c r="A293" s="54">
        <v>21669</v>
      </c>
      <c r="B293" s="329"/>
      <c r="C293" s="329"/>
      <c r="D293" s="52" t="s">
        <v>265</v>
      </c>
    </row>
    <row r="294" spans="1:4">
      <c r="A294" s="54">
        <v>21670</v>
      </c>
      <c r="B294" s="329"/>
      <c r="C294" s="329"/>
      <c r="D294" s="52" t="s">
        <v>266</v>
      </c>
    </row>
    <row r="295" spans="1:4">
      <c r="A295" s="54">
        <v>21667</v>
      </c>
      <c r="B295" s="329"/>
      <c r="C295" s="329"/>
      <c r="D295" s="52" t="s">
        <v>263</v>
      </c>
    </row>
    <row r="296" spans="1:4">
      <c r="A296" s="54">
        <v>21663</v>
      </c>
      <c r="B296" s="329"/>
      <c r="C296" s="329"/>
      <c r="D296" s="52" t="s">
        <v>259</v>
      </c>
    </row>
    <row r="297" spans="1:4">
      <c r="A297" s="54">
        <v>21801</v>
      </c>
      <c r="B297" s="329"/>
      <c r="C297" s="329"/>
      <c r="D297" s="52" t="s">
        <v>300</v>
      </c>
    </row>
    <row r="298" spans="1:4">
      <c r="A298" s="54">
        <v>21803</v>
      </c>
      <c r="B298" s="329"/>
      <c r="C298" s="329"/>
      <c r="D298" s="52" t="s">
        <v>302</v>
      </c>
    </row>
    <row r="299" spans="1:4">
      <c r="A299" s="54">
        <v>21797</v>
      </c>
      <c r="B299" s="329"/>
      <c r="C299" s="329"/>
      <c r="D299" s="52" t="s">
        <v>296</v>
      </c>
    </row>
    <row r="300" spans="1:4">
      <c r="A300" s="54">
        <v>21802</v>
      </c>
      <c r="B300" s="329"/>
      <c r="C300" s="329"/>
      <c r="D300" s="52" t="s">
        <v>301</v>
      </c>
    </row>
    <row r="301" spans="1:4">
      <c r="A301" s="54">
        <v>2910163</v>
      </c>
      <c r="B301" s="329"/>
      <c r="C301" s="329"/>
      <c r="D301" s="52" t="s">
        <v>321</v>
      </c>
    </row>
    <row r="302" spans="1:4">
      <c r="A302" s="54">
        <v>2464770</v>
      </c>
      <c r="B302" s="329"/>
      <c r="C302" s="329"/>
      <c r="D302" s="52" t="s">
        <v>325</v>
      </c>
    </row>
    <row r="303" spans="1:4" ht="15.75" thickBot="1">
      <c r="A303" s="56">
        <v>2619877</v>
      </c>
      <c r="B303" s="338"/>
      <c r="C303" s="338"/>
      <c r="D303" s="63" t="s">
        <v>328</v>
      </c>
    </row>
    <row r="304" spans="1:4">
      <c r="A304" s="64">
        <v>21818</v>
      </c>
      <c r="B304" s="328">
        <v>25</v>
      </c>
      <c r="C304" s="328" t="s">
        <v>3127</v>
      </c>
      <c r="D304" s="65" t="s">
        <v>342</v>
      </c>
    </row>
    <row r="305" spans="1:4">
      <c r="A305" s="54">
        <v>21821</v>
      </c>
      <c r="B305" s="329"/>
      <c r="C305" s="329"/>
      <c r="D305" s="52" t="s">
        <v>3784</v>
      </c>
    </row>
    <row r="306" spans="1:4">
      <c r="A306" s="54">
        <v>21824</v>
      </c>
      <c r="B306" s="329"/>
      <c r="C306" s="329"/>
      <c r="D306" s="52" t="s">
        <v>348</v>
      </c>
    </row>
    <row r="307" spans="1:4">
      <c r="A307" s="54">
        <v>21830</v>
      </c>
      <c r="B307" s="329"/>
      <c r="C307" s="329"/>
      <c r="D307" s="52" t="s">
        <v>353</v>
      </c>
    </row>
    <row r="308" spans="1:4">
      <c r="A308" s="54">
        <v>21846</v>
      </c>
      <c r="B308" s="329"/>
      <c r="C308" s="329"/>
      <c r="D308" s="52" t="s">
        <v>381</v>
      </c>
    </row>
    <row r="309" spans="1:4">
      <c r="A309" s="54">
        <v>21849</v>
      </c>
      <c r="B309" s="329"/>
      <c r="C309" s="329"/>
      <c r="D309" s="52" t="s">
        <v>384</v>
      </c>
    </row>
    <row r="310" spans="1:4">
      <c r="A310" s="54">
        <v>21850</v>
      </c>
      <c r="B310" s="329"/>
      <c r="C310" s="329"/>
      <c r="D310" s="52" t="s">
        <v>385</v>
      </c>
    </row>
    <row r="311" spans="1:4">
      <c r="A311" s="54">
        <v>21869</v>
      </c>
      <c r="B311" s="329"/>
      <c r="C311" s="329"/>
      <c r="D311" s="52" t="s">
        <v>412</v>
      </c>
    </row>
    <row r="312" spans="1:4">
      <c r="A312" s="54">
        <v>21870</v>
      </c>
      <c r="B312" s="329"/>
      <c r="C312" s="329"/>
      <c r="D312" s="52" t="s">
        <v>413</v>
      </c>
    </row>
    <row r="313" spans="1:4" ht="15.75" thickBot="1">
      <c r="A313" s="59">
        <v>21878</v>
      </c>
      <c r="B313" s="330"/>
      <c r="C313" s="330"/>
      <c r="D313" s="61" t="s">
        <v>421</v>
      </c>
    </row>
    <row r="314" spans="1:4">
      <c r="A314" s="57">
        <v>21901</v>
      </c>
      <c r="B314" s="331">
        <v>26</v>
      </c>
      <c r="C314" s="331" t="s">
        <v>3119</v>
      </c>
      <c r="D314" s="62" t="s">
        <v>450</v>
      </c>
    </row>
    <row r="315" spans="1:4">
      <c r="A315" s="54">
        <v>21902</v>
      </c>
      <c r="B315" s="329"/>
      <c r="C315" s="329"/>
      <c r="D315" s="52" t="s">
        <v>451</v>
      </c>
    </row>
    <row r="316" spans="1:4">
      <c r="A316" s="54">
        <v>21897</v>
      </c>
      <c r="B316" s="329"/>
      <c r="C316" s="329"/>
      <c r="D316" s="52" t="s">
        <v>446</v>
      </c>
    </row>
    <row r="317" spans="1:4">
      <c r="A317" s="54">
        <v>21895</v>
      </c>
      <c r="B317" s="329"/>
      <c r="C317" s="329"/>
      <c r="D317" s="52" t="s">
        <v>444</v>
      </c>
    </row>
    <row r="318" spans="1:4">
      <c r="A318" s="54">
        <v>21893</v>
      </c>
      <c r="B318" s="329"/>
      <c r="C318" s="329"/>
      <c r="D318" s="52" t="s">
        <v>442</v>
      </c>
    </row>
    <row r="319" spans="1:4">
      <c r="A319" s="54">
        <v>22143</v>
      </c>
      <c r="B319" s="329"/>
      <c r="C319" s="329"/>
      <c r="D319" s="52" t="s">
        <v>506</v>
      </c>
    </row>
    <row r="320" spans="1:4">
      <c r="A320" s="54">
        <v>22149</v>
      </c>
      <c r="B320" s="329"/>
      <c r="C320" s="329"/>
      <c r="D320" s="52" t="s">
        <v>512</v>
      </c>
    </row>
    <row r="321" spans="1:5">
      <c r="A321" s="54">
        <v>22151</v>
      </c>
      <c r="B321" s="329"/>
      <c r="C321" s="329"/>
      <c r="D321" s="52" t="s">
        <v>703</v>
      </c>
    </row>
    <row r="322" spans="1:5" ht="15.75" thickBot="1">
      <c r="A322" s="59">
        <v>22137</v>
      </c>
      <c r="B322" s="330"/>
      <c r="C322" s="330"/>
      <c r="D322" s="61" t="s">
        <v>484</v>
      </c>
    </row>
    <row r="323" spans="1:5">
      <c r="A323" s="57">
        <v>22161</v>
      </c>
      <c r="B323" s="342">
        <v>27</v>
      </c>
      <c r="C323" s="343" t="s">
        <v>3119</v>
      </c>
      <c r="D323" s="62" t="s">
        <v>534</v>
      </c>
    </row>
    <row r="324" spans="1:5">
      <c r="A324" s="54">
        <v>22162</v>
      </c>
      <c r="B324" s="333"/>
      <c r="C324" s="336"/>
      <c r="D324" s="52" t="s">
        <v>535</v>
      </c>
    </row>
    <row r="325" spans="1:5">
      <c r="A325" s="54">
        <v>22155</v>
      </c>
      <c r="B325" s="333"/>
      <c r="C325" s="336"/>
      <c r="D325" s="52" t="s">
        <v>528</v>
      </c>
    </row>
    <row r="326" spans="1:5">
      <c r="A326" s="54">
        <v>22164</v>
      </c>
      <c r="B326" s="333"/>
      <c r="C326" s="336"/>
      <c r="D326" s="52" t="s">
        <v>537</v>
      </c>
    </row>
    <row r="327" spans="1:5">
      <c r="A327" s="54">
        <v>22168</v>
      </c>
      <c r="B327" s="333"/>
      <c r="C327" s="336"/>
      <c r="D327" s="52" t="s">
        <v>554</v>
      </c>
    </row>
    <row r="328" spans="1:5">
      <c r="A328" s="54">
        <v>22169</v>
      </c>
      <c r="B328" s="333"/>
      <c r="C328" s="336"/>
      <c r="D328" s="52" t="s">
        <v>555</v>
      </c>
    </row>
    <row r="329" spans="1:5">
      <c r="A329" s="54">
        <v>22171</v>
      </c>
      <c r="B329" s="333"/>
      <c r="C329" s="336"/>
      <c r="D329" s="52" t="s">
        <v>557</v>
      </c>
    </row>
    <row r="330" spans="1:5">
      <c r="A330" s="54">
        <v>22206</v>
      </c>
      <c r="B330" s="333"/>
      <c r="C330" s="336"/>
      <c r="D330" s="51" t="s">
        <v>589</v>
      </c>
    </row>
    <row r="331" spans="1:5">
      <c r="A331" s="54">
        <v>22207</v>
      </c>
      <c r="B331" s="333"/>
      <c r="C331" s="336"/>
      <c r="D331" s="51" t="s">
        <v>590</v>
      </c>
    </row>
    <row r="332" spans="1:5">
      <c r="A332" s="54">
        <v>22217</v>
      </c>
      <c r="B332" s="333"/>
      <c r="C332" s="336"/>
      <c r="D332" s="52" t="s">
        <v>600</v>
      </c>
    </row>
    <row r="333" spans="1:5" ht="15.75" thickBot="1">
      <c r="A333" s="59">
        <v>22208</v>
      </c>
      <c r="B333" s="334"/>
      <c r="C333" s="337"/>
      <c r="D333" s="61" t="s">
        <v>591</v>
      </c>
    </row>
    <row r="334" spans="1:5">
      <c r="A334" s="57">
        <v>22431</v>
      </c>
      <c r="B334" s="342">
        <v>28</v>
      </c>
      <c r="C334" s="343" t="s">
        <v>3123</v>
      </c>
      <c r="D334" s="58" t="s">
        <v>627</v>
      </c>
      <c r="E334" s="49"/>
    </row>
    <row r="335" spans="1:5">
      <c r="A335" s="54">
        <v>22471</v>
      </c>
      <c r="B335" s="333"/>
      <c r="C335" s="336"/>
      <c r="D335" s="53" t="s">
        <v>675</v>
      </c>
      <c r="E335" s="49"/>
    </row>
    <row r="336" spans="1:5">
      <c r="A336" s="54">
        <v>22491</v>
      </c>
      <c r="B336" s="333"/>
      <c r="C336" s="336"/>
      <c r="D336" s="53" t="s">
        <v>676</v>
      </c>
      <c r="E336" s="49"/>
    </row>
    <row r="337" spans="1:5">
      <c r="A337" s="54">
        <v>22473</v>
      </c>
      <c r="B337" s="333"/>
      <c r="C337" s="336"/>
      <c r="D337" s="53" t="s">
        <v>677</v>
      </c>
      <c r="E337" s="49"/>
    </row>
    <row r="338" spans="1:5">
      <c r="A338" s="54">
        <v>22463</v>
      </c>
      <c r="B338" s="333"/>
      <c r="C338" s="336"/>
      <c r="D338" s="53" t="s">
        <v>666</v>
      </c>
      <c r="E338" s="49"/>
    </row>
    <row r="339" spans="1:5">
      <c r="A339" s="54">
        <v>22488</v>
      </c>
      <c r="B339" s="333"/>
      <c r="C339" s="336"/>
      <c r="D339" s="53" t="s">
        <v>741</v>
      </c>
      <c r="E339" s="49"/>
    </row>
    <row r="340" spans="1:5">
      <c r="A340" s="54">
        <v>22489</v>
      </c>
      <c r="B340" s="333"/>
      <c r="C340" s="336"/>
      <c r="D340" s="53" t="s">
        <v>742</v>
      </c>
      <c r="E340" s="49"/>
    </row>
    <row r="341" spans="1:5">
      <c r="A341" s="54">
        <v>22491</v>
      </c>
      <c r="B341" s="333"/>
      <c r="C341" s="336"/>
      <c r="D341" s="53" t="s">
        <v>744</v>
      </c>
      <c r="E341" s="49"/>
    </row>
    <row r="342" spans="1:5">
      <c r="A342" s="54">
        <v>22495</v>
      </c>
      <c r="B342" s="333"/>
      <c r="C342" s="336"/>
      <c r="D342" s="53" t="s">
        <v>748</v>
      </c>
      <c r="E342" s="49"/>
    </row>
    <row r="343" spans="1:5">
      <c r="A343" s="54">
        <v>22497</v>
      </c>
      <c r="B343" s="333"/>
      <c r="C343" s="336"/>
      <c r="D343" s="53" t="s">
        <v>750</v>
      </c>
      <c r="E343" s="49"/>
    </row>
    <row r="344" spans="1:5">
      <c r="A344" s="54">
        <v>22480</v>
      </c>
      <c r="B344" s="333"/>
      <c r="C344" s="336"/>
      <c r="D344" s="53" t="s">
        <v>718</v>
      </c>
      <c r="E344" s="49"/>
    </row>
    <row r="345" spans="1:5">
      <c r="A345" s="54">
        <v>22484</v>
      </c>
      <c r="B345" s="333"/>
      <c r="C345" s="336"/>
      <c r="D345" s="53" t="s">
        <v>722</v>
      </c>
      <c r="E345" s="49"/>
    </row>
    <row r="346" spans="1:5">
      <c r="A346" s="54">
        <v>22432</v>
      </c>
      <c r="B346" s="333"/>
      <c r="C346" s="336"/>
      <c r="D346" s="53" t="s">
        <v>628</v>
      </c>
      <c r="E346" s="49"/>
    </row>
    <row r="347" spans="1:5" ht="15.75" thickBot="1">
      <c r="A347" s="59">
        <v>22434</v>
      </c>
      <c r="B347" s="334"/>
      <c r="C347" s="337"/>
      <c r="D347" s="60" t="s">
        <v>630</v>
      </c>
      <c r="E347" s="49"/>
    </row>
    <row r="348" spans="1:5">
      <c r="A348" s="57">
        <v>22502</v>
      </c>
      <c r="B348" s="342">
        <v>29</v>
      </c>
      <c r="C348" s="343" t="s">
        <v>3127</v>
      </c>
      <c r="D348" s="58" t="s">
        <v>3138</v>
      </c>
      <c r="E348" s="49"/>
    </row>
    <row r="349" spans="1:5">
      <c r="A349" s="54">
        <v>22506</v>
      </c>
      <c r="B349" s="333"/>
      <c r="C349" s="336"/>
      <c r="D349" s="53" t="s">
        <v>3142</v>
      </c>
      <c r="E349" s="49"/>
    </row>
    <row r="350" spans="1:5">
      <c r="A350" s="54">
        <v>22510</v>
      </c>
      <c r="B350" s="333"/>
      <c r="C350" s="336"/>
      <c r="D350" s="53" t="s">
        <v>3146</v>
      </c>
      <c r="E350" s="49"/>
    </row>
    <row r="351" spans="1:5">
      <c r="A351" s="54">
        <v>22512</v>
      </c>
      <c r="B351" s="333"/>
      <c r="C351" s="336"/>
      <c r="D351" s="53" t="s">
        <v>3148</v>
      </c>
      <c r="E351" s="49"/>
    </row>
    <row r="352" spans="1:5">
      <c r="A352" s="54">
        <v>22514</v>
      </c>
      <c r="B352" s="333"/>
      <c r="C352" s="336"/>
      <c r="D352" s="53" t="s">
        <v>3150</v>
      </c>
      <c r="E352" s="49"/>
    </row>
    <row r="353" spans="1:5">
      <c r="A353" s="54">
        <v>22770</v>
      </c>
      <c r="B353" s="333"/>
      <c r="C353" s="336"/>
      <c r="D353" s="53" t="s">
        <v>3226</v>
      </c>
      <c r="E353" s="49"/>
    </row>
    <row r="354" spans="1:5">
      <c r="A354" s="54">
        <v>22773</v>
      </c>
      <c r="B354" s="333"/>
      <c r="C354" s="336"/>
      <c r="D354" s="53" t="s">
        <v>3229</v>
      </c>
      <c r="E354" s="49"/>
    </row>
    <row r="355" spans="1:5">
      <c r="A355" s="54">
        <v>22805</v>
      </c>
      <c r="B355" s="333"/>
      <c r="C355" s="336"/>
      <c r="D355" s="53" t="s">
        <v>3242</v>
      </c>
      <c r="E355" s="49"/>
    </row>
    <row r="356" spans="1:5">
      <c r="A356" s="54">
        <v>22777</v>
      </c>
      <c r="B356" s="333"/>
      <c r="C356" s="336"/>
      <c r="D356" s="53" t="s">
        <v>3250</v>
      </c>
      <c r="E356" s="49"/>
    </row>
    <row r="357" spans="1:5">
      <c r="A357" s="54">
        <v>22780</v>
      </c>
      <c r="B357" s="333"/>
      <c r="C357" s="336"/>
      <c r="D357" s="53" t="s">
        <v>3253</v>
      </c>
      <c r="E357" s="49"/>
    </row>
    <row r="358" spans="1:5">
      <c r="A358" s="54">
        <v>22782</v>
      </c>
      <c r="B358" s="333"/>
      <c r="C358" s="336"/>
      <c r="D358" s="53" t="s">
        <v>3256</v>
      </c>
      <c r="E358" s="49"/>
    </row>
    <row r="359" spans="1:5">
      <c r="A359" s="54">
        <v>22784</v>
      </c>
      <c r="B359" s="333"/>
      <c r="C359" s="336"/>
      <c r="D359" s="53" t="s">
        <v>3258</v>
      </c>
      <c r="E359" s="49"/>
    </row>
    <row r="360" spans="1:5">
      <c r="A360" s="54">
        <v>22789</v>
      </c>
      <c r="B360" s="333"/>
      <c r="C360" s="336"/>
      <c r="D360" s="53" t="s">
        <v>3264</v>
      </c>
      <c r="E360" s="49"/>
    </row>
    <row r="361" spans="1:5">
      <c r="A361" s="54">
        <v>22791</v>
      </c>
      <c r="B361" s="333"/>
      <c r="C361" s="336"/>
      <c r="D361" s="53" t="s">
        <v>3267</v>
      </c>
      <c r="E361" s="49"/>
    </row>
    <row r="362" spans="1:5" ht="15.75" thickBot="1">
      <c r="A362" s="59">
        <v>22792</v>
      </c>
      <c r="B362" s="334"/>
      <c r="C362" s="337"/>
      <c r="D362" s="60" t="s">
        <v>3269</v>
      </c>
      <c r="E362" s="49"/>
    </row>
    <row r="363" spans="1:5">
      <c r="A363" s="64">
        <v>22809</v>
      </c>
      <c r="B363" s="332">
        <v>30</v>
      </c>
      <c r="C363" s="335" t="s">
        <v>3123</v>
      </c>
      <c r="D363" s="67" t="s">
        <v>3327</v>
      </c>
    </row>
    <row r="364" spans="1:5">
      <c r="A364" s="54">
        <v>22814</v>
      </c>
      <c r="B364" s="333"/>
      <c r="C364" s="336"/>
      <c r="D364" s="53" t="s">
        <v>3333</v>
      </c>
    </row>
    <row r="365" spans="1:5">
      <c r="A365" s="54">
        <v>16083</v>
      </c>
      <c r="B365" s="333"/>
      <c r="C365" s="336"/>
      <c r="D365" s="53" t="s">
        <v>3335</v>
      </c>
    </row>
    <row r="366" spans="1:5">
      <c r="A366" s="54">
        <v>22817</v>
      </c>
      <c r="B366" s="333"/>
      <c r="C366" s="336"/>
      <c r="D366" s="53" t="s">
        <v>3350</v>
      </c>
    </row>
    <row r="367" spans="1:5">
      <c r="A367" s="54">
        <v>22818</v>
      </c>
      <c r="B367" s="333"/>
      <c r="C367" s="336"/>
      <c r="D367" s="53" t="s">
        <v>3351</v>
      </c>
    </row>
    <row r="368" spans="1:5">
      <c r="A368" s="54">
        <v>22821</v>
      </c>
      <c r="B368" s="333"/>
      <c r="C368" s="336"/>
      <c r="D368" s="53" t="s">
        <v>3353</v>
      </c>
    </row>
    <row r="369" spans="1:4">
      <c r="A369" s="54">
        <v>22822</v>
      </c>
      <c r="B369" s="333"/>
      <c r="C369" s="336"/>
      <c r="D369" s="53" t="s">
        <v>3354</v>
      </c>
    </row>
    <row r="370" spans="1:4">
      <c r="A370" s="54">
        <v>22827</v>
      </c>
      <c r="B370" s="333"/>
      <c r="C370" s="336"/>
      <c r="D370" s="53" t="s">
        <v>3357</v>
      </c>
    </row>
    <row r="371" spans="1:4">
      <c r="A371" s="54">
        <v>22844</v>
      </c>
      <c r="B371" s="333"/>
      <c r="C371" s="336"/>
      <c r="D371" s="53" t="s">
        <v>3678</v>
      </c>
    </row>
    <row r="372" spans="1:4">
      <c r="A372" s="54">
        <v>22845</v>
      </c>
      <c r="B372" s="333"/>
      <c r="C372" s="336"/>
      <c r="D372" s="53" t="s">
        <v>3680</v>
      </c>
    </row>
    <row r="373" spans="1:4">
      <c r="A373" s="54">
        <v>22846</v>
      </c>
      <c r="B373" s="333"/>
      <c r="C373" s="336"/>
      <c r="D373" s="53" t="s">
        <v>3682</v>
      </c>
    </row>
    <row r="374" spans="1:4">
      <c r="A374" s="54">
        <v>14660</v>
      </c>
      <c r="B374" s="333"/>
      <c r="C374" s="336"/>
      <c r="D374" s="53" t="s">
        <v>3694</v>
      </c>
    </row>
    <row r="375" spans="1:4" ht="15.75" thickBot="1">
      <c r="A375" s="59">
        <v>22867</v>
      </c>
      <c r="B375" s="334"/>
      <c r="C375" s="337"/>
      <c r="D375" s="60" t="s">
        <v>3699</v>
      </c>
    </row>
    <row r="376" spans="1:4">
      <c r="A376" s="64">
        <v>22870</v>
      </c>
      <c r="B376" s="325">
        <v>31</v>
      </c>
      <c r="C376" s="325" t="s">
        <v>3118</v>
      </c>
      <c r="D376" s="74" t="s">
        <v>3739</v>
      </c>
    </row>
    <row r="377" spans="1:4">
      <c r="A377" s="54">
        <v>22876</v>
      </c>
      <c r="B377" s="326"/>
      <c r="C377" s="326"/>
      <c r="D377" s="72" t="s">
        <v>3753</v>
      </c>
    </row>
    <row r="378" spans="1:4">
      <c r="A378" s="54">
        <v>22880</v>
      </c>
      <c r="B378" s="326"/>
      <c r="C378" s="326"/>
      <c r="D378" s="72" t="s">
        <v>3762</v>
      </c>
    </row>
    <row r="379" spans="1:4">
      <c r="A379" s="54">
        <v>22881</v>
      </c>
      <c r="B379" s="326"/>
      <c r="C379" s="326"/>
      <c r="D379" s="72" t="s">
        <v>3764</v>
      </c>
    </row>
    <row r="380" spans="1:4">
      <c r="A380" s="54">
        <v>21365</v>
      </c>
      <c r="B380" s="326"/>
      <c r="C380" s="326"/>
      <c r="D380" s="72" t="s">
        <v>154</v>
      </c>
    </row>
    <row r="381" spans="1:4">
      <c r="A381" s="54">
        <v>23001</v>
      </c>
      <c r="B381" s="326"/>
      <c r="C381" s="326"/>
      <c r="D381" s="72" t="s">
        <v>3767</v>
      </c>
    </row>
    <row r="382" spans="1:4">
      <c r="A382" s="54">
        <v>23005</v>
      </c>
      <c r="B382" s="326"/>
      <c r="C382" s="326"/>
      <c r="D382" s="72" t="s">
        <v>3787</v>
      </c>
    </row>
    <row r="383" spans="1:4">
      <c r="A383" s="54">
        <v>23006</v>
      </c>
      <c r="B383" s="326"/>
      <c r="C383" s="326"/>
      <c r="D383" s="72" t="s">
        <v>3788</v>
      </c>
    </row>
    <row r="384" spans="1:4">
      <c r="A384" s="54">
        <v>23007</v>
      </c>
      <c r="B384" s="326"/>
      <c r="C384" s="326"/>
      <c r="D384" s="72" t="s">
        <v>3789</v>
      </c>
    </row>
    <row r="385" spans="1:4">
      <c r="A385" s="54">
        <v>20327</v>
      </c>
      <c r="B385" s="326"/>
      <c r="C385" s="326"/>
      <c r="D385" s="72" t="s">
        <v>1556</v>
      </c>
    </row>
    <row r="386" spans="1:4" ht="15.75" thickBot="1">
      <c r="A386" s="59">
        <v>23011</v>
      </c>
      <c r="B386" s="327"/>
      <c r="C386" s="326"/>
      <c r="D386" s="73" t="s">
        <v>3794</v>
      </c>
    </row>
    <row r="387" spans="1:4">
      <c r="A387" s="64">
        <v>23012</v>
      </c>
      <c r="B387" s="325">
        <v>32</v>
      </c>
      <c r="C387" s="328" t="s">
        <v>3118</v>
      </c>
      <c r="D387" s="80" t="s">
        <v>3820</v>
      </c>
    </row>
    <row r="388" spans="1:4">
      <c r="A388" s="54">
        <v>23013</v>
      </c>
      <c r="B388" s="326"/>
      <c r="C388" s="329"/>
      <c r="D388" s="79" t="s">
        <v>3821</v>
      </c>
    </row>
    <row r="389" spans="1:4">
      <c r="A389" s="54">
        <v>23016</v>
      </c>
      <c r="B389" s="326"/>
      <c r="C389" s="329"/>
      <c r="D389" s="79" t="s">
        <v>3824</v>
      </c>
    </row>
    <row r="390" spans="1:4">
      <c r="A390" s="54">
        <v>23017</v>
      </c>
      <c r="B390" s="326"/>
      <c r="C390" s="329"/>
      <c r="D390" s="79" t="s">
        <v>3825</v>
      </c>
    </row>
    <row r="391" spans="1:4">
      <c r="A391" s="54">
        <v>23023</v>
      </c>
      <c r="B391" s="326"/>
      <c r="C391" s="329"/>
      <c r="D391" s="79" t="s">
        <v>3831</v>
      </c>
    </row>
    <row r="392" spans="1:4">
      <c r="A392" s="54">
        <v>23025</v>
      </c>
      <c r="B392" s="326"/>
      <c r="C392" s="329"/>
      <c r="D392" s="79" t="s">
        <v>3833</v>
      </c>
    </row>
    <row r="393" spans="1:4">
      <c r="A393" s="54">
        <v>23028</v>
      </c>
      <c r="B393" s="326"/>
      <c r="C393" s="329"/>
      <c r="D393" s="79" t="s">
        <v>3836</v>
      </c>
    </row>
    <row r="394" spans="1:4">
      <c r="A394" s="54">
        <v>23030</v>
      </c>
      <c r="B394" s="326"/>
      <c r="C394" s="329"/>
      <c r="D394" s="79" t="s">
        <v>3862</v>
      </c>
    </row>
    <row r="395" spans="1:4">
      <c r="A395" s="54">
        <v>23031</v>
      </c>
      <c r="B395" s="326"/>
      <c r="C395" s="329"/>
      <c r="D395" s="79" t="s">
        <v>3864</v>
      </c>
    </row>
    <row r="396" spans="1:4">
      <c r="A396" s="54">
        <v>23033</v>
      </c>
      <c r="B396" s="326"/>
      <c r="C396" s="329"/>
      <c r="D396" s="79" t="s">
        <v>3868</v>
      </c>
    </row>
    <row r="397" spans="1:4">
      <c r="A397" s="54">
        <v>23034</v>
      </c>
      <c r="B397" s="326"/>
      <c r="C397" s="329"/>
      <c r="D397" s="81" t="s">
        <v>3870</v>
      </c>
    </row>
    <row r="398" spans="1:4">
      <c r="A398" s="54">
        <v>23036</v>
      </c>
      <c r="B398" s="326"/>
      <c r="C398" s="329"/>
      <c r="D398" s="81" t="s">
        <v>3874</v>
      </c>
    </row>
    <row r="399" spans="1:4">
      <c r="A399" s="54">
        <v>23040</v>
      </c>
      <c r="B399" s="326"/>
      <c r="C399" s="329"/>
      <c r="D399" s="79" t="s">
        <v>3745</v>
      </c>
    </row>
    <row r="400" spans="1:4">
      <c r="A400" s="54">
        <v>23044</v>
      </c>
      <c r="B400" s="326"/>
      <c r="C400" s="329"/>
      <c r="D400" s="81" t="s">
        <v>3888</v>
      </c>
    </row>
    <row r="401" spans="1:4">
      <c r="A401" s="54">
        <v>23052</v>
      </c>
      <c r="B401" s="326"/>
      <c r="C401" s="329"/>
      <c r="D401" s="81" t="s">
        <v>3904</v>
      </c>
    </row>
    <row r="402" spans="1:4">
      <c r="A402" s="54">
        <v>23053</v>
      </c>
      <c r="B402" s="326"/>
      <c r="C402" s="329"/>
      <c r="D402" s="81" t="s">
        <v>3906</v>
      </c>
    </row>
    <row r="403" spans="1:4" ht="15.75" thickBot="1">
      <c r="A403" s="59">
        <v>23056</v>
      </c>
      <c r="B403" s="327"/>
      <c r="C403" s="330"/>
      <c r="D403" s="82" t="s">
        <v>3913</v>
      </c>
    </row>
    <row r="404" spans="1:4">
      <c r="A404" s="64">
        <v>23020</v>
      </c>
      <c r="B404" s="325">
        <v>33</v>
      </c>
      <c r="C404" s="325" t="s">
        <v>3118</v>
      </c>
      <c r="D404" s="84" t="s">
        <v>3828</v>
      </c>
    </row>
    <row r="405" spans="1:4">
      <c r="A405" s="54">
        <v>23055</v>
      </c>
      <c r="B405" s="326"/>
      <c r="C405" s="326"/>
      <c r="D405" s="84" t="s">
        <v>3910</v>
      </c>
    </row>
    <row r="406" spans="1:4">
      <c r="A406" s="54">
        <v>23253</v>
      </c>
      <c r="B406" s="326"/>
      <c r="C406" s="326"/>
      <c r="D406" s="84" t="s">
        <v>3931</v>
      </c>
    </row>
    <row r="407" spans="1:4">
      <c r="A407" s="54">
        <v>23255</v>
      </c>
      <c r="B407" s="326"/>
      <c r="C407" s="326"/>
      <c r="D407" s="84" t="s">
        <v>3935</v>
      </c>
    </row>
    <row r="408" spans="1:4">
      <c r="A408" s="54">
        <v>23257</v>
      </c>
      <c r="B408" s="326"/>
      <c r="C408" s="326"/>
      <c r="D408" s="84" t="s">
        <v>3939</v>
      </c>
    </row>
    <row r="409" spans="1:4">
      <c r="A409" s="54">
        <v>23258</v>
      </c>
      <c r="B409" s="326"/>
      <c r="C409" s="326"/>
      <c r="D409" s="84" t="s">
        <v>3941</v>
      </c>
    </row>
    <row r="410" spans="1:4">
      <c r="A410" s="54">
        <v>23262</v>
      </c>
      <c r="B410" s="326"/>
      <c r="C410" s="326"/>
      <c r="D410" s="84" t="s">
        <v>3949</v>
      </c>
    </row>
    <row r="411" spans="1:4">
      <c r="A411" s="54">
        <v>23263</v>
      </c>
      <c r="B411" s="326"/>
      <c r="C411" s="326"/>
      <c r="D411" s="84" t="s">
        <v>3951</v>
      </c>
    </row>
    <row r="412" spans="1:4">
      <c r="A412" s="54">
        <v>23320</v>
      </c>
      <c r="B412" s="326"/>
      <c r="C412" s="326"/>
      <c r="D412" s="84" t="s">
        <v>3976</v>
      </c>
    </row>
    <row r="413" spans="1:4">
      <c r="A413" s="54">
        <v>23321</v>
      </c>
      <c r="B413" s="326"/>
      <c r="C413" s="326"/>
      <c r="D413" s="84" t="s">
        <v>3978</v>
      </c>
    </row>
    <row r="414" spans="1:4">
      <c r="A414" s="54">
        <v>23327</v>
      </c>
      <c r="B414" s="326"/>
      <c r="C414" s="326"/>
      <c r="D414" s="84" t="s">
        <v>3991</v>
      </c>
    </row>
    <row r="415" spans="1:4">
      <c r="A415" s="54">
        <v>23328</v>
      </c>
      <c r="B415" s="326"/>
      <c r="C415" s="326"/>
      <c r="D415" s="84" t="s">
        <v>3993</v>
      </c>
    </row>
    <row r="416" spans="1:4">
      <c r="A416" s="54">
        <v>23330</v>
      </c>
      <c r="B416" s="326"/>
      <c r="C416" s="326"/>
      <c r="D416" s="84" t="s">
        <v>3997</v>
      </c>
    </row>
    <row r="417" spans="1:4">
      <c r="A417" s="54">
        <v>23332</v>
      </c>
      <c r="B417" s="326"/>
      <c r="C417" s="326"/>
      <c r="D417" s="84" t="s">
        <v>4002</v>
      </c>
    </row>
    <row r="418" spans="1:4" ht="15.75" thickBot="1">
      <c r="A418" s="59">
        <v>13210</v>
      </c>
      <c r="B418" s="327"/>
      <c r="C418" s="327"/>
      <c r="D418" s="85" t="s">
        <v>4004</v>
      </c>
    </row>
    <row r="419" spans="1:4">
      <c r="A419" s="64">
        <v>18239</v>
      </c>
      <c r="B419" s="325">
        <v>34</v>
      </c>
      <c r="C419" s="325" t="s">
        <v>3124</v>
      </c>
      <c r="D419" s="88" t="s">
        <v>4036</v>
      </c>
    </row>
    <row r="420" spans="1:4">
      <c r="A420" s="54">
        <v>23339</v>
      </c>
      <c r="B420" s="326"/>
      <c r="C420" s="326"/>
      <c r="D420" s="87" t="s">
        <v>4020</v>
      </c>
    </row>
    <row r="421" spans="1:4">
      <c r="A421" s="54">
        <v>23344</v>
      </c>
      <c r="B421" s="326"/>
      <c r="C421" s="326"/>
      <c r="D421" s="87" t="s">
        <v>4029</v>
      </c>
    </row>
    <row r="422" spans="1:4">
      <c r="A422" s="54">
        <v>23359</v>
      </c>
      <c r="B422" s="326"/>
      <c r="C422" s="326"/>
      <c r="D422" s="87" t="s">
        <v>4054</v>
      </c>
    </row>
    <row r="423" spans="1:4">
      <c r="A423" s="54">
        <v>23366</v>
      </c>
      <c r="B423" s="326"/>
      <c r="C423" s="326"/>
      <c r="D423" s="87" t="s">
        <v>4068</v>
      </c>
    </row>
    <row r="424" spans="1:4">
      <c r="A424" s="54">
        <v>23368</v>
      </c>
      <c r="B424" s="326"/>
      <c r="C424" s="326"/>
      <c r="D424" s="87" t="s">
        <v>4072</v>
      </c>
    </row>
    <row r="425" spans="1:4">
      <c r="A425" s="54">
        <v>23447</v>
      </c>
      <c r="B425" s="326"/>
      <c r="C425" s="326"/>
      <c r="D425" s="87" t="s">
        <v>4114</v>
      </c>
    </row>
    <row r="426" spans="1:4">
      <c r="A426" s="54">
        <v>23455</v>
      </c>
      <c r="B426" s="326"/>
      <c r="C426" s="326"/>
      <c r="D426" s="87" t="s">
        <v>4161</v>
      </c>
    </row>
    <row r="427" spans="1:4">
      <c r="A427" s="54">
        <v>23459</v>
      </c>
      <c r="B427" s="326"/>
      <c r="C427" s="326"/>
      <c r="D427" s="87" t="s">
        <v>4171</v>
      </c>
    </row>
    <row r="428" spans="1:4">
      <c r="A428" s="54">
        <v>23460</v>
      </c>
      <c r="B428" s="326"/>
      <c r="C428" s="326"/>
      <c r="D428" s="87" t="s">
        <v>4173</v>
      </c>
    </row>
    <row r="429" spans="1:4" ht="15.75" thickBot="1">
      <c r="A429" s="59">
        <v>23461</v>
      </c>
      <c r="B429" s="327"/>
      <c r="C429" s="327"/>
      <c r="D429" s="89" t="s">
        <v>4175</v>
      </c>
    </row>
    <row r="430" spans="1:4">
      <c r="A430" s="64">
        <v>23468</v>
      </c>
      <c r="B430" s="325">
        <v>35</v>
      </c>
      <c r="C430" s="325" t="s">
        <v>3124</v>
      </c>
      <c r="D430" s="90" t="s">
        <v>4189</v>
      </c>
    </row>
    <row r="431" spans="1:4">
      <c r="A431" s="54">
        <v>23471</v>
      </c>
      <c r="B431" s="326"/>
      <c r="C431" s="326"/>
      <c r="D431" s="90" t="s">
        <v>4195</v>
      </c>
    </row>
    <row r="432" spans="1:4">
      <c r="A432" s="54">
        <v>23475</v>
      </c>
      <c r="B432" s="326"/>
      <c r="C432" s="326"/>
      <c r="D432" s="90" t="s">
        <v>4201</v>
      </c>
    </row>
    <row r="433" spans="1:4">
      <c r="A433" s="54">
        <v>23476</v>
      </c>
      <c r="B433" s="326"/>
      <c r="C433" s="326"/>
      <c r="D433" s="90" t="s">
        <v>4203</v>
      </c>
    </row>
    <row r="434" spans="1:4">
      <c r="A434" s="54">
        <v>23478</v>
      </c>
      <c r="B434" s="326"/>
      <c r="C434" s="326"/>
      <c r="D434" s="90" t="s">
        <v>4207</v>
      </c>
    </row>
    <row r="435" spans="1:4">
      <c r="A435" s="54">
        <v>18565</v>
      </c>
      <c r="B435" s="326"/>
      <c r="C435" s="326"/>
      <c r="D435" s="90" t="s">
        <v>3035</v>
      </c>
    </row>
    <row r="436" spans="1:4">
      <c r="A436" s="54">
        <v>23485</v>
      </c>
      <c r="B436" s="326"/>
      <c r="C436" s="326"/>
      <c r="D436" s="90" t="s">
        <v>4235</v>
      </c>
    </row>
    <row r="437" spans="1:4">
      <c r="A437" s="54">
        <v>23486</v>
      </c>
      <c r="B437" s="326"/>
      <c r="C437" s="326"/>
      <c r="D437" s="90" t="s">
        <v>4237</v>
      </c>
    </row>
    <row r="438" spans="1:4">
      <c r="A438" s="54">
        <v>23488</v>
      </c>
      <c r="B438" s="326"/>
      <c r="C438" s="326"/>
      <c r="D438" s="90" t="s">
        <v>4241</v>
      </c>
    </row>
    <row r="439" spans="1:4">
      <c r="A439" s="54">
        <v>23489</v>
      </c>
      <c r="B439" s="326"/>
      <c r="C439" s="326"/>
      <c r="D439" s="90" t="s">
        <v>4243</v>
      </c>
    </row>
    <row r="440" spans="1:4" ht="15.75" thickBot="1">
      <c r="A440" s="59">
        <v>23494</v>
      </c>
      <c r="B440" s="327"/>
      <c r="C440" s="327"/>
      <c r="D440" s="91" t="s">
        <v>4253</v>
      </c>
    </row>
    <row r="441" spans="1:4">
      <c r="A441" s="64">
        <v>23701</v>
      </c>
      <c r="B441" s="325">
        <v>36</v>
      </c>
      <c r="C441" s="325" t="s">
        <v>3124</v>
      </c>
      <c r="D441" s="94" t="s">
        <v>4258</v>
      </c>
    </row>
    <row r="442" spans="1:4">
      <c r="A442" s="54">
        <v>23703</v>
      </c>
      <c r="B442" s="326"/>
      <c r="C442" s="326"/>
      <c r="D442" s="93" t="s">
        <v>4262</v>
      </c>
    </row>
    <row r="443" spans="1:4">
      <c r="A443" s="54">
        <v>23706</v>
      </c>
      <c r="B443" s="326"/>
      <c r="C443" s="326"/>
      <c r="D443" s="93" t="s">
        <v>4268</v>
      </c>
    </row>
    <row r="444" spans="1:4">
      <c r="A444" s="54">
        <v>23707</v>
      </c>
      <c r="B444" s="326"/>
      <c r="C444" s="326"/>
      <c r="D444" s="93" t="s">
        <v>4270</v>
      </c>
    </row>
    <row r="445" spans="1:4">
      <c r="A445" s="54">
        <v>23708</v>
      </c>
      <c r="B445" s="326"/>
      <c r="C445" s="326"/>
      <c r="D445" s="93" t="s">
        <v>4272</v>
      </c>
    </row>
    <row r="446" spans="1:4">
      <c r="A446" s="54">
        <v>23728</v>
      </c>
      <c r="B446" s="326"/>
      <c r="C446" s="326"/>
      <c r="D446" s="93" t="s">
        <v>4278</v>
      </c>
    </row>
    <row r="447" spans="1:4">
      <c r="A447" s="54">
        <v>23733</v>
      </c>
      <c r="B447" s="326"/>
      <c r="C447" s="326"/>
      <c r="D447" s="93" t="s">
        <v>4313</v>
      </c>
    </row>
    <row r="448" spans="1:4">
      <c r="A448" s="54">
        <v>23734</v>
      </c>
      <c r="B448" s="326"/>
      <c r="C448" s="326"/>
      <c r="D448" s="93" t="s">
        <v>4316</v>
      </c>
    </row>
    <row r="449" spans="1:4">
      <c r="A449" s="54">
        <v>23735</v>
      </c>
      <c r="B449" s="326"/>
      <c r="C449" s="326"/>
      <c r="D449" s="93" t="s">
        <v>4318</v>
      </c>
    </row>
    <row r="450" spans="1:4" ht="15.75" thickBot="1">
      <c r="A450" s="59">
        <v>23740</v>
      </c>
      <c r="B450" s="327"/>
      <c r="C450" s="327"/>
      <c r="D450" s="95" t="s">
        <v>4324</v>
      </c>
    </row>
    <row r="451" spans="1:4">
      <c r="A451" s="64">
        <v>23744</v>
      </c>
      <c r="B451" s="325">
        <v>37</v>
      </c>
      <c r="C451" s="325" t="s">
        <v>3696</v>
      </c>
      <c r="D451" s="104" t="s">
        <v>4335</v>
      </c>
    </row>
    <row r="452" spans="1:4">
      <c r="A452" s="54">
        <v>23753</v>
      </c>
      <c r="B452" s="326"/>
      <c r="C452" s="326"/>
      <c r="D452" s="105" t="s">
        <v>4356</v>
      </c>
    </row>
    <row r="453" spans="1:4">
      <c r="A453" s="54">
        <v>23948</v>
      </c>
      <c r="B453" s="326"/>
      <c r="C453" s="326"/>
      <c r="D453" s="105" t="s">
        <v>4379</v>
      </c>
    </row>
    <row r="454" spans="1:4">
      <c r="A454" s="54">
        <v>23949</v>
      </c>
      <c r="B454" s="326"/>
      <c r="C454" s="326"/>
      <c r="D454" s="105" t="s">
        <v>4381</v>
      </c>
    </row>
    <row r="455" spans="1:4">
      <c r="A455" s="54">
        <v>23950</v>
      </c>
      <c r="B455" s="326"/>
      <c r="C455" s="326"/>
      <c r="D455" s="105" t="s">
        <v>4383</v>
      </c>
    </row>
    <row r="456" spans="1:4">
      <c r="A456" s="54">
        <v>23952</v>
      </c>
      <c r="B456" s="326"/>
      <c r="C456" s="326"/>
      <c r="D456" s="105" t="s">
        <v>4387</v>
      </c>
    </row>
    <row r="457" spans="1:4">
      <c r="A457" s="54">
        <v>23953</v>
      </c>
      <c r="B457" s="326"/>
      <c r="C457" s="326"/>
      <c r="D457" s="105" t="s">
        <v>4389</v>
      </c>
    </row>
    <row r="458" spans="1:4">
      <c r="A458" s="54">
        <v>23955</v>
      </c>
      <c r="B458" s="326"/>
      <c r="C458" s="326"/>
      <c r="D458" s="105" t="s">
        <v>4393</v>
      </c>
    </row>
    <row r="459" spans="1:4">
      <c r="A459" s="54">
        <v>23956</v>
      </c>
      <c r="B459" s="326"/>
      <c r="C459" s="326"/>
      <c r="D459" s="105" t="s">
        <v>4395</v>
      </c>
    </row>
    <row r="460" spans="1:4">
      <c r="A460" s="54">
        <v>23957</v>
      </c>
      <c r="B460" s="326"/>
      <c r="C460" s="326"/>
      <c r="D460" s="105" t="s">
        <v>4397</v>
      </c>
    </row>
    <row r="461" spans="1:4" ht="15.75" thickBot="1">
      <c r="A461" s="59">
        <v>23959</v>
      </c>
      <c r="B461" s="327"/>
      <c r="C461" s="327"/>
      <c r="D461" s="106" t="s">
        <v>4401</v>
      </c>
    </row>
    <row r="462" spans="1:4">
      <c r="A462" s="64">
        <v>23967</v>
      </c>
      <c r="B462" s="325">
        <v>38</v>
      </c>
      <c r="C462" s="325" t="s">
        <v>3118</v>
      </c>
      <c r="D462" s="105" t="s">
        <v>4417</v>
      </c>
    </row>
    <row r="463" spans="1:4">
      <c r="A463" s="54">
        <v>23974</v>
      </c>
      <c r="B463" s="326"/>
      <c r="C463" s="326"/>
      <c r="D463" s="105" t="s">
        <v>4433</v>
      </c>
    </row>
    <row r="464" spans="1:4">
      <c r="A464" s="54">
        <v>23981</v>
      </c>
      <c r="B464" s="326"/>
      <c r="C464" s="326"/>
      <c r="D464" s="105" t="s">
        <v>4455</v>
      </c>
    </row>
    <row r="465" spans="1:4">
      <c r="A465" s="54">
        <v>23999</v>
      </c>
      <c r="B465" s="326"/>
      <c r="C465" s="326"/>
      <c r="D465" s="105" t="s">
        <v>4491</v>
      </c>
    </row>
    <row r="466" spans="1:4">
      <c r="A466" s="54">
        <v>24015</v>
      </c>
      <c r="B466" s="326"/>
      <c r="C466" s="326"/>
      <c r="D466" s="105" t="s">
        <v>4587</v>
      </c>
    </row>
    <row r="467" spans="1:4">
      <c r="A467" s="54">
        <v>24016</v>
      </c>
      <c r="B467" s="326"/>
      <c r="C467" s="326"/>
      <c r="D467" s="105" t="s">
        <v>4589</v>
      </c>
    </row>
    <row r="468" spans="1:4">
      <c r="A468" s="54">
        <v>24017</v>
      </c>
      <c r="B468" s="326"/>
      <c r="C468" s="326"/>
      <c r="D468" s="105" t="s">
        <v>4591</v>
      </c>
    </row>
    <row r="469" spans="1:4">
      <c r="A469" s="54">
        <v>24021</v>
      </c>
      <c r="B469" s="326"/>
      <c r="C469" s="326"/>
      <c r="D469" s="105" t="s">
        <v>4599</v>
      </c>
    </row>
    <row r="470" spans="1:4">
      <c r="A470" s="54">
        <v>24026</v>
      </c>
      <c r="B470" s="326"/>
      <c r="C470" s="326"/>
      <c r="D470" s="105" t="s">
        <v>4610</v>
      </c>
    </row>
    <row r="471" spans="1:4">
      <c r="A471" s="54">
        <v>24027</v>
      </c>
      <c r="B471" s="326"/>
      <c r="C471" s="326"/>
      <c r="D471" s="105" t="s">
        <v>4612</v>
      </c>
    </row>
    <row r="472" spans="1:4" ht="15.75" thickBot="1">
      <c r="A472" s="59">
        <v>24028</v>
      </c>
      <c r="B472" s="327"/>
      <c r="C472" s="327"/>
      <c r="D472" s="106" t="s">
        <v>4614</v>
      </c>
    </row>
    <row r="473" spans="1:4">
      <c r="A473" s="64">
        <v>24197</v>
      </c>
      <c r="B473" s="325">
        <v>39</v>
      </c>
      <c r="C473" s="325" t="s">
        <v>3118</v>
      </c>
      <c r="D473" s="107" t="s">
        <v>4622</v>
      </c>
    </row>
    <row r="474" spans="1:4">
      <c r="A474" s="54">
        <v>24201</v>
      </c>
      <c r="B474" s="326"/>
      <c r="C474" s="326"/>
      <c r="D474" s="108" t="s">
        <v>4628</v>
      </c>
    </row>
    <row r="475" spans="1:4">
      <c r="A475" s="54">
        <v>24210</v>
      </c>
      <c r="B475" s="326"/>
      <c r="C475" s="326"/>
      <c r="D475" s="108" t="s">
        <v>4790</v>
      </c>
    </row>
    <row r="476" spans="1:4">
      <c r="A476" s="54">
        <v>24226</v>
      </c>
      <c r="B476" s="326"/>
      <c r="C476" s="326"/>
      <c r="D476" s="108" t="s">
        <v>4693</v>
      </c>
    </row>
    <row r="477" spans="1:4">
      <c r="A477" s="54">
        <v>24229</v>
      </c>
      <c r="B477" s="326"/>
      <c r="C477" s="326"/>
      <c r="D477" s="108" t="s">
        <v>4700</v>
      </c>
    </row>
    <row r="478" spans="1:4">
      <c r="A478" s="54">
        <v>24232</v>
      </c>
      <c r="B478" s="326"/>
      <c r="C478" s="326"/>
      <c r="D478" s="108" t="s">
        <v>4707</v>
      </c>
    </row>
    <row r="479" spans="1:4">
      <c r="A479" s="54">
        <v>24235</v>
      </c>
      <c r="B479" s="326"/>
      <c r="C479" s="326"/>
      <c r="D479" s="108" t="s">
        <v>4713</v>
      </c>
    </row>
    <row r="480" spans="1:4">
      <c r="A480" s="54">
        <v>24237</v>
      </c>
      <c r="B480" s="326"/>
      <c r="C480" s="326"/>
      <c r="D480" s="108" t="s">
        <v>4717</v>
      </c>
    </row>
    <row r="481" spans="1:4" ht="15.75" thickBot="1">
      <c r="A481" s="59" t="s">
        <v>330</v>
      </c>
      <c r="B481" s="327"/>
      <c r="C481" s="327"/>
      <c r="D481" s="109" t="s">
        <v>4791</v>
      </c>
    </row>
    <row r="482" spans="1:4">
      <c r="A482" s="64">
        <v>24260</v>
      </c>
      <c r="B482" s="325">
        <v>40</v>
      </c>
      <c r="C482" s="325" t="s">
        <v>3118</v>
      </c>
      <c r="D482" s="115" t="s">
        <v>4734</v>
      </c>
    </row>
    <row r="483" spans="1:4">
      <c r="A483" s="54">
        <v>24263</v>
      </c>
      <c r="B483" s="326"/>
      <c r="C483" s="326"/>
      <c r="D483" s="116" t="s">
        <v>4740</v>
      </c>
    </row>
    <row r="484" spans="1:4">
      <c r="A484" s="54">
        <v>24266</v>
      </c>
      <c r="B484" s="326"/>
      <c r="C484" s="326"/>
      <c r="D484" s="116" t="s">
        <v>4746</v>
      </c>
    </row>
    <row r="485" spans="1:4">
      <c r="A485" s="54">
        <v>24538</v>
      </c>
      <c r="B485" s="326"/>
      <c r="C485" s="326"/>
      <c r="D485" s="116" t="s">
        <v>4796</v>
      </c>
    </row>
    <row r="486" spans="1:4">
      <c r="A486" s="54">
        <v>24539</v>
      </c>
      <c r="B486" s="326"/>
      <c r="C486" s="326"/>
      <c r="D486" s="116" t="s">
        <v>4798</v>
      </c>
    </row>
    <row r="487" spans="1:4">
      <c r="A487" s="54">
        <v>24541</v>
      </c>
      <c r="B487" s="326"/>
      <c r="C487" s="326"/>
      <c r="D487" s="116" t="s">
        <v>4803</v>
      </c>
    </row>
    <row r="488" spans="1:4">
      <c r="A488" s="54">
        <v>24547</v>
      </c>
      <c r="B488" s="326"/>
      <c r="C488" s="326"/>
      <c r="D488" s="116" t="s">
        <v>4827</v>
      </c>
    </row>
    <row r="489" spans="1:4">
      <c r="A489" s="54">
        <v>24550</v>
      </c>
      <c r="B489" s="326"/>
      <c r="C489" s="326"/>
      <c r="D489" s="116" t="s">
        <v>4831</v>
      </c>
    </row>
    <row r="490" spans="1:4">
      <c r="A490" s="54">
        <v>24552</v>
      </c>
      <c r="B490" s="326"/>
      <c r="C490" s="326"/>
      <c r="D490" s="116" t="s">
        <v>4834</v>
      </c>
    </row>
    <row r="491" spans="1:4">
      <c r="A491" s="54">
        <v>24554</v>
      </c>
      <c r="B491" s="326"/>
      <c r="C491" s="326"/>
      <c r="D491" s="116" t="s">
        <v>4836</v>
      </c>
    </row>
    <row r="492" spans="1:4" ht="15.75" thickBot="1">
      <c r="A492" s="59">
        <v>24556</v>
      </c>
      <c r="B492" s="327"/>
      <c r="C492" s="327"/>
      <c r="D492" s="117" t="s">
        <v>4838</v>
      </c>
    </row>
    <row r="493" spans="1:4">
      <c r="A493" s="64">
        <v>24594</v>
      </c>
      <c r="B493" s="325">
        <v>41</v>
      </c>
      <c r="C493" s="325" t="s">
        <v>3118</v>
      </c>
      <c r="D493" s="119" t="s">
        <v>4973</v>
      </c>
    </row>
    <row r="494" spans="1:4">
      <c r="A494" s="54">
        <v>24596</v>
      </c>
      <c r="B494" s="326"/>
      <c r="C494" s="326"/>
      <c r="D494" s="118" t="s">
        <v>4975</v>
      </c>
    </row>
    <row r="495" spans="1:4">
      <c r="A495" s="54">
        <v>24600</v>
      </c>
      <c r="B495" s="326"/>
      <c r="C495" s="326"/>
      <c r="D495" s="118" t="s">
        <v>4980</v>
      </c>
    </row>
    <row r="496" spans="1:4">
      <c r="A496" s="54">
        <v>24601</v>
      </c>
      <c r="B496" s="326"/>
      <c r="C496" s="326"/>
      <c r="D496" s="118" t="s">
        <v>4981</v>
      </c>
    </row>
    <row r="497" spans="1:4">
      <c r="A497" s="54">
        <v>24616</v>
      </c>
      <c r="B497" s="326"/>
      <c r="C497" s="326"/>
      <c r="D497" s="118" t="s">
        <v>4982</v>
      </c>
    </row>
    <row r="498" spans="1:4">
      <c r="A498" s="54">
        <v>24618</v>
      </c>
      <c r="B498" s="326"/>
      <c r="C498" s="326"/>
      <c r="D498" s="118" t="s">
        <v>4984</v>
      </c>
    </row>
    <row r="499" spans="1:4" ht="15.75" thickBot="1">
      <c r="A499" s="59" t="s">
        <v>330</v>
      </c>
      <c r="B499" s="327"/>
      <c r="C499" s="327"/>
      <c r="D499" s="120" t="s">
        <v>5034</v>
      </c>
    </row>
    <row r="500" spans="1:4">
      <c r="A500" s="64">
        <v>25041</v>
      </c>
      <c r="B500" s="325">
        <v>42</v>
      </c>
      <c r="C500" s="325" t="s">
        <v>3773</v>
      </c>
      <c r="D500" s="123" t="s">
        <v>5038</v>
      </c>
    </row>
    <row r="501" spans="1:4">
      <c r="A501" s="54">
        <v>25042</v>
      </c>
      <c r="B501" s="326"/>
      <c r="C501" s="326"/>
      <c r="D501" s="122" t="s">
        <v>5039</v>
      </c>
    </row>
    <row r="502" spans="1:4">
      <c r="A502" s="54">
        <v>25044</v>
      </c>
      <c r="B502" s="326"/>
      <c r="C502" s="326"/>
      <c r="D502" s="122" t="s">
        <v>5041</v>
      </c>
    </row>
    <row r="503" spans="1:4">
      <c r="A503" s="54">
        <v>25088</v>
      </c>
      <c r="B503" s="326"/>
      <c r="C503" s="326"/>
      <c r="D503" s="122" t="s">
        <v>5060</v>
      </c>
    </row>
    <row r="504" spans="1:4">
      <c r="A504" s="54">
        <v>25076</v>
      </c>
      <c r="B504" s="326"/>
      <c r="C504" s="326"/>
      <c r="D504" s="122" t="s">
        <v>3945</v>
      </c>
    </row>
    <row r="505" spans="1:4">
      <c r="A505" s="54">
        <v>25079</v>
      </c>
      <c r="B505" s="326"/>
      <c r="C505" s="326"/>
      <c r="D505" s="122" t="s">
        <v>5180</v>
      </c>
    </row>
    <row r="506" spans="1:4">
      <c r="A506" s="54">
        <v>15428</v>
      </c>
      <c r="B506" s="326"/>
      <c r="C506" s="326"/>
      <c r="D506" s="122" t="s">
        <v>5182</v>
      </c>
    </row>
    <row r="507" spans="1:4" ht="15.75" thickBot="1">
      <c r="A507" s="59">
        <v>25081</v>
      </c>
      <c r="B507" s="327"/>
      <c r="C507" s="327"/>
      <c r="D507" s="124" t="s">
        <v>5146</v>
      </c>
    </row>
    <row r="508" spans="1:4">
      <c r="A508" s="64">
        <v>25330</v>
      </c>
      <c r="B508" s="325">
        <v>43</v>
      </c>
      <c r="C508" s="325" t="s">
        <v>3773</v>
      </c>
      <c r="D508" s="127" t="s">
        <v>5192</v>
      </c>
    </row>
    <row r="509" spans="1:4">
      <c r="A509" s="54">
        <v>25331</v>
      </c>
      <c r="B509" s="326"/>
      <c r="C509" s="326"/>
      <c r="D509" s="126" t="s">
        <v>5193</v>
      </c>
    </row>
    <row r="510" spans="1:4">
      <c r="A510" s="54">
        <v>25364</v>
      </c>
      <c r="B510" s="326"/>
      <c r="C510" s="326"/>
      <c r="D510" s="126" t="s">
        <v>5239</v>
      </c>
    </row>
    <row r="511" spans="1:4">
      <c r="A511" s="54">
        <v>25370</v>
      </c>
      <c r="B511" s="326"/>
      <c r="C511" s="326"/>
      <c r="D511" s="126" t="s">
        <v>5245</v>
      </c>
    </row>
    <row r="512" spans="1:4">
      <c r="A512" s="54">
        <v>25381</v>
      </c>
      <c r="B512" s="326"/>
      <c r="C512" s="326"/>
      <c r="D512" s="126" t="s">
        <v>5277</v>
      </c>
    </row>
    <row r="513" spans="1:4">
      <c r="A513" s="54">
        <v>25388</v>
      </c>
      <c r="B513" s="326"/>
      <c r="C513" s="326"/>
      <c r="D513" s="126" t="s">
        <v>5325</v>
      </c>
    </row>
    <row r="514" spans="1:4">
      <c r="A514" s="54">
        <v>25389</v>
      </c>
      <c r="B514" s="326"/>
      <c r="C514" s="326"/>
      <c r="D514" s="126" t="s">
        <v>5327</v>
      </c>
    </row>
    <row r="515" spans="1:4">
      <c r="A515" s="54">
        <v>25393</v>
      </c>
      <c r="B515" s="326"/>
      <c r="C515" s="326"/>
      <c r="D515" s="126" t="s">
        <v>5335</v>
      </c>
    </row>
    <row r="516" spans="1:4">
      <c r="A516" s="54" t="s">
        <v>330</v>
      </c>
      <c r="B516" s="326"/>
      <c r="C516" s="326"/>
      <c r="D516" s="126" t="s">
        <v>5412</v>
      </c>
    </row>
    <row r="517" spans="1:4" ht="15.75" thickBot="1">
      <c r="A517" s="59" t="s">
        <v>330</v>
      </c>
      <c r="B517" s="327"/>
      <c r="C517" s="327"/>
      <c r="D517" s="128" t="s">
        <v>5413</v>
      </c>
    </row>
    <row r="518" spans="1:4">
      <c r="A518" s="64">
        <v>25713</v>
      </c>
      <c r="B518" s="325">
        <v>44</v>
      </c>
      <c r="C518" s="325" t="s">
        <v>3773</v>
      </c>
      <c r="D518" s="130" t="s">
        <v>5342</v>
      </c>
    </row>
    <row r="519" spans="1:4">
      <c r="A519" s="54">
        <v>25716</v>
      </c>
      <c r="B519" s="326"/>
      <c r="C519" s="326"/>
      <c r="D519" s="129" t="s">
        <v>5348</v>
      </c>
    </row>
    <row r="520" spans="1:4">
      <c r="A520" s="54">
        <v>25718</v>
      </c>
      <c r="B520" s="326"/>
      <c r="C520" s="326"/>
      <c r="D520" s="129" t="s">
        <v>5352</v>
      </c>
    </row>
    <row r="521" spans="1:4">
      <c r="A521" s="54">
        <v>25722</v>
      </c>
      <c r="B521" s="326"/>
      <c r="C521" s="326"/>
      <c r="D521" s="129" t="s">
        <v>5360</v>
      </c>
    </row>
    <row r="522" spans="1:4">
      <c r="A522" s="54">
        <v>25726</v>
      </c>
      <c r="B522" s="326"/>
      <c r="C522" s="326"/>
      <c r="D522" s="129" t="s">
        <v>5368</v>
      </c>
    </row>
    <row r="523" spans="1:4">
      <c r="A523" s="54">
        <v>25058</v>
      </c>
      <c r="B523" s="326"/>
      <c r="C523" s="326"/>
      <c r="D523" s="129" t="s">
        <v>5121</v>
      </c>
    </row>
    <row r="524" spans="1:4">
      <c r="A524" s="54">
        <v>25764</v>
      </c>
      <c r="B524" s="326"/>
      <c r="C524" s="326"/>
      <c r="D524" s="129" t="s">
        <v>5414</v>
      </c>
    </row>
    <row r="525" spans="1:4">
      <c r="A525" s="54">
        <v>25767</v>
      </c>
      <c r="B525" s="326"/>
      <c r="C525" s="326"/>
      <c r="D525" s="129" t="s">
        <v>5417</v>
      </c>
    </row>
    <row r="526" spans="1:4" ht="15.75" thickBot="1">
      <c r="A526" s="59">
        <v>25769</v>
      </c>
      <c r="B526" s="327"/>
      <c r="C526" s="327"/>
      <c r="D526" s="131" t="s">
        <v>5420</v>
      </c>
    </row>
    <row r="527" spans="1:4">
      <c r="A527" s="64">
        <v>25809</v>
      </c>
      <c r="B527" s="325">
        <v>45</v>
      </c>
      <c r="C527" s="325" t="s">
        <v>3773</v>
      </c>
      <c r="D527" s="132" t="s">
        <v>5468</v>
      </c>
    </row>
    <row r="528" spans="1:4">
      <c r="A528" s="54">
        <v>25812</v>
      </c>
      <c r="B528" s="326"/>
      <c r="C528" s="326"/>
      <c r="D528" s="133" t="s">
        <v>5474</v>
      </c>
    </row>
    <row r="529" spans="1:4">
      <c r="A529" s="54">
        <v>25813</v>
      </c>
      <c r="B529" s="326"/>
      <c r="C529" s="326"/>
      <c r="D529" s="133" t="s">
        <v>5476</v>
      </c>
    </row>
    <row r="530" spans="1:4">
      <c r="A530" s="54">
        <v>25814</v>
      </c>
      <c r="B530" s="326"/>
      <c r="C530" s="326"/>
      <c r="D530" s="133" t="s">
        <v>5479</v>
      </c>
    </row>
    <row r="531" spans="1:4">
      <c r="A531" s="54">
        <v>26208</v>
      </c>
      <c r="B531" s="326"/>
      <c r="C531" s="326"/>
      <c r="D531" s="133" t="s">
        <v>5530</v>
      </c>
    </row>
    <row r="532" spans="1:4">
      <c r="A532" s="54">
        <v>26212</v>
      </c>
      <c r="B532" s="326"/>
      <c r="C532" s="326"/>
      <c r="D532" s="133" t="s">
        <v>5534</v>
      </c>
    </row>
    <row r="533" spans="1:4">
      <c r="A533" s="54">
        <v>26215</v>
      </c>
      <c r="B533" s="326"/>
      <c r="C533" s="326"/>
      <c r="D533" s="133" t="s">
        <v>5537</v>
      </c>
    </row>
    <row r="534" spans="1:4">
      <c r="A534" s="54">
        <v>26217</v>
      </c>
      <c r="B534" s="326"/>
      <c r="C534" s="326"/>
      <c r="D534" s="133" t="s">
        <v>5539</v>
      </c>
    </row>
    <row r="535" spans="1:4">
      <c r="A535" s="54">
        <v>26218</v>
      </c>
      <c r="B535" s="326"/>
      <c r="C535" s="326"/>
      <c r="D535" s="133" t="s">
        <v>5540</v>
      </c>
    </row>
    <row r="536" spans="1:4">
      <c r="A536" s="54" t="s">
        <v>330</v>
      </c>
      <c r="B536" s="326"/>
      <c r="C536" s="326"/>
      <c r="D536" s="133" t="s">
        <v>5565</v>
      </c>
    </row>
    <row r="537" spans="1:4" ht="15.75" thickBot="1">
      <c r="A537" s="59" t="s">
        <v>330</v>
      </c>
      <c r="B537" s="327"/>
      <c r="C537" s="327"/>
      <c r="D537" s="134" t="s">
        <v>5568</v>
      </c>
    </row>
    <row r="538" spans="1:4">
      <c r="A538" s="64">
        <v>26226</v>
      </c>
      <c r="B538" s="325">
        <v>46</v>
      </c>
      <c r="C538" s="325" t="s">
        <v>3773</v>
      </c>
      <c r="D538" s="136" t="s">
        <v>5575</v>
      </c>
    </row>
    <row r="539" spans="1:4">
      <c r="A539" s="54">
        <v>26229</v>
      </c>
      <c r="B539" s="326"/>
      <c r="C539" s="326"/>
      <c r="D539" s="136" t="s">
        <v>5578</v>
      </c>
    </row>
    <row r="540" spans="1:4">
      <c r="A540" s="54">
        <v>26263</v>
      </c>
      <c r="B540" s="326"/>
      <c r="C540" s="326"/>
      <c r="D540" s="136" t="s">
        <v>5650</v>
      </c>
    </row>
    <row r="541" spans="1:4">
      <c r="A541" s="54">
        <v>26265</v>
      </c>
      <c r="B541" s="326"/>
      <c r="C541" s="326"/>
      <c r="D541" s="136" t="s">
        <v>5653</v>
      </c>
    </row>
    <row r="542" spans="1:4">
      <c r="A542" s="54">
        <v>25789</v>
      </c>
      <c r="B542" s="326"/>
      <c r="C542" s="326"/>
      <c r="D542" s="136" t="s">
        <v>5498</v>
      </c>
    </row>
    <row r="543" spans="1:4">
      <c r="A543" s="54">
        <v>26270</v>
      </c>
      <c r="B543" s="326"/>
      <c r="C543" s="326"/>
      <c r="D543" s="136" t="s">
        <v>5622</v>
      </c>
    </row>
    <row r="544" spans="1:4">
      <c r="A544" s="54">
        <v>26274</v>
      </c>
      <c r="B544" s="326"/>
      <c r="C544" s="326"/>
      <c r="D544" s="136" t="s">
        <v>5630</v>
      </c>
    </row>
    <row r="545" spans="1:4">
      <c r="A545" s="54" t="s">
        <v>330</v>
      </c>
      <c r="B545" s="326"/>
      <c r="C545" s="326"/>
      <c r="D545" s="136" t="s">
        <v>5660</v>
      </c>
    </row>
    <row r="546" spans="1:4">
      <c r="A546" s="54">
        <v>25404</v>
      </c>
      <c r="B546" s="326"/>
      <c r="C546" s="326"/>
      <c r="D546" s="136" t="s">
        <v>5311</v>
      </c>
    </row>
    <row r="547" spans="1:4" ht="15.75" thickBot="1">
      <c r="A547" s="59" t="s">
        <v>330</v>
      </c>
      <c r="B547" s="327"/>
      <c r="C547" s="327"/>
      <c r="D547" s="137" t="s">
        <v>5661</v>
      </c>
    </row>
    <row r="548" spans="1:4">
      <c r="A548" s="57">
        <v>26564</v>
      </c>
      <c r="B548" s="325">
        <v>47</v>
      </c>
      <c r="C548" s="325" t="s">
        <v>3773</v>
      </c>
      <c r="D548" s="138" t="s">
        <v>5694</v>
      </c>
    </row>
    <row r="549" spans="1:4">
      <c r="A549" s="54">
        <v>26565</v>
      </c>
      <c r="B549" s="326"/>
      <c r="C549" s="326"/>
      <c r="D549" s="138" t="s">
        <v>5695</v>
      </c>
    </row>
    <row r="550" spans="1:4">
      <c r="A550" s="54">
        <v>26569</v>
      </c>
      <c r="B550" s="326"/>
      <c r="C550" s="326"/>
      <c r="D550" s="138" t="s">
        <v>5699</v>
      </c>
    </row>
    <row r="551" spans="1:4">
      <c r="A551" s="54">
        <v>26571</v>
      </c>
      <c r="B551" s="326"/>
      <c r="C551" s="326"/>
      <c r="D551" s="138" t="s">
        <v>5701</v>
      </c>
    </row>
    <row r="552" spans="1:4">
      <c r="A552" s="54">
        <v>26572</v>
      </c>
      <c r="B552" s="326"/>
      <c r="C552" s="326"/>
      <c r="D552" s="138" t="s">
        <v>5702</v>
      </c>
    </row>
    <row r="553" spans="1:4">
      <c r="A553" s="54">
        <v>26588</v>
      </c>
      <c r="B553" s="326"/>
      <c r="C553" s="326"/>
      <c r="D553" s="138" t="s">
        <v>5721</v>
      </c>
    </row>
    <row r="554" spans="1:4">
      <c r="A554" s="54">
        <v>26589</v>
      </c>
      <c r="B554" s="326"/>
      <c r="C554" s="326"/>
      <c r="D554" s="138" t="s">
        <v>5723</v>
      </c>
    </row>
    <row r="555" spans="1:4">
      <c r="A555" s="54">
        <v>26593</v>
      </c>
      <c r="B555" s="326"/>
      <c r="C555" s="326"/>
      <c r="D555" s="138" t="s">
        <v>5727</v>
      </c>
    </row>
    <row r="556" spans="1:4">
      <c r="A556" s="54">
        <v>25404</v>
      </c>
      <c r="B556" s="326"/>
      <c r="C556" s="326"/>
      <c r="D556" s="138" t="s">
        <v>5311</v>
      </c>
    </row>
    <row r="557" spans="1:4" ht="15.75" thickBot="1">
      <c r="A557" s="59" t="s">
        <v>330</v>
      </c>
      <c r="B557" s="327"/>
      <c r="C557" s="327"/>
      <c r="D557" s="139" t="s">
        <v>5774</v>
      </c>
    </row>
    <row r="558" spans="1:4">
      <c r="A558" s="54">
        <v>26616</v>
      </c>
      <c r="B558" s="325">
        <v>48</v>
      </c>
      <c r="C558" s="325" t="s">
        <v>3773</v>
      </c>
      <c r="D558" s="144" t="s">
        <v>5780</v>
      </c>
    </row>
    <row r="559" spans="1:4">
      <c r="A559" s="54">
        <v>26619</v>
      </c>
      <c r="B559" s="326"/>
      <c r="C559" s="326"/>
      <c r="D559" s="143" t="s">
        <v>5787</v>
      </c>
    </row>
    <row r="560" spans="1:4">
      <c r="A560" s="54">
        <v>26584</v>
      </c>
      <c r="B560" s="326"/>
      <c r="C560" s="326"/>
      <c r="D560" s="143" t="s">
        <v>5676</v>
      </c>
    </row>
    <row r="561" spans="1:4">
      <c r="A561" s="54">
        <v>26585</v>
      </c>
      <c r="B561" s="326"/>
      <c r="C561" s="326"/>
      <c r="D561" s="143" t="s">
        <v>5677</v>
      </c>
    </row>
    <row r="562" spans="1:4">
      <c r="A562" s="54">
        <v>26586</v>
      </c>
      <c r="B562" s="326"/>
      <c r="C562" s="326"/>
      <c r="D562" s="143" t="s">
        <v>5678</v>
      </c>
    </row>
    <row r="563" spans="1:4">
      <c r="A563" s="54">
        <v>26622</v>
      </c>
      <c r="B563" s="326"/>
      <c r="C563" s="326"/>
      <c r="D563" s="143" t="s">
        <v>5814</v>
      </c>
    </row>
    <row r="564" spans="1:4">
      <c r="A564" s="54">
        <v>26623</v>
      </c>
      <c r="B564" s="326"/>
      <c r="C564" s="326"/>
      <c r="D564" s="143" t="s">
        <v>5815</v>
      </c>
    </row>
    <row r="565" spans="1:4">
      <c r="A565" s="54">
        <v>26627</v>
      </c>
      <c r="B565" s="326"/>
      <c r="C565" s="326"/>
      <c r="D565" s="143" t="s">
        <v>5819</v>
      </c>
    </row>
    <row r="566" spans="1:4">
      <c r="A566" s="54">
        <v>26938</v>
      </c>
      <c r="B566" s="326"/>
      <c r="C566" s="326"/>
      <c r="D566" s="143" t="s">
        <v>5851</v>
      </c>
    </row>
    <row r="567" spans="1:4">
      <c r="A567" s="54">
        <v>26939</v>
      </c>
      <c r="B567" s="326"/>
      <c r="C567" s="326"/>
      <c r="D567" s="143" t="s">
        <v>5853</v>
      </c>
    </row>
    <row r="568" spans="1:4" ht="15.75" thickBot="1">
      <c r="A568" s="59">
        <v>26940</v>
      </c>
      <c r="B568" s="327"/>
      <c r="C568" s="327"/>
      <c r="D568" s="145" t="s">
        <v>5855</v>
      </c>
    </row>
    <row r="569" spans="1:4">
      <c r="A569" s="54">
        <v>26943</v>
      </c>
      <c r="B569" s="325">
        <v>49</v>
      </c>
      <c r="C569" s="325" t="s">
        <v>3773</v>
      </c>
      <c r="D569" s="186" t="s">
        <v>5926</v>
      </c>
    </row>
    <row r="570" spans="1:4">
      <c r="A570" s="54">
        <v>26952</v>
      </c>
      <c r="B570" s="326"/>
      <c r="C570" s="326"/>
      <c r="D570" s="187" t="s">
        <v>5935</v>
      </c>
    </row>
    <row r="571" spans="1:4">
      <c r="A571" s="54">
        <v>26970</v>
      </c>
      <c r="B571" s="326"/>
      <c r="C571" s="326"/>
      <c r="D571" s="187" t="s">
        <v>5957</v>
      </c>
    </row>
    <row r="572" spans="1:4">
      <c r="A572" s="54">
        <v>26981</v>
      </c>
      <c r="B572" s="326"/>
      <c r="C572" s="326"/>
      <c r="D572" s="187" t="s">
        <v>5995</v>
      </c>
    </row>
    <row r="573" spans="1:4">
      <c r="A573" s="54">
        <v>26972</v>
      </c>
      <c r="B573" s="326"/>
      <c r="C573" s="326"/>
      <c r="D573" s="187" t="s">
        <v>5975</v>
      </c>
    </row>
    <row r="574" spans="1:4">
      <c r="A574" s="54">
        <v>26985</v>
      </c>
      <c r="B574" s="326"/>
      <c r="C574" s="326"/>
      <c r="D574" s="187" t="s">
        <v>6059</v>
      </c>
    </row>
    <row r="575" spans="1:4">
      <c r="A575" s="54">
        <v>26987</v>
      </c>
      <c r="B575" s="326"/>
      <c r="C575" s="326"/>
      <c r="D575" s="187" t="s">
        <v>6063</v>
      </c>
    </row>
    <row r="576" spans="1:4">
      <c r="A576" s="54">
        <v>26990</v>
      </c>
      <c r="B576" s="326"/>
      <c r="C576" s="326"/>
      <c r="D576" s="187" t="s">
        <v>6069</v>
      </c>
    </row>
    <row r="577" spans="1:4">
      <c r="A577" s="54">
        <v>26605</v>
      </c>
      <c r="B577" s="326"/>
      <c r="C577" s="326"/>
      <c r="D577" s="187" t="s">
        <v>5750</v>
      </c>
    </row>
    <row r="578" spans="1:4">
      <c r="A578" s="54">
        <v>26606</v>
      </c>
      <c r="B578" s="326"/>
      <c r="C578" s="326"/>
      <c r="D578" s="187" t="s">
        <v>5751</v>
      </c>
    </row>
    <row r="579" spans="1:4">
      <c r="A579" s="54" t="s">
        <v>330</v>
      </c>
      <c r="B579" s="326"/>
      <c r="C579" s="326"/>
      <c r="D579" s="187" t="s">
        <v>6279</v>
      </c>
    </row>
    <row r="580" spans="1:4">
      <c r="A580" s="54" t="s">
        <v>330</v>
      </c>
      <c r="B580" s="326"/>
      <c r="C580" s="326"/>
      <c r="D580" s="187" t="s">
        <v>6274</v>
      </c>
    </row>
    <row r="581" spans="1:4" ht="15.75" thickBot="1">
      <c r="A581" s="59" t="s">
        <v>330</v>
      </c>
      <c r="B581" s="327"/>
      <c r="C581" s="327"/>
      <c r="D581" s="188" t="s">
        <v>6278</v>
      </c>
    </row>
    <row r="582" spans="1:4">
      <c r="A582" s="64">
        <v>27071</v>
      </c>
      <c r="B582" s="325">
        <v>50</v>
      </c>
      <c r="C582" s="325" t="s">
        <v>3773</v>
      </c>
      <c r="D582" s="189" t="s">
        <v>6139</v>
      </c>
    </row>
    <row r="583" spans="1:4">
      <c r="A583" s="54">
        <v>27072</v>
      </c>
      <c r="B583" s="326"/>
      <c r="C583" s="326"/>
      <c r="D583" s="190" t="s">
        <v>6141</v>
      </c>
    </row>
    <row r="584" spans="1:4">
      <c r="A584" s="54">
        <v>27086</v>
      </c>
      <c r="B584" s="326"/>
      <c r="C584" s="326"/>
      <c r="D584" s="190" t="s">
        <v>6148</v>
      </c>
    </row>
    <row r="585" spans="1:4">
      <c r="A585" s="54">
        <v>27087</v>
      </c>
      <c r="B585" s="326"/>
      <c r="C585" s="326"/>
      <c r="D585" s="190" t="s">
        <v>6150</v>
      </c>
    </row>
    <row r="586" spans="1:4">
      <c r="A586" s="54">
        <v>26956</v>
      </c>
      <c r="B586" s="326"/>
      <c r="C586" s="326"/>
      <c r="D586" s="190" t="s">
        <v>5889</v>
      </c>
    </row>
    <row r="587" spans="1:4">
      <c r="A587" s="54">
        <v>26960</v>
      </c>
      <c r="B587" s="326"/>
      <c r="C587" s="326"/>
      <c r="D587" s="190" t="s">
        <v>5898</v>
      </c>
    </row>
    <row r="588" spans="1:4">
      <c r="A588" s="54">
        <v>26965</v>
      </c>
      <c r="B588" s="326"/>
      <c r="C588" s="326"/>
      <c r="D588" s="190" t="s">
        <v>5908</v>
      </c>
    </row>
    <row r="589" spans="1:4">
      <c r="A589" s="54">
        <v>27181</v>
      </c>
      <c r="B589" s="326"/>
      <c r="C589" s="326"/>
      <c r="D589" s="190" t="s">
        <v>6239</v>
      </c>
    </row>
    <row r="590" spans="1:4" ht="15.75" thickBot="1">
      <c r="A590" s="59">
        <v>27184</v>
      </c>
      <c r="B590" s="327"/>
      <c r="C590" s="327"/>
      <c r="D590" s="191" t="s">
        <v>6244</v>
      </c>
    </row>
    <row r="591" spans="1:4">
      <c r="A591" s="64">
        <v>27075</v>
      </c>
      <c r="B591" s="325">
        <v>51</v>
      </c>
      <c r="C591" s="325" t="s">
        <v>3773</v>
      </c>
      <c r="D591" s="200" t="s">
        <v>6161</v>
      </c>
    </row>
    <row r="592" spans="1:4">
      <c r="A592" s="54">
        <v>27081</v>
      </c>
      <c r="B592" s="326"/>
      <c r="C592" s="326"/>
      <c r="D592" s="199" t="s">
        <v>6174</v>
      </c>
    </row>
    <row r="593" spans="1:4">
      <c r="A593" s="54">
        <v>27084</v>
      </c>
      <c r="B593" s="326"/>
      <c r="C593" s="326"/>
      <c r="D593" s="199" t="s">
        <v>6180</v>
      </c>
    </row>
    <row r="594" spans="1:4">
      <c r="A594" s="54">
        <v>27085</v>
      </c>
      <c r="B594" s="326"/>
      <c r="C594" s="326"/>
      <c r="D594" s="199" t="s">
        <v>6182</v>
      </c>
    </row>
    <row r="595" spans="1:4">
      <c r="A595" s="54">
        <v>27197</v>
      </c>
      <c r="B595" s="326"/>
      <c r="C595" s="326"/>
      <c r="D595" s="199" t="s">
        <v>6293</v>
      </c>
    </row>
    <row r="596" spans="1:4">
      <c r="A596" s="54">
        <v>27198</v>
      </c>
      <c r="B596" s="326"/>
      <c r="C596" s="326"/>
      <c r="D596" s="199" t="s">
        <v>6295</v>
      </c>
    </row>
    <row r="597" spans="1:4">
      <c r="A597" s="54">
        <v>27201</v>
      </c>
      <c r="B597" s="326"/>
      <c r="C597" s="326"/>
      <c r="D597" s="199" t="s">
        <v>6301</v>
      </c>
    </row>
    <row r="598" spans="1:4">
      <c r="A598" s="54">
        <v>27058</v>
      </c>
      <c r="B598" s="326"/>
      <c r="C598" s="326"/>
      <c r="D598" s="199" t="s">
        <v>6079</v>
      </c>
    </row>
    <row r="599" spans="1:4" ht="15.75" thickBot="1">
      <c r="A599" s="59">
        <v>27211</v>
      </c>
      <c r="B599" s="327"/>
      <c r="C599" s="327"/>
      <c r="D599" s="201" t="s">
        <v>6316</v>
      </c>
    </row>
    <row r="600" spans="1:4">
      <c r="A600" s="64">
        <v>27646</v>
      </c>
      <c r="B600" s="325">
        <v>52</v>
      </c>
      <c r="C600" s="325" t="s">
        <v>3773</v>
      </c>
      <c r="D600" s="204" t="s">
        <v>6378</v>
      </c>
    </row>
    <row r="601" spans="1:4">
      <c r="A601" s="54">
        <v>27636</v>
      </c>
      <c r="B601" s="326"/>
      <c r="C601" s="326"/>
      <c r="D601" s="204" t="s">
        <v>6357</v>
      </c>
    </row>
    <row r="602" spans="1:4">
      <c r="A602" s="54">
        <v>27643</v>
      </c>
      <c r="B602" s="326"/>
      <c r="C602" s="326"/>
      <c r="D602" s="204" t="s">
        <v>6372</v>
      </c>
    </row>
    <row r="603" spans="1:4">
      <c r="A603" s="54">
        <v>27173</v>
      </c>
      <c r="B603" s="326"/>
      <c r="C603" s="326"/>
      <c r="D603" s="204" t="s">
        <v>6228</v>
      </c>
    </row>
    <row r="604" spans="1:4">
      <c r="A604" s="54">
        <v>27656</v>
      </c>
      <c r="B604" s="326"/>
      <c r="C604" s="326"/>
      <c r="D604" s="204" t="s">
        <v>6408</v>
      </c>
    </row>
    <row r="605" spans="1:4">
      <c r="A605" s="54">
        <v>27660</v>
      </c>
      <c r="B605" s="326"/>
      <c r="C605" s="326"/>
      <c r="D605" s="204" t="s">
        <v>6413</v>
      </c>
    </row>
    <row r="606" spans="1:4">
      <c r="A606" s="54">
        <v>27163</v>
      </c>
      <c r="B606" s="326"/>
      <c r="C606" s="326"/>
      <c r="D606" s="204" t="s">
        <v>6208</v>
      </c>
    </row>
    <row r="607" spans="1:4" ht="15.75" thickBot="1">
      <c r="A607" s="59">
        <v>27171</v>
      </c>
      <c r="B607" s="327"/>
      <c r="C607" s="327"/>
      <c r="D607" s="205" t="s">
        <v>6224</v>
      </c>
    </row>
    <row r="608" spans="1:4">
      <c r="A608" s="57">
        <v>27161</v>
      </c>
      <c r="B608" s="325">
        <v>53</v>
      </c>
      <c r="C608" s="325" t="s">
        <v>3129</v>
      </c>
      <c r="D608" s="206" t="s">
        <v>6204</v>
      </c>
    </row>
    <row r="609" spans="1:4">
      <c r="A609" s="54">
        <v>27491</v>
      </c>
      <c r="B609" s="326"/>
      <c r="C609" s="326"/>
      <c r="D609" s="206" t="s">
        <v>6335</v>
      </c>
    </row>
    <row r="610" spans="1:4">
      <c r="A610" s="54">
        <v>27493</v>
      </c>
      <c r="B610" s="326"/>
      <c r="C610" s="326"/>
      <c r="D610" s="206" t="s">
        <v>6337</v>
      </c>
    </row>
    <row r="611" spans="1:4">
      <c r="A611" s="54">
        <v>27777</v>
      </c>
      <c r="B611" s="326"/>
      <c r="C611" s="326"/>
      <c r="D611" s="206" t="s">
        <v>6473</v>
      </c>
    </row>
    <row r="612" spans="1:4">
      <c r="A612" s="54">
        <v>27781</v>
      </c>
      <c r="B612" s="326"/>
      <c r="C612" s="326"/>
      <c r="D612" s="206" t="s">
        <v>6476</v>
      </c>
    </row>
    <row r="613" spans="1:4">
      <c r="A613" s="54">
        <v>27786</v>
      </c>
      <c r="B613" s="326"/>
      <c r="C613" s="326"/>
      <c r="D613" s="206" t="s">
        <v>6501</v>
      </c>
    </row>
    <row r="614" spans="1:4">
      <c r="A614" s="54">
        <v>27789</v>
      </c>
      <c r="B614" s="326"/>
      <c r="C614" s="326"/>
      <c r="D614" s="206" t="s">
        <v>6507</v>
      </c>
    </row>
    <row r="615" spans="1:4" ht="15.75" thickBot="1">
      <c r="A615" s="59">
        <v>27791</v>
      </c>
      <c r="B615" s="327"/>
      <c r="C615" s="327"/>
      <c r="D615" s="207" t="s">
        <v>6512</v>
      </c>
    </row>
    <row r="616" spans="1:4">
      <c r="A616" s="64">
        <v>27935</v>
      </c>
      <c r="B616" s="325">
        <v>54</v>
      </c>
      <c r="C616" s="325" t="s">
        <v>4517</v>
      </c>
      <c r="D616" s="212" t="s">
        <v>6521</v>
      </c>
    </row>
    <row r="617" spans="1:4">
      <c r="A617" s="54">
        <v>27937</v>
      </c>
      <c r="B617" s="326"/>
      <c r="C617" s="326"/>
      <c r="D617" s="213" t="s">
        <v>6523</v>
      </c>
    </row>
    <row r="618" spans="1:4">
      <c r="A618" s="54">
        <v>27939</v>
      </c>
      <c r="B618" s="326"/>
      <c r="C618" s="326"/>
      <c r="D618" s="213" t="s">
        <v>6525</v>
      </c>
    </row>
    <row r="619" spans="1:4">
      <c r="A619" s="54">
        <v>27954</v>
      </c>
      <c r="B619" s="326"/>
      <c r="C619" s="326"/>
      <c r="D619" s="213" t="s">
        <v>6567</v>
      </c>
    </row>
    <row r="620" spans="1:4">
      <c r="A620" s="54">
        <v>27956</v>
      </c>
      <c r="B620" s="326"/>
      <c r="C620" s="326"/>
      <c r="D620" s="213" t="s">
        <v>6572</v>
      </c>
    </row>
    <row r="621" spans="1:4">
      <c r="A621" s="54">
        <v>27958</v>
      </c>
      <c r="B621" s="326"/>
      <c r="C621" s="326"/>
      <c r="D621" s="213" t="s">
        <v>6578</v>
      </c>
    </row>
    <row r="622" spans="1:4">
      <c r="A622" s="54" t="s">
        <v>6729</v>
      </c>
      <c r="B622" s="326"/>
      <c r="C622" s="326"/>
      <c r="D622" s="213" t="s">
        <v>6730</v>
      </c>
    </row>
    <row r="623" spans="1:4" ht="15.75" thickBot="1">
      <c r="A623" s="59" t="s">
        <v>6729</v>
      </c>
      <c r="B623" s="327"/>
      <c r="C623" s="327"/>
      <c r="D623" s="214" t="s">
        <v>6731</v>
      </c>
    </row>
    <row r="624" spans="1:4">
      <c r="A624" s="64">
        <v>28105</v>
      </c>
      <c r="B624" s="325">
        <v>55</v>
      </c>
      <c r="C624" s="325" t="s">
        <v>3129</v>
      </c>
      <c r="D624" s="221" t="s">
        <v>6609</v>
      </c>
    </row>
    <row r="625" spans="1:4">
      <c r="A625" s="54">
        <v>28108</v>
      </c>
      <c r="B625" s="326"/>
      <c r="C625" s="326"/>
      <c r="D625" s="222" t="s">
        <v>6616</v>
      </c>
    </row>
    <row r="626" spans="1:4">
      <c r="A626" s="54">
        <v>28116</v>
      </c>
      <c r="B626" s="326"/>
      <c r="C626" s="326"/>
      <c r="D626" s="222" t="s">
        <v>6634</v>
      </c>
    </row>
    <row r="627" spans="1:4">
      <c r="A627" s="54">
        <v>28119</v>
      </c>
      <c r="B627" s="326"/>
      <c r="C627" s="326"/>
      <c r="D627" s="222" t="s">
        <v>6638</v>
      </c>
    </row>
    <row r="628" spans="1:4">
      <c r="A628" s="54">
        <v>28126</v>
      </c>
      <c r="B628" s="326"/>
      <c r="C628" s="326"/>
      <c r="D628" s="222" t="s">
        <v>6658</v>
      </c>
    </row>
    <row r="629" spans="1:4">
      <c r="A629" s="54">
        <v>28130</v>
      </c>
      <c r="B629" s="326"/>
      <c r="C629" s="326"/>
      <c r="D629" s="222" t="s">
        <v>6662</v>
      </c>
    </row>
    <row r="630" spans="1:4">
      <c r="A630" s="54">
        <v>28139</v>
      </c>
      <c r="B630" s="326"/>
      <c r="C630" s="326"/>
      <c r="D630" s="222" t="s">
        <v>6685</v>
      </c>
    </row>
    <row r="631" spans="1:4" ht="15.75" thickBot="1">
      <c r="A631" s="59">
        <v>28520</v>
      </c>
      <c r="B631" s="327"/>
      <c r="C631" s="327"/>
      <c r="D631" s="223" t="s">
        <v>6754</v>
      </c>
    </row>
    <row r="632" spans="1:4">
      <c r="A632" s="64">
        <v>28148</v>
      </c>
      <c r="B632" s="325">
        <v>56</v>
      </c>
      <c r="C632" s="325" t="s">
        <v>3773</v>
      </c>
      <c r="D632" s="234" t="s">
        <v>6708</v>
      </c>
    </row>
    <row r="633" spans="1:4">
      <c r="A633" s="54">
        <v>28153</v>
      </c>
      <c r="B633" s="326"/>
      <c r="C633" s="326"/>
      <c r="D633" s="235" t="s">
        <v>6718</v>
      </c>
    </row>
    <row r="634" spans="1:4">
      <c r="A634" s="54">
        <v>28162</v>
      </c>
      <c r="B634" s="326"/>
      <c r="C634" s="326"/>
      <c r="D634" s="235" t="s">
        <v>6758</v>
      </c>
    </row>
    <row r="635" spans="1:4">
      <c r="A635" s="54">
        <v>28165</v>
      </c>
      <c r="B635" s="326"/>
      <c r="C635" s="326"/>
      <c r="D635" s="235" t="s">
        <v>6762</v>
      </c>
    </row>
    <row r="636" spans="1:4">
      <c r="A636" s="54">
        <v>28169</v>
      </c>
      <c r="B636" s="326"/>
      <c r="C636" s="326"/>
      <c r="D636" s="235" t="s">
        <v>6767</v>
      </c>
    </row>
    <row r="637" spans="1:4">
      <c r="A637" s="54">
        <v>28174</v>
      </c>
      <c r="B637" s="326"/>
      <c r="C637" s="326"/>
      <c r="D637" s="235" t="s">
        <v>6797</v>
      </c>
    </row>
    <row r="638" spans="1:4">
      <c r="A638" s="54">
        <v>29037</v>
      </c>
      <c r="B638" s="326"/>
      <c r="C638" s="326"/>
      <c r="D638" s="235" t="s">
        <v>6927</v>
      </c>
    </row>
    <row r="639" spans="1:4" ht="15.75" thickBot="1">
      <c r="A639" s="59">
        <v>29038</v>
      </c>
      <c r="B639" s="327"/>
      <c r="C639" s="327"/>
      <c r="D639" s="236" t="s">
        <v>6928</v>
      </c>
    </row>
    <row r="640" spans="1:4">
      <c r="A640" s="64">
        <v>28495</v>
      </c>
      <c r="B640" s="325">
        <v>57</v>
      </c>
      <c r="C640" s="325" t="s">
        <v>3773</v>
      </c>
      <c r="D640" s="246" t="s">
        <v>6819</v>
      </c>
    </row>
    <row r="641" spans="1:4">
      <c r="A641" s="54">
        <v>28503</v>
      </c>
      <c r="B641" s="326"/>
      <c r="C641" s="326"/>
      <c r="D641" s="247" t="s">
        <v>6836</v>
      </c>
    </row>
    <row r="642" spans="1:4">
      <c r="A642" s="54">
        <v>28510</v>
      </c>
      <c r="B642" s="326"/>
      <c r="C642" s="326"/>
      <c r="D642" s="247" t="s">
        <v>6866</v>
      </c>
    </row>
    <row r="643" spans="1:4">
      <c r="A643" s="54">
        <v>28513</v>
      </c>
      <c r="B643" s="326"/>
      <c r="C643" s="326"/>
      <c r="D643" s="247" t="s">
        <v>6870</v>
      </c>
    </row>
    <row r="644" spans="1:4">
      <c r="A644" s="54">
        <v>28514</v>
      </c>
      <c r="B644" s="326"/>
      <c r="C644" s="326"/>
      <c r="D644" s="247" t="s">
        <v>6872</v>
      </c>
    </row>
    <row r="645" spans="1:4">
      <c r="A645" s="54">
        <v>28515</v>
      </c>
      <c r="B645" s="326"/>
      <c r="C645" s="326"/>
      <c r="D645" s="247" t="s">
        <v>6874</v>
      </c>
    </row>
    <row r="646" spans="1:4">
      <c r="A646" s="54">
        <v>28518</v>
      </c>
      <c r="B646" s="326"/>
      <c r="C646" s="326"/>
      <c r="D646" s="247" t="s">
        <v>6880</v>
      </c>
    </row>
    <row r="647" spans="1:4">
      <c r="A647" s="54">
        <v>28519</v>
      </c>
      <c r="B647" s="326"/>
      <c r="C647" s="326"/>
      <c r="D647" s="247" t="s">
        <v>6882</v>
      </c>
    </row>
    <row r="648" spans="1:4">
      <c r="A648" s="54">
        <v>28525</v>
      </c>
      <c r="B648" s="326"/>
      <c r="C648" s="326"/>
      <c r="D648" s="247" t="s">
        <v>6889</v>
      </c>
    </row>
    <row r="649" spans="1:4">
      <c r="A649" s="54">
        <v>28528</v>
      </c>
      <c r="B649" s="326"/>
      <c r="C649" s="326"/>
      <c r="D649" s="247" t="s">
        <v>6892</v>
      </c>
    </row>
    <row r="650" spans="1:4">
      <c r="A650" s="54">
        <v>28529</v>
      </c>
      <c r="B650" s="326"/>
      <c r="C650" s="326"/>
      <c r="D650" s="247" t="s">
        <v>6894</v>
      </c>
    </row>
    <row r="651" spans="1:4" ht="15.75" thickBot="1">
      <c r="A651" s="59">
        <v>28530</v>
      </c>
      <c r="B651" s="327"/>
      <c r="C651" s="327"/>
      <c r="D651" s="248" t="s">
        <v>6895</v>
      </c>
    </row>
    <row r="652" spans="1:4">
      <c r="A652" s="57"/>
      <c r="B652" s="220"/>
      <c r="C652" s="220"/>
      <c r="D652" s="220"/>
    </row>
  </sheetData>
  <mergeCells count="114">
    <mergeCell ref="B608:B615"/>
    <mergeCell ref="C608:C615"/>
    <mergeCell ref="C600:C607"/>
    <mergeCell ref="B600:B607"/>
    <mergeCell ref="C518:C526"/>
    <mergeCell ref="B518:B526"/>
    <mergeCell ref="C538:C547"/>
    <mergeCell ref="B538:B547"/>
    <mergeCell ref="C558:C568"/>
    <mergeCell ref="B558:B568"/>
    <mergeCell ref="C548:C557"/>
    <mergeCell ref="B548:B557"/>
    <mergeCell ref="B582:B590"/>
    <mergeCell ref="C582:C590"/>
    <mergeCell ref="C569:C581"/>
    <mergeCell ref="B569:B581"/>
    <mergeCell ref="C527:C537"/>
    <mergeCell ref="B527:B537"/>
    <mergeCell ref="C482:C492"/>
    <mergeCell ref="B482:B492"/>
    <mergeCell ref="C473:C481"/>
    <mergeCell ref="B473:B481"/>
    <mergeCell ref="B508:B517"/>
    <mergeCell ref="C508:C517"/>
    <mergeCell ref="C500:C507"/>
    <mergeCell ref="B500:B507"/>
    <mergeCell ref="B493:B499"/>
    <mergeCell ref="C493:C499"/>
    <mergeCell ref="B240:B249"/>
    <mergeCell ref="C240:C249"/>
    <mergeCell ref="C462:C472"/>
    <mergeCell ref="B462:B472"/>
    <mergeCell ref="B323:B333"/>
    <mergeCell ref="C323:C333"/>
    <mergeCell ref="B334:B347"/>
    <mergeCell ref="C334:C347"/>
    <mergeCell ref="C451:C461"/>
    <mergeCell ref="B451:B461"/>
    <mergeCell ref="C387:C403"/>
    <mergeCell ref="B387:B403"/>
    <mergeCell ref="B441:B450"/>
    <mergeCell ref="C441:C450"/>
    <mergeCell ref="C430:C440"/>
    <mergeCell ref="B430:B440"/>
    <mergeCell ref="C419:C429"/>
    <mergeCell ref="B419:B429"/>
    <mergeCell ref="B280:B289"/>
    <mergeCell ref="C280:C289"/>
    <mergeCell ref="B264:B279"/>
    <mergeCell ref="C264:C279"/>
    <mergeCell ref="B348:B362"/>
    <mergeCell ref="C348:C362"/>
    <mergeCell ref="B155:B163"/>
    <mergeCell ref="C155:C163"/>
    <mergeCell ref="B190:B198"/>
    <mergeCell ref="C190:C198"/>
    <mergeCell ref="B2:B14"/>
    <mergeCell ref="C2:C14"/>
    <mergeCell ref="B15:B33"/>
    <mergeCell ref="C15:C33"/>
    <mergeCell ref="B68:B88"/>
    <mergeCell ref="C68:C88"/>
    <mergeCell ref="B34:B48"/>
    <mergeCell ref="C34:C48"/>
    <mergeCell ref="B49:B67"/>
    <mergeCell ref="C49:C67"/>
    <mergeCell ref="B304:B313"/>
    <mergeCell ref="C304:C313"/>
    <mergeCell ref="B234:B239"/>
    <mergeCell ref="C234:C239"/>
    <mergeCell ref="B89:B104"/>
    <mergeCell ref="C89:C104"/>
    <mergeCell ref="B226:B233"/>
    <mergeCell ref="C226:C233"/>
    <mergeCell ref="B199:B205"/>
    <mergeCell ref="C199:C205"/>
    <mergeCell ref="B206:B211"/>
    <mergeCell ref="C206:C211"/>
    <mergeCell ref="B212:B225"/>
    <mergeCell ref="C212:C225"/>
    <mergeCell ref="B181:B189"/>
    <mergeCell ref="C181:C189"/>
    <mergeCell ref="B105:B124"/>
    <mergeCell ref="C105:C124"/>
    <mergeCell ref="B125:B140"/>
    <mergeCell ref="C125:C140"/>
    <mergeCell ref="B141:B154"/>
    <mergeCell ref="C141:C154"/>
    <mergeCell ref="B170:B180"/>
    <mergeCell ref="C170:C180"/>
    <mergeCell ref="B640:B651"/>
    <mergeCell ref="C640:C651"/>
    <mergeCell ref="B632:B639"/>
    <mergeCell ref="C632:C639"/>
    <mergeCell ref="B624:B631"/>
    <mergeCell ref="C624:C631"/>
    <mergeCell ref="B616:B623"/>
    <mergeCell ref="C616:C623"/>
    <mergeCell ref="B164:B169"/>
    <mergeCell ref="C164:C169"/>
    <mergeCell ref="B591:B599"/>
    <mergeCell ref="C591:C599"/>
    <mergeCell ref="B314:B322"/>
    <mergeCell ref="C314:C322"/>
    <mergeCell ref="C404:C418"/>
    <mergeCell ref="B404:B418"/>
    <mergeCell ref="B250:B263"/>
    <mergeCell ref="C250:C263"/>
    <mergeCell ref="B376:B386"/>
    <mergeCell ref="C376:C386"/>
    <mergeCell ref="B363:B375"/>
    <mergeCell ref="C363:C375"/>
    <mergeCell ref="B290:B303"/>
    <mergeCell ref="C290:C303"/>
  </mergeCells>
  <conditionalFormatting sqref="D348:E362">
    <cfRule type="containsText" dxfId="152" priority="1379" operator="containsText" text="Rejoin">
      <formula>NOT(ISERROR(SEARCH("Rejoin",D348)))</formula>
    </cfRule>
  </conditionalFormatting>
  <conditionalFormatting sqref="D348:E362">
    <cfRule type="containsText" dxfId="151" priority="1372" operator="containsText" text="OPM">
      <formula>NOT(ISERROR(SEARCH("OPM",D348)))</formula>
    </cfRule>
    <cfRule type="containsText" dxfId="150" priority="1373" operator="containsText" text="WU">
      <formula>NOT(ISERROR(SEARCH("WU",D348)))</formula>
    </cfRule>
    <cfRule type="containsText" dxfId="149" priority="1374" operator="containsText" text="HolidayMe">
      <formula>NOT(ISERROR(SEARCH("HolidayMe",D348)))</formula>
    </cfRule>
    <cfRule type="containsText" dxfId="148" priority="1375" operator="containsText" text="Freedom">
      <formula>NOT(ISERROR(SEARCH("Freedom",D348)))</formula>
    </cfRule>
    <cfRule type="containsText" dxfId="147" priority="1376" operator="containsText" text="DU">
      <formula>NOT(ISERROR(SEARCH("DU",D348)))</formula>
    </cfRule>
    <cfRule type="containsText" dxfId="146" priority="1377" operator="containsText" text="ECA">
      <formula>NOT(ISERROR(SEARCH("ECA",D348)))</formula>
    </cfRule>
    <cfRule type="containsText" dxfId="145" priority="1378" operator="containsText" text="Rejected">
      <formula>NOT(ISERROR(SEARCH("Rejected",D348)))</formula>
    </cfRule>
  </conditionalFormatting>
  <conditionalFormatting sqref="D348:E362">
    <cfRule type="containsText" dxfId="144" priority="1368" operator="containsText" text="B1">
      <formula>NOT(ISERROR(SEARCH("B1",D348)))</formula>
    </cfRule>
  </conditionalFormatting>
  <conditionalFormatting sqref="D11">
    <cfRule type="duplicateValues" dxfId="143" priority="1355"/>
  </conditionalFormatting>
  <conditionalFormatting sqref="D11">
    <cfRule type="duplicateValues" dxfId="142" priority="1354"/>
  </conditionalFormatting>
  <conditionalFormatting sqref="A6">
    <cfRule type="containsText" dxfId="141" priority="1282" operator="containsText" text="Resignation">
      <formula>NOT(ISERROR(SEARCH("Resignation",A6)))</formula>
    </cfRule>
    <cfRule type="containsText" dxfId="140" priority="1283" operator="containsText" text="Dismissal">
      <formula>NOT(ISERROR(SEARCH("Dismissal",A6)))</formula>
    </cfRule>
  </conditionalFormatting>
  <conditionalFormatting sqref="A11">
    <cfRule type="duplicateValues" dxfId="139" priority="1272"/>
  </conditionalFormatting>
  <conditionalFormatting sqref="D82">
    <cfRule type="duplicateValues" dxfId="138" priority="1103"/>
  </conditionalFormatting>
  <conditionalFormatting sqref="D82">
    <cfRule type="duplicateValues" dxfId="137" priority="1102"/>
  </conditionalFormatting>
  <conditionalFormatting sqref="D96">
    <cfRule type="duplicateValues" dxfId="136" priority="1100"/>
  </conditionalFormatting>
  <conditionalFormatting sqref="D103">
    <cfRule type="duplicateValues" dxfId="135" priority="995"/>
  </conditionalFormatting>
  <conditionalFormatting sqref="D103">
    <cfRule type="duplicateValues" dxfId="134" priority="994"/>
  </conditionalFormatting>
  <conditionalFormatting sqref="A103">
    <cfRule type="duplicateValues" dxfId="133" priority="992"/>
  </conditionalFormatting>
  <conditionalFormatting sqref="D127:D130">
    <cfRule type="duplicateValues" dxfId="132" priority="904"/>
  </conditionalFormatting>
  <conditionalFormatting sqref="D156:D164">
    <cfRule type="duplicateValues" dxfId="131" priority="668"/>
  </conditionalFormatting>
  <conditionalFormatting sqref="D156:D164">
    <cfRule type="duplicateValues" dxfId="130" priority="667"/>
  </conditionalFormatting>
  <conditionalFormatting sqref="D166:D171 A166 D173">
    <cfRule type="duplicateValues" dxfId="129" priority="586"/>
  </conditionalFormatting>
  <conditionalFormatting sqref="D166:D171 D173">
    <cfRule type="duplicateValues" dxfId="128" priority="585"/>
  </conditionalFormatting>
  <conditionalFormatting sqref="D91">
    <cfRule type="duplicateValues" dxfId="127" priority="566"/>
  </conditionalFormatting>
  <conditionalFormatting sqref="D91">
    <cfRule type="duplicateValues" dxfId="126" priority="565"/>
  </conditionalFormatting>
  <conditionalFormatting sqref="D165">
    <cfRule type="duplicateValues" dxfId="125" priority="564"/>
  </conditionalFormatting>
  <conditionalFormatting sqref="D165">
    <cfRule type="duplicateValues" dxfId="124" priority="563"/>
  </conditionalFormatting>
  <conditionalFormatting sqref="A166">
    <cfRule type="duplicateValues" dxfId="123" priority="562"/>
  </conditionalFormatting>
  <conditionalFormatting sqref="A167">
    <cfRule type="duplicateValues" dxfId="122" priority="561"/>
  </conditionalFormatting>
  <conditionalFormatting sqref="A167">
    <cfRule type="duplicateValues" dxfId="121" priority="560"/>
  </conditionalFormatting>
  <conditionalFormatting sqref="A168">
    <cfRule type="duplicateValues" dxfId="120" priority="559"/>
  </conditionalFormatting>
  <conditionalFormatting sqref="A168">
    <cfRule type="duplicateValues" dxfId="119" priority="558"/>
  </conditionalFormatting>
  <conditionalFormatting sqref="D174">
    <cfRule type="duplicateValues" dxfId="118" priority="556"/>
  </conditionalFormatting>
  <conditionalFormatting sqref="D172">
    <cfRule type="duplicateValues" dxfId="117" priority="551"/>
  </conditionalFormatting>
  <conditionalFormatting sqref="D175">
    <cfRule type="duplicateValues" dxfId="116" priority="545"/>
  </conditionalFormatting>
  <conditionalFormatting sqref="D175">
    <cfRule type="duplicateValues" dxfId="115" priority="544"/>
  </conditionalFormatting>
  <conditionalFormatting sqref="D176">
    <cfRule type="duplicateValues" dxfId="114" priority="543"/>
  </conditionalFormatting>
  <conditionalFormatting sqref="D176">
    <cfRule type="duplicateValues" dxfId="113" priority="542"/>
  </conditionalFormatting>
  <conditionalFormatting sqref="D201:D203">
    <cfRule type="duplicateValues" dxfId="112" priority="499"/>
  </conditionalFormatting>
  <conditionalFormatting sqref="D334:E362">
    <cfRule type="containsText" dxfId="111" priority="318" operator="containsText" text="dismissal">
      <formula>NOT(ISERROR(SEARCH("dismissal",D334)))</formula>
    </cfRule>
  </conditionalFormatting>
  <conditionalFormatting sqref="D223:D225">
    <cfRule type="duplicateValues" dxfId="110" priority="303"/>
  </conditionalFormatting>
  <conditionalFormatting sqref="D223:D225">
    <cfRule type="duplicateValues" dxfId="109" priority="300"/>
  </conditionalFormatting>
  <conditionalFormatting sqref="D334:E362">
    <cfRule type="containsText" dxfId="108" priority="270" operator="containsText" text="resignation">
      <formula>NOT(ISERROR(SEARCH("resignation",D334)))</formula>
    </cfRule>
  </conditionalFormatting>
  <conditionalFormatting sqref="D236">
    <cfRule type="duplicateValues" dxfId="107" priority="183"/>
  </conditionalFormatting>
  <conditionalFormatting sqref="D236">
    <cfRule type="duplicateValues" dxfId="106" priority="184"/>
  </conditionalFormatting>
  <conditionalFormatting sqref="D236">
    <cfRule type="duplicateValues" dxfId="105" priority="185"/>
  </conditionalFormatting>
  <conditionalFormatting sqref="D236">
    <cfRule type="duplicateValues" dxfId="104" priority="186"/>
  </conditionalFormatting>
  <conditionalFormatting sqref="D236">
    <cfRule type="duplicateValues" dxfId="103" priority="187"/>
  </conditionalFormatting>
  <conditionalFormatting sqref="D236">
    <cfRule type="duplicateValues" dxfId="102" priority="188"/>
    <cfRule type="duplicateValues" dxfId="101" priority="189"/>
  </conditionalFormatting>
  <conditionalFormatting sqref="D236">
    <cfRule type="duplicateValues" dxfId="100" priority="182"/>
  </conditionalFormatting>
  <conditionalFormatting sqref="A278">
    <cfRule type="containsText" dxfId="99" priority="151" operator="containsText" text="Resignation">
      <formula>NOT(ISERROR(SEARCH("Resignation",A278)))</formula>
    </cfRule>
    <cfRule type="containsText" dxfId="98" priority="152" operator="containsText" text="Dismissal">
      <formula>NOT(ISERROR(SEARCH("Dismissal",A278)))</formula>
    </cfRule>
  </conditionalFormatting>
  <conditionalFormatting sqref="A278">
    <cfRule type="containsText" dxfId="97" priority="150" operator="containsText" text="Transferred">
      <formula>NOT(ISERROR(SEARCH("Transferred",A278)))</formula>
    </cfRule>
  </conditionalFormatting>
  <conditionalFormatting sqref="A278">
    <cfRule type="containsText" dxfId="96" priority="149" operator="containsText" text="layoff">
      <formula>NOT(ISERROR(SEARCH("layoff",A278)))</formula>
    </cfRule>
  </conditionalFormatting>
  <conditionalFormatting sqref="A278">
    <cfRule type="duplicateValues" dxfId="95" priority="148"/>
  </conditionalFormatting>
  <conditionalFormatting sqref="D279">
    <cfRule type="containsText" dxfId="94" priority="146" operator="containsText" text="Resignation">
      <formula>NOT(ISERROR(SEARCH("Resignation",D279)))</formula>
    </cfRule>
    <cfRule type="containsText" dxfId="93" priority="147" operator="containsText" text="Dismissal">
      <formula>NOT(ISERROR(SEARCH("Dismissal",D279)))</formula>
    </cfRule>
  </conditionalFormatting>
  <conditionalFormatting sqref="D279">
    <cfRule type="containsText" dxfId="92" priority="145" operator="containsText" text="Transferred">
      <formula>NOT(ISERROR(SEARCH("Transferred",D279)))</formula>
    </cfRule>
  </conditionalFormatting>
  <conditionalFormatting sqref="D279">
    <cfRule type="containsText" dxfId="91" priority="144" operator="containsText" text="layoff">
      <formula>NOT(ISERROR(SEARCH("layoff",D279)))</formula>
    </cfRule>
  </conditionalFormatting>
  <conditionalFormatting sqref="D279">
    <cfRule type="duplicateValues" dxfId="90" priority="143"/>
  </conditionalFormatting>
  <conditionalFormatting sqref="A279">
    <cfRule type="containsText" dxfId="89" priority="141" operator="containsText" text="Resignation">
      <formula>NOT(ISERROR(SEARCH("Resignation",A279)))</formula>
    </cfRule>
    <cfRule type="containsText" dxfId="88" priority="142" operator="containsText" text="Dismissal">
      <formula>NOT(ISERROR(SEARCH("Dismissal",A279)))</formula>
    </cfRule>
  </conditionalFormatting>
  <conditionalFormatting sqref="A279">
    <cfRule type="containsText" dxfId="87" priority="140" operator="containsText" text="Transferred">
      <formula>NOT(ISERROR(SEARCH("Transferred",A279)))</formula>
    </cfRule>
  </conditionalFormatting>
  <conditionalFormatting sqref="A279">
    <cfRule type="containsText" dxfId="86" priority="139" operator="containsText" text="layoff">
      <formula>NOT(ISERROR(SEARCH("layoff",A279)))</formula>
    </cfRule>
  </conditionalFormatting>
  <conditionalFormatting sqref="A279">
    <cfRule type="duplicateValues" dxfId="85" priority="138"/>
  </conditionalFormatting>
  <conditionalFormatting sqref="D291:D329 D1:D155 D177:D200 D204:D222 D226:D235 D237:D278 D280:D289 D332:D347 D376:D461 D582:D1048576">
    <cfRule type="duplicateValues" dxfId="84" priority="1381"/>
  </conditionalFormatting>
  <conditionalFormatting sqref="D291:D329 D1:D164 D166:D171 D177:D200 D173 D204:D222 D226:D235 D237:D278 D280:D289 D332:D347 D376:D461 D582:D1048576">
    <cfRule type="duplicateValues" dxfId="83" priority="1382"/>
  </conditionalFormatting>
  <conditionalFormatting sqref="A334:C334 A348:C348 A335:A347 A349">
    <cfRule type="containsText" dxfId="82" priority="85" operator="containsText" text="dismissal">
      <formula>NOT(ISERROR(SEARCH("dismissal",A334)))</formula>
    </cfRule>
  </conditionalFormatting>
  <conditionalFormatting sqref="A334:C334 A348:C348 A335:A347 A349">
    <cfRule type="containsText" dxfId="81" priority="84" operator="containsText" text="resignation">
      <formula>NOT(ISERROR(SEARCH("resignation",A334)))</formula>
    </cfRule>
  </conditionalFormatting>
  <conditionalFormatting sqref="C323">
    <cfRule type="containsText" dxfId="80" priority="83" operator="containsText" text="dismissal">
      <formula>NOT(ISERROR(SEARCH("dismissal",C323)))</formula>
    </cfRule>
  </conditionalFormatting>
  <conditionalFormatting sqref="C323">
    <cfRule type="containsText" dxfId="79" priority="82" operator="containsText" text="resignation">
      <formula>NOT(ISERROR(SEARCH("resignation",C323)))</formula>
    </cfRule>
  </conditionalFormatting>
  <conditionalFormatting sqref="B323">
    <cfRule type="containsText" dxfId="78" priority="81" operator="containsText" text="dismissal">
      <formula>NOT(ISERROR(SEARCH("dismissal",B323)))</formula>
    </cfRule>
  </conditionalFormatting>
  <conditionalFormatting sqref="B323">
    <cfRule type="containsText" dxfId="77" priority="80" operator="containsText" text="resignation">
      <formula>NOT(ISERROR(SEARCH("resignation",B323)))</formula>
    </cfRule>
  </conditionalFormatting>
  <conditionalFormatting sqref="D291:D329 D1:D164 D177:D200 D204:D222 D226:D235 D237:D278 D280:D289 D332:D347 D376:D461 D582:D1048576">
    <cfRule type="duplicateValues" dxfId="76" priority="8556"/>
  </conditionalFormatting>
  <conditionalFormatting sqref="D291:D329 D17:D49 D63:D81 D97:D102 D83:D95 A17:A102 D104:D126 D131:D155 A104:A166 A194:A201 A169:A189 D177:D200 A206:A222 D204:D222 A203 D226:D235 A226:A277 D280:D289 D237:D278 A280:A333 D332:D341">
    <cfRule type="duplicateValues" dxfId="75" priority="8578"/>
  </conditionalFormatting>
  <conditionalFormatting sqref="D9">
    <cfRule type="duplicateValues" dxfId="74" priority="8624"/>
  </conditionalFormatting>
  <conditionalFormatting sqref="D9">
    <cfRule type="duplicateValues" dxfId="73" priority="8625"/>
  </conditionalFormatting>
  <conditionalFormatting sqref="D52:D62">
    <cfRule type="duplicateValues" dxfId="72" priority="8626"/>
  </conditionalFormatting>
  <conditionalFormatting sqref="D10 D2:D5 A2:A5 D7:D8 A7:A10 D12:D14 A12:A14">
    <cfRule type="duplicateValues" dxfId="71" priority="8656"/>
  </conditionalFormatting>
  <conditionalFormatting sqref="D50:D51">
    <cfRule type="duplicateValues" dxfId="70" priority="8663"/>
  </conditionalFormatting>
  <conditionalFormatting sqref="D1">
    <cfRule type="duplicateValues" dxfId="69" priority="8675"/>
  </conditionalFormatting>
  <conditionalFormatting sqref="D15:D16 A15:A16">
    <cfRule type="duplicateValues" dxfId="68" priority="8677"/>
  </conditionalFormatting>
  <conditionalFormatting sqref="D223:D225 A223:A225">
    <cfRule type="duplicateValues" dxfId="67" priority="8679"/>
  </conditionalFormatting>
  <conditionalFormatting sqref="D330:D331">
    <cfRule type="duplicateValues" dxfId="66" priority="8709"/>
  </conditionalFormatting>
  <conditionalFormatting sqref="B363">
    <cfRule type="containsText" dxfId="65" priority="66" operator="containsText" text="dismissal">
      <formula>NOT(ISERROR(SEARCH("dismissal",B363)))</formula>
    </cfRule>
  </conditionalFormatting>
  <conditionalFormatting sqref="B363">
    <cfRule type="containsText" dxfId="64" priority="65" operator="containsText" text="resignation">
      <formula>NOT(ISERROR(SEARCH("resignation",B363)))</formula>
    </cfRule>
  </conditionalFormatting>
  <conditionalFormatting sqref="C363">
    <cfRule type="containsText" dxfId="63" priority="64" operator="containsText" text="dismissal">
      <formula>NOT(ISERROR(SEARCH("dismissal",C363)))</formula>
    </cfRule>
  </conditionalFormatting>
  <conditionalFormatting sqref="C363">
    <cfRule type="containsText" dxfId="62" priority="63" operator="containsText" text="resignation">
      <formula>NOT(ISERROR(SEARCH("resignation",C363)))</formula>
    </cfRule>
  </conditionalFormatting>
  <conditionalFormatting sqref="D363:D375">
    <cfRule type="containsText" dxfId="61" priority="62" operator="containsText" text="Rejoin">
      <formula>NOT(ISERROR(SEARCH("Rejoin",D363)))</formula>
    </cfRule>
  </conditionalFormatting>
  <conditionalFormatting sqref="D363:D375">
    <cfRule type="containsText" dxfId="60" priority="55" operator="containsText" text="OPM">
      <formula>NOT(ISERROR(SEARCH("OPM",D363)))</formula>
    </cfRule>
    <cfRule type="containsText" dxfId="59" priority="56" operator="containsText" text="WU">
      <formula>NOT(ISERROR(SEARCH("WU",D363)))</formula>
    </cfRule>
    <cfRule type="containsText" dxfId="58" priority="57" operator="containsText" text="HolidayMe">
      <formula>NOT(ISERROR(SEARCH("HolidayMe",D363)))</formula>
    </cfRule>
    <cfRule type="containsText" dxfId="57" priority="58" operator="containsText" text="Freedom">
      <formula>NOT(ISERROR(SEARCH("Freedom",D363)))</formula>
    </cfRule>
    <cfRule type="containsText" dxfId="56" priority="59" operator="containsText" text="DU">
      <formula>NOT(ISERROR(SEARCH("DU",D363)))</formula>
    </cfRule>
    <cfRule type="containsText" dxfId="55" priority="60" operator="containsText" text="ECA">
      <formula>NOT(ISERROR(SEARCH("ECA",D363)))</formula>
    </cfRule>
    <cfRule type="containsText" dxfId="54" priority="61" operator="containsText" text="Rejected">
      <formula>NOT(ISERROR(SEARCH("Rejected",D363)))</formula>
    </cfRule>
  </conditionalFormatting>
  <conditionalFormatting sqref="D363:D375">
    <cfRule type="containsText" dxfId="53" priority="54" operator="containsText" text="B1">
      <formula>NOT(ISERROR(SEARCH("B1",D363)))</formula>
    </cfRule>
  </conditionalFormatting>
  <conditionalFormatting sqref="D363:D375">
    <cfRule type="containsText" dxfId="52" priority="53" operator="containsText" text="dismissal">
      <formula>NOT(ISERROR(SEARCH("dismissal",D363)))</formula>
    </cfRule>
  </conditionalFormatting>
  <conditionalFormatting sqref="D363:D375">
    <cfRule type="containsText" dxfId="51" priority="52" operator="containsText" text="resignation">
      <formula>NOT(ISERROR(SEARCH("resignation",D363)))</formula>
    </cfRule>
  </conditionalFormatting>
  <conditionalFormatting sqref="D472">
    <cfRule type="duplicateValues" dxfId="50" priority="49"/>
  </conditionalFormatting>
  <conditionalFormatting sqref="D472">
    <cfRule type="duplicateValues" dxfId="49" priority="50"/>
  </conditionalFormatting>
  <conditionalFormatting sqref="D472">
    <cfRule type="duplicateValues" dxfId="48" priority="51"/>
  </conditionalFormatting>
  <conditionalFormatting sqref="D462:D471">
    <cfRule type="duplicateValues" dxfId="47" priority="46"/>
  </conditionalFormatting>
  <conditionalFormatting sqref="D462:D471">
    <cfRule type="duplicateValues" dxfId="46" priority="47"/>
  </conditionalFormatting>
  <conditionalFormatting sqref="D462:D471">
    <cfRule type="duplicateValues" dxfId="45" priority="48"/>
  </conditionalFormatting>
  <conditionalFormatting sqref="D473:D481">
    <cfRule type="duplicateValues" dxfId="44" priority="43"/>
  </conditionalFormatting>
  <conditionalFormatting sqref="D473:D481">
    <cfRule type="duplicateValues" dxfId="43" priority="44"/>
  </conditionalFormatting>
  <conditionalFormatting sqref="D473:D481">
    <cfRule type="duplicateValues" dxfId="42" priority="45"/>
  </conditionalFormatting>
  <conditionalFormatting sqref="D482:D492">
    <cfRule type="duplicateValues" dxfId="41" priority="40"/>
  </conditionalFormatting>
  <conditionalFormatting sqref="D482:D492">
    <cfRule type="duplicateValues" dxfId="40" priority="41"/>
  </conditionalFormatting>
  <conditionalFormatting sqref="D482:D492">
    <cfRule type="duplicateValues" dxfId="39" priority="42"/>
  </conditionalFormatting>
  <conditionalFormatting sqref="D493:D499">
    <cfRule type="duplicateValues" dxfId="38" priority="37"/>
  </conditionalFormatting>
  <conditionalFormatting sqref="D493:D499">
    <cfRule type="duplicateValues" dxfId="37" priority="38"/>
  </conditionalFormatting>
  <conditionalFormatting sqref="D493:D499">
    <cfRule type="duplicateValues" dxfId="36" priority="39"/>
  </conditionalFormatting>
  <conditionalFormatting sqref="D500:D507">
    <cfRule type="duplicateValues" dxfId="35" priority="34"/>
  </conditionalFormatting>
  <conditionalFormatting sqref="D500:D507">
    <cfRule type="duplicateValues" dxfId="34" priority="35"/>
  </conditionalFormatting>
  <conditionalFormatting sqref="D500:D507">
    <cfRule type="duplicateValues" dxfId="33" priority="36"/>
  </conditionalFormatting>
  <conditionalFormatting sqref="D508:D515">
    <cfRule type="duplicateValues" dxfId="32" priority="31"/>
  </conditionalFormatting>
  <conditionalFormatting sqref="D508:D515">
    <cfRule type="duplicateValues" dxfId="31" priority="32"/>
  </conditionalFormatting>
  <conditionalFormatting sqref="D508:D515">
    <cfRule type="duplicateValues" dxfId="30" priority="33"/>
  </conditionalFormatting>
  <conditionalFormatting sqref="D516:D517">
    <cfRule type="duplicateValues" dxfId="29" priority="28"/>
  </conditionalFormatting>
  <conditionalFormatting sqref="D516:D517">
    <cfRule type="duplicateValues" dxfId="28" priority="29"/>
  </conditionalFormatting>
  <conditionalFormatting sqref="D516:D517">
    <cfRule type="duplicateValues" dxfId="27" priority="30"/>
  </conditionalFormatting>
  <conditionalFormatting sqref="D518:D526">
    <cfRule type="duplicateValues" dxfId="26" priority="25"/>
  </conditionalFormatting>
  <conditionalFormatting sqref="D518:D526">
    <cfRule type="duplicateValues" dxfId="25" priority="26"/>
  </conditionalFormatting>
  <conditionalFormatting sqref="D518:D526">
    <cfRule type="duplicateValues" dxfId="24" priority="27"/>
  </conditionalFormatting>
  <conditionalFormatting sqref="D527:D537">
    <cfRule type="duplicateValues" dxfId="23" priority="22"/>
  </conditionalFormatting>
  <conditionalFormatting sqref="D527:D537">
    <cfRule type="duplicateValues" dxfId="22" priority="23"/>
  </conditionalFormatting>
  <conditionalFormatting sqref="D527:D537">
    <cfRule type="duplicateValues" dxfId="21" priority="24"/>
  </conditionalFormatting>
  <conditionalFormatting sqref="D538:D546">
    <cfRule type="duplicateValues" dxfId="20" priority="19"/>
  </conditionalFormatting>
  <conditionalFormatting sqref="D538:D546">
    <cfRule type="duplicateValues" dxfId="19" priority="20"/>
  </conditionalFormatting>
  <conditionalFormatting sqref="D538:D546">
    <cfRule type="duplicateValues" dxfId="18" priority="21"/>
  </conditionalFormatting>
  <conditionalFormatting sqref="D547">
    <cfRule type="duplicateValues" dxfId="17" priority="16"/>
  </conditionalFormatting>
  <conditionalFormatting sqref="D547">
    <cfRule type="duplicateValues" dxfId="16" priority="17"/>
  </conditionalFormatting>
  <conditionalFormatting sqref="D547">
    <cfRule type="duplicateValues" dxfId="15" priority="18"/>
  </conditionalFormatting>
  <conditionalFormatting sqref="D548:D556">
    <cfRule type="duplicateValues" dxfId="14" priority="13"/>
  </conditionalFormatting>
  <conditionalFormatting sqref="D548:D556">
    <cfRule type="duplicateValues" dxfId="13" priority="14"/>
  </conditionalFormatting>
  <conditionalFormatting sqref="D548:D556">
    <cfRule type="duplicateValues" dxfId="12" priority="15"/>
  </conditionalFormatting>
  <conditionalFormatting sqref="D557">
    <cfRule type="duplicateValues" dxfId="11" priority="10"/>
  </conditionalFormatting>
  <conditionalFormatting sqref="D557">
    <cfRule type="duplicateValues" dxfId="10" priority="11"/>
  </conditionalFormatting>
  <conditionalFormatting sqref="D557">
    <cfRule type="duplicateValues" dxfId="9" priority="12"/>
  </conditionalFormatting>
  <conditionalFormatting sqref="D558:D568">
    <cfRule type="duplicateValues" dxfId="8" priority="7"/>
  </conditionalFormatting>
  <conditionalFormatting sqref="D558:D568">
    <cfRule type="duplicateValues" dxfId="7" priority="8"/>
  </conditionalFormatting>
  <conditionalFormatting sqref="D558:D568">
    <cfRule type="duplicateValues" dxfId="6" priority="9"/>
  </conditionalFormatting>
  <conditionalFormatting sqref="D569:D579">
    <cfRule type="duplicateValues" dxfId="5" priority="4"/>
  </conditionalFormatting>
  <conditionalFormatting sqref="D569:D579">
    <cfRule type="duplicateValues" dxfId="4" priority="5"/>
  </conditionalFormatting>
  <conditionalFormatting sqref="D569:D579">
    <cfRule type="duplicateValues" dxfId="3" priority="6"/>
  </conditionalFormatting>
  <conditionalFormatting sqref="D580:D581">
    <cfRule type="duplicateValues" dxfId="2" priority="1"/>
  </conditionalFormatting>
  <conditionalFormatting sqref="D580:D581">
    <cfRule type="duplicateValues" dxfId="1" priority="2"/>
  </conditionalFormatting>
  <conditionalFormatting sqref="D580:D581">
    <cfRule type="duplicateValues" dxfId="0" priority="3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1"/>
  <sheetViews>
    <sheetView workbookViewId="0">
      <selection activeCell="D2" sqref="D2:L2"/>
    </sheetView>
  </sheetViews>
  <sheetFormatPr defaultRowHeight="15"/>
  <cols>
    <col min="2" max="2" width="5.42578125" customWidth="1"/>
    <col min="4" max="4" width="8.42578125" customWidth="1"/>
    <col min="5" max="5" width="9.42578125" customWidth="1"/>
    <col min="7" max="7" width="9.28515625" customWidth="1"/>
    <col min="8" max="8" width="8.140625" customWidth="1"/>
    <col min="9" max="9" width="8" customWidth="1"/>
    <col min="10" max="11" width="8.42578125" customWidth="1"/>
    <col min="12" max="12" width="8.7109375" customWidth="1"/>
    <col min="15" max="15" width="11.5703125" bestFit="1" customWidth="1"/>
  </cols>
  <sheetData>
    <row r="1" spans="2:25" ht="15.75" thickBot="1"/>
    <row r="2" spans="2:25" ht="15.75" thickBot="1">
      <c r="B2" s="356" t="s">
        <v>6626</v>
      </c>
      <c r="C2" s="357"/>
      <c r="D2" s="344" t="s">
        <v>3116</v>
      </c>
      <c r="E2" s="345"/>
      <c r="F2" s="345"/>
      <c r="G2" s="345"/>
      <c r="H2" s="345"/>
      <c r="I2" s="345"/>
      <c r="J2" s="345"/>
      <c r="K2" s="345"/>
      <c r="L2" s="346"/>
      <c r="N2" s="356" t="s">
        <v>6626</v>
      </c>
      <c r="O2" s="357"/>
      <c r="P2" s="344" t="s">
        <v>3116</v>
      </c>
      <c r="Q2" s="345"/>
      <c r="R2" s="345"/>
      <c r="S2" s="345"/>
      <c r="T2" s="345"/>
      <c r="U2" s="345"/>
      <c r="V2" s="345"/>
      <c r="W2" s="345"/>
      <c r="X2" s="345"/>
      <c r="Y2" s="346"/>
    </row>
    <row r="3" spans="2:25" ht="15.75" customHeight="1" thickBot="1">
      <c r="B3" s="358"/>
      <c r="C3" s="359"/>
      <c r="D3" s="215" t="s">
        <v>4077</v>
      </c>
      <c r="E3" s="215" t="s">
        <v>5262</v>
      </c>
      <c r="F3" s="215" t="s">
        <v>3129</v>
      </c>
      <c r="G3" s="260" t="s">
        <v>4517</v>
      </c>
      <c r="H3" s="360" t="s">
        <v>3773</v>
      </c>
      <c r="I3" s="361"/>
      <c r="J3" s="215" t="s">
        <v>1249</v>
      </c>
      <c r="K3" s="215" t="s">
        <v>5924</v>
      </c>
      <c r="L3" s="215" t="s">
        <v>5923</v>
      </c>
      <c r="N3" s="358"/>
      <c r="O3" s="359"/>
      <c r="P3" s="215" t="s">
        <v>4077</v>
      </c>
      <c r="Q3" s="215" t="s">
        <v>5262</v>
      </c>
      <c r="R3" s="215" t="s">
        <v>3129</v>
      </c>
      <c r="S3" s="263" t="s">
        <v>4517</v>
      </c>
      <c r="T3" s="360" t="s">
        <v>3773</v>
      </c>
      <c r="U3" s="361"/>
      <c r="V3" s="215" t="s">
        <v>1249</v>
      </c>
      <c r="W3" s="215" t="s">
        <v>5924</v>
      </c>
      <c r="X3" s="215" t="s">
        <v>5923</v>
      </c>
      <c r="Y3" s="215" t="s">
        <v>4519</v>
      </c>
    </row>
    <row r="4" spans="2:25" ht="15.75" customHeight="1" thickBot="1">
      <c r="B4" s="347" t="s">
        <v>7125</v>
      </c>
      <c r="C4" s="216" t="s">
        <v>3771</v>
      </c>
      <c r="D4" s="217" t="s">
        <v>6860</v>
      </c>
      <c r="E4" s="217">
        <v>185</v>
      </c>
      <c r="F4" s="217" t="s">
        <v>6752</v>
      </c>
      <c r="G4" s="259">
        <v>186</v>
      </c>
      <c r="H4" s="354">
        <v>183</v>
      </c>
      <c r="I4" s="355"/>
      <c r="J4" s="217">
        <v>187</v>
      </c>
      <c r="K4" s="217" t="s">
        <v>3772</v>
      </c>
      <c r="L4" s="217">
        <v>184</v>
      </c>
      <c r="N4" s="362" t="s">
        <v>7216</v>
      </c>
      <c r="O4" s="216" t="s">
        <v>3771</v>
      </c>
      <c r="P4" s="217" t="s">
        <v>6439</v>
      </c>
      <c r="Q4" s="217" t="s">
        <v>3772</v>
      </c>
      <c r="R4" s="217" t="s">
        <v>6438</v>
      </c>
      <c r="S4" s="264" t="s">
        <v>3772</v>
      </c>
      <c r="T4" s="217" t="s">
        <v>7247</v>
      </c>
      <c r="U4" s="217" t="s">
        <v>7246</v>
      </c>
      <c r="V4" s="217" t="s">
        <v>7219</v>
      </c>
      <c r="W4" s="217" t="s">
        <v>3772</v>
      </c>
      <c r="X4" s="217" t="s">
        <v>7218</v>
      </c>
      <c r="Y4" s="217" t="s">
        <v>7220</v>
      </c>
    </row>
    <row r="5" spans="2:25" ht="15.75" customHeight="1" thickBot="1">
      <c r="B5" s="348"/>
      <c r="C5" s="216" t="s">
        <v>6627</v>
      </c>
      <c r="D5" s="218">
        <v>1</v>
      </c>
      <c r="E5" s="218">
        <v>0.6</v>
      </c>
      <c r="F5" s="218">
        <v>0.63</v>
      </c>
      <c r="G5" s="270">
        <v>0.25</v>
      </c>
      <c r="H5" s="352">
        <v>0.5</v>
      </c>
      <c r="I5" s="353"/>
      <c r="J5" s="218">
        <v>0.38</v>
      </c>
      <c r="K5" s="219" t="s">
        <v>3772</v>
      </c>
      <c r="L5" s="269">
        <v>0.91</v>
      </c>
      <c r="N5" s="362"/>
      <c r="O5" s="216" t="s">
        <v>7211</v>
      </c>
      <c r="P5" s="218">
        <v>0.75</v>
      </c>
      <c r="Q5" s="218" t="s">
        <v>3772</v>
      </c>
      <c r="R5" s="218">
        <v>0.66</v>
      </c>
      <c r="S5" s="270" t="s">
        <v>3772</v>
      </c>
      <c r="T5" s="218">
        <v>0.44</v>
      </c>
      <c r="U5" s="218">
        <v>0.63</v>
      </c>
      <c r="V5" s="218">
        <v>0.28999999999999998</v>
      </c>
      <c r="W5" s="218" t="s">
        <v>3772</v>
      </c>
      <c r="X5" s="269">
        <v>0.43</v>
      </c>
      <c r="Y5" s="269">
        <v>0.38</v>
      </c>
    </row>
    <row r="6" spans="2:25" ht="15.75" thickBot="1">
      <c r="B6" s="348"/>
      <c r="C6" s="216" t="s">
        <v>6628</v>
      </c>
      <c r="D6" s="219">
        <v>7</v>
      </c>
      <c r="E6" s="219">
        <v>12</v>
      </c>
      <c r="F6" s="219">
        <v>8</v>
      </c>
      <c r="G6" s="257">
        <v>12</v>
      </c>
      <c r="H6" s="350">
        <v>10</v>
      </c>
      <c r="I6" s="351"/>
      <c r="J6" s="219">
        <v>14</v>
      </c>
      <c r="K6" s="219" t="s">
        <v>3772</v>
      </c>
      <c r="L6" s="219">
        <v>11</v>
      </c>
      <c r="N6" s="362"/>
      <c r="O6" s="216" t="s">
        <v>6630</v>
      </c>
      <c r="P6" s="218">
        <v>0</v>
      </c>
      <c r="Q6" s="218" t="s">
        <v>3772</v>
      </c>
      <c r="R6" s="218">
        <v>0.33</v>
      </c>
      <c r="S6" s="270" t="s">
        <v>3772</v>
      </c>
      <c r="T6" s="218">
        <v>0.1</v>
      </c>
      <c r="U6" s="218">
        <v>0.2</v>
      </c>
      <c r="V6" s="218">
        <v>0.13</v>
      </c>
      <c r="W6" s="218" t="s">
        <v>3772</v>
      </c>
      <c r="X6" s="269">
        <v>0.22</v>
      </c>
      <c r="Y6" s="269">
        <v>0.11</v>
      </c>
    </row>
    <row r="7" spans="2:25" ht="15.75" thickBot="1">
      <c r="B7" s="348"/>
      <c r="C7" s="216" t="s">
        <v>6629</v>
      </c>
      <c r="D7" s="219">
        <v>7</v>
      </c>
      <c r="E7" s="219">
        <v>10</v>
      </c>
      <c r="F7" s="219">
        <v>8</v>
      </c>
      <c r="G7" s="257">
        <v>12</v>
      </c>
      <c r="H7" s="350">
        <v>10</v>
      </c>
      <c r="I7" s="351"/>
      <c r="J7" s="219">
        <v>13</v>
      </c>
      <c r="K7" s="219" t="s">
        <v>3772</v>
      </c>
      <c r="L7" s="219">
        <v>11</v>
      </c>
      <c r="N7" s="362" t="s">
        <v>7212</v>
      </c>
      <c r="O7" s="216" t="s">
        <v>3771</v>
      </c>
      <c r="P7" s="217" t="s">
        <v>7222</v>
      </c>
      <c r="Q7" s="217" t="s">
        <v>7221</v>
      </c>
      <c r="R7" s="217" t="s">
        <v>7245</v>
      </c>
      <c r="S7" s="264" t="s">
        <v>3772</v>
      </c>
      <c r="T7" s="354" t="s">
        <v>3772</v>
      </c>
      <c r="U7" s="355"/>
      <c r="V7" s="217" t="s">
        <v>7223</v>
      </c>
      <c r="W7" s="217" t="s">
        <v>3772</v>
      </c>
      <c r="X7" s="217" t="s">
        <v>3772</v>
      </c>
      <c r="Y7" s="217" t="s">
        <v>3772</v>
      </c>
    </row>
    <row r="8" spans="2:25" ht="15.75" thickBot="1">
      <c r="B8" s="349"/>
      <c r="C8" s="216" t="s">
        <v>6630</v>
      </c>
      <c r="D8" s="218">
        <v>0</v>
      </c>
      <c r="E8" s="218">
        <v>0.17</v>
      </c>
      <c r="F8" s="218">
        <v>0</v>
      </c>
      <c r="G8" s="270">
        <v>0</v>
      </c>
      <c r="H8" s="352">
        <v>0</v>
      </c>
      <c r="I8" s="353"/>
      <c r="J8" s="218">
        <v>7.0000000000000007E-2</v>
      </c>
      <c r="K8" s="219" t="s">
        <v>3772</v>
      </c>
      <c r="L8" s="269">
        <v>0</v>
      </c>
      <c r="N8" s="362"/>
      <c r="O8" s="216" t="s">
        <v>7211</v>
      </c>
      <c r="P8" s="269">
        <v>0.5</v>
      </c>
      <c r="Q8" s="218">
        <v>0.5</v>
      </c>
      <c r="R8" s="218">
        <v>0.88</v>
      </c>
      <c r="S8" s="265" t="s">
        <v>3772</v>
      </c>
      <c r="T8" s="352" t="s">
        <v>3772</v>
      </c>
      <c r="U8" s="353"/>
      <c r="V8" s="269">
        <v>0.43</v>
      </c>
      <c r="W8" s="219" t="s">
        <v>3772</v>
      </c>
      <c r="X8" s="218" t="s">
        <v>3772</v>
      </c>
      <c r="Y8" s="218" t="s">
        <v>3772</v>
      </c>
    </row>
    <row r="9" spans="2:25" ht="15.75" customHeight="1" thickBot="1">
      <c r="B9" s="347" t="s">
        <v>7126</v>
      </c>
      <c r="C9" s="216" t="s">
        <v>3771</v>
      </c>
      <c r="D9" s="217">
        <v>191</v>
      </c>
      <c r="E9" s="217">
        <v>190</v>
      </c>
      <c r="F9" s="217" t="s">
        <v>3772</v>
      </c>
      <c r="G9" s="259">
        <v>192</v>
      </c>
      <c r="H9" s="354" t="s">
        <v>6755</v>
      </c>
      <c r="I9" s="355"/>
      <c r="J9" s="217" t="s">
        <v>3772</v>
      </c>
      <c r="K9" s="217">
        <v>188</v>
      </c>
      <c r="L9" s="217">
        <v>189</v>
      </c>
      <c r="N9" s="362"/>
      <c r="O9" s="216" t="s">
        <v>6630</v>
      </c>
      <c r="P9" s="218">
        <v>0.27</v>
      </c>
      <c r="Q9" s="218">
        <v>0.2</v>
      </c>
      <c r="R9" s="218">
        <v>0</v>
      </c>
      <c r="S9" s="265" t="s">
        <v>3772</v>
      </c>
      <c r="T9" s="352" t="s">
        <v>3772</v>
      </c>
      <c r="U9" s="353"/>
      <c r="V9" s="218">
        <v>0</v>
      </c>
      <c r="W9" s="218" t="s">
        <v>3772</v>
      </c>
      <c r="X9" s="218" t="s">
        <v>3772</v>
      </c>
      <c r="Y9" s="218" t="s">
        <v>3772</v>
      </c>
    </row>
    <row r="10" spans="2:25" ht="15.75" thickBot="1">
      <c r="B10" s="348"/>
      <c r="C10" s="216" t="s">
        <v>6627</v>
      </c>
      <c r="D10" s="269">
        <v>0.33</v>
      </c>
      <c r="E10" s="218">
        <v>0.28999999999999998</v>
      </c>
      <c r="F10" s="218" t="s">
        <v>3772</v>
      </c>
      <c r="G10" s="258">
        <v>0.6</v>
      </c>
      <c r="H10" s="352">
        <v>0.63</v>
      </c>
      <c r="I10" s="353"/>
      <c r="J10" s="219" t="s">
        <v>3772</v>
      </c>
      <c r="K10" s="269">
        <v>0.3</v>
      </c>
      <c r="L10" s="218">
        <v>0.27</v>
      </c>
      <c r="N10" s="362" t="s">
        <v>7215</v>
      </c>
      <c r="O10" s="216" t="s">
        <v>3771</v>
      </c>
      <c r="P10" s="217" t="s">
        <v>7227</v>
      </c>
      <c r="Q10" s="217" t="s">
        <v>7225</v>
      </c>
      <c r="R10" s="217" t="s">
        <v>7226</v>
      </c>
      <c r="S10" s="264" t="s">
        <v>6722</v>
      </c>
      <c r="T10" s="217" t="s">
        <v>3772</v>
      </c>
      <c r="U10" s="217" t="s">
        <v>3772</v>
      </c>
      <c r="V10" s="217" t="s">
        <v>7228</v>
      </c>
      <c r="W10" s="217" t="s">
        <v>3772</v>
      </c>
      <c r="X10" s="217" t="s">
        <v>7224</v>
      </c>
      <c r="Y10" s="217" t="s">
        <v>3772</v>
      </c>
    </row>
    <row r="11" spans="2:25" ht="15.75" thickBot="1">
      <c r="B11" s="348"/>
      <c r="C11" s="216" t="s">
        <v>6628</v>
      </c>
      <c r="D11" s="219">
        <v>15</v>
      </c>
      <c r="E11" s="219">
        <v>16</v>
      </c>
      <c r="F11" s="219" t="s">
        <v>3772</v>
      </c>
      <c r="G11" s="257">
        <v>12</v>
      </c>
      <c r="H11" s="350">
        <v>9</v>
      </c>
      <c r="I11" s="351"/>
      <c r="J11" s="219" t="s">
        <v>3772</v>
      </c>
      <c r="K11" s="219">
        <v>12</v>
      </c>
      <c r="L11" s="219">
        <v>12</v>
      </c>
      <c r="N11" s="362"/>
      <c r="O11" s="216" t="s">
        <v>7211</v>
      </c>
      <c r="P11" s="269">
        <v>0.5</v>
      </c>
      <c r="Q11" s="218">
        <v>0.3</v>
      </c>
      <c r="R11" s="218">
        <v>0.25</v>
      </c>
      <c r="S11" s="265">
        <v>0.88</v>
      </c>
      <c r="T11" s="265" t="s">
        <v>3772</v>
      </c>
      <c r="U11" s="218" t="s">
        <v>3772</v>
      </c>
      <c r="V11" s="269">
        <v>0.64</v>
      </c>
      <c r="W11" s="269" t="s">
        <v>3772</v>
      </c>
      <c r="X11" s="218">
        <v>0.8</v>
      </c>
      <c r="Y11" s="219" t="s">
        <v>3772</v>
      </c>
    </row>
    <row r="12" spans="2:25" ht="15.75" thickBot="1">
      <c r="B12" s="348"/>
      <c r="C12" s="216" t="s">
        <v>6629</v>
      </c>
      <c r="D12" s="219">
        <v>12</v>
      </c>
      <c r="E12" s="219">
        <v>12</v>
      </c>
      <c r="F12" s="219" t="s">
        <v>3772</v>
      </c>
      <c r="G12" s="257">
        <v>10</v>
      </c>
      <c r="H12" s="350">
        <v>8</v>
      </c>
      <c r="I12" s="351"/>
      <c r="J12" s="219" t="s">
        <v>3772</v>
      </c>
      <c r="K12" s="219">
        <v>10</v>
      </c>
      <c r="L12" s="219">
        <v>11</v>
      </c>
      <c r="N12" s="362"/>
      <c r="O12" s="216" t="s">
        <v>6630</v>
      </c>
      <c r="P12" s="218">
        <v>0</v>
      </c>
      <c r="Q12" s="218">
        <v>0.17</v>
      </c>
      <c r="R12" s="218">
        <v>0.33</v>
      </c>
      <c r="S12" s="265">
        <v>0</v>
      </c>
      <c r="T12" s="265" t="s">
        <v>3772</v>
      </c>
      <c r="U12" s="218" t="s">
        <v>3772</v>
      </c>
      <c r="V12" s="218">
        <v>0.08</v>
      </c>
      <c r="W12" s="218" t="s">
        <v>3772</v>
      </c>
      <c r="X12" s="218">
        <v>0.09</v>
      </c>
      <c r="Y12" s="218" t="s">
        <v>3772</v>
      </c>
    </row>
    <row r="13" spans="2:25" ht="15.75" thickBot="1">
      <c r="B13" s="349"/>
      <c r="C13" s="216" t="s">
        <v>6630</v>
      </c>
      <c r="D13" s="218">
        <v>0.2</v>
      </c>
      <c r="E13" s="218">
        <v>0.13</v>
      </c>
      <c r="F13" s="218" t="s">
        <v>3772</v>
      </c>
      <c r="G13" s="258">
        <v>0.17</v>
      </c>
      <c r="H13" s="352">
        <v>0.11</v>
      </c>
      <c r="I13" s="353"/>
      <c r="J13" s="218" t="s">
        <v>3772</v>
      </c>
      <c r="K13" s="269">
        <v>0.17</v>
      </c>
      <c r="L13" s="218">
        <v>0.08</v>
      </c>
      <c r="N13" s="362" t="s">
        <v>7214</v>
      </c>
      <c r="O13" s="216" t="s">
        <v>3771</v>
      </c>
      <c r="P13" s="217" t="s">
        <v>6860</v>
      </c>
      <c r="Q13" s="217" t="s">
        <v>7231</v>
      </c>
      <c r="R13" s="217" t="s">
        <v>6752</v>
      </c>
      <c r="S13" s="264" t="s">
        <v>7232</v>
      </c>
      <c r="T13" s="354" t="s">
        <v>7229</v>
      </c>
      <c r="U13" s="355"/>
      <c r="V13" s="217" t="s">
        <v>7233</v>
      </c>
      <c r="W13" s="217" t="s">
        <v>3772</v>
      </c>
      <c r="X13" s="217" t="s">
        <v>7230</v>
      </c>
      <c r="Y13" s="217" t="s">
        <v>3772</v>
      </c>
    </row>
    <row r="14" spans="2:25" ht="15.75" customHeight="1" thickBot="1">
      <c r="B14" s="347" t="s">
        <v>7127</v>
      </c>
      <c r="C14" s="216" t="s">
        <v>3771</v>
      </c>
      <c r="D14" s="217">
        <v>198</v>
      </c>
      <c r="E14" s="217">
        <v>196</v>
      </c>
      <c r="F14" s="217" t="s">
        <v>7210</v>
      </c>
      <c r="G14" s="259">
        <v>197</v>
      </c>
      <c r="H14" s="217" t="s">
        <v>6924</v>
      </c>
      <c r="I14" s="217">
        <v>195</v>
      </c>
      <c r="J14" s="217">
        <v>193</v>
      </c>
      <c r="K14" s="217" t="s">
        <v>3772</v>
      </c>
      <c r="L14" s="217">
        <v>194</v>
      </c>
      <c r="N14" s="362"/>
      <c r="O14" s="216" t="s">
        <v>7211</v>
      </c>
      <c r="P14" s="218">
        <v>1</v>
      </c>
      <c r="Q14" s="218">
        <v>0.6</v>
      </c>
      <c r="R14" s="218">
        <v>0.63</v>
      </c>
      <c r="S14" s="270">
        <v>0.25</v>
      </c>
      <c r="T14" s="352">
        <v>0.5</v>
      </c>
      <c r="U14" s="353"/>
      <c r="V14" s="218">
        <v>0.38</v>
      </c>
      <c r="W14" s="218" t="s">
        <v>3772</v>
      </c>
      <c r="X14" s="269">
        <v>0.91</v>
      </c>
      <c r="Y14" s="269" t="s">
        <v>3772</v>
      </c>
    </row>
    <row r="15" spans="2:25" ht="15.75" thickBot="1">
      <c r="B15" s="348"/>
      <c r="C15" s="216" t="s">
        <v>6627</v>
      </c>
      <c r="D15" s="219" t="s">
        <v>3772</v>
      </c>
      <c r="E15" s="218" t="s">
        <v>3772</v>
      </c>
      <c r="F15" s="218" t="s">
        <v>3772</v>
      </c>
      <c r="G15" s="258" t="s">
        <v>3772</v>
      </c>
      <c r="H15" s="258">
        <v>0.5</v>
      </c>
      <c r="I15" s="218" t="s">
        <v>3772</v>
      </c>
      <c r="J15" s="269">
        <v>0.4</v>
      </c>
      <c r="K15" s="219" t="s">
        <v>3772</v>
      </c>
      <c r="L15" s="218" t="s">
        <v>3772</v>
      </c>
      <c r="N15" s="362"/>
      <c r="O15" s="216" t="s">
        <v>6630</v>
      </c>
      <c r="P15" s="218">
        <v>0</v>
      </c>
      <c r="Q15" s="218">
        <v>0.17</v>
      </c>
      <c r="R15" s="218">
        <v>0</v>
      </c>
      <c r="S15" s="270">
        <v>0</v>
      </c>
      <c r="T15" s="352">
        <v>0</v>
      </c>
      <c r="U15" s="353"/>
      <c r="V15" s="218">
        <v>7.0000000000000007E-2</v>
      </c>
      <c r="W15" s="218" t="s">
        <v>3772</v>
      </c>
      <c r="X15" s="269">
        <v>0</v>
      </c>
      <c r="Y15" s="218" t="s">
        <v>3772</v>
      </c>
    </row>
    <row r="16" spans="2:25" ht="15.75" thickBot="1">
      <c r="B16" s="348"/>
      <c r="C16" s="216" t="s">
        <v>6628</v>
      </c>
      <c r="D16" s="219" t="s">
        <v>3772</v>
      </c>
      <c r="E16" s="219" t="s">
        <v>3772</v>
      </c>
      <c r="F16" s="219" t="s">
        <v>3772</v>
      </c>
      <c r="G16" s="257" t="s">
        <v>3772</v>
      </c>
      <c r="H16" s="257">
        <v>12</v>
      </c>
      <c r="I16" s="219" t="s">
        <v>3772</v>
      </c>
      <c r="J16" s="219">
        <v>10</v>
      </c>
      <c r="K16" s="219" t="s">
        <v>3772</v>
      </c>
      <c r="L16" s="219">
        <v>12</v>
      </c>
      <c r="N16" s="362" t="s">
        <v>7213</v>
      </c>
      <c r="O16" s="216" t="s">
        <v>3771</v>
      </c>
      <c r="P16" s="217" t="s">
        <v>7237</v>
      </c>
      <c r="Q16" s="217" t="s">
        <v>7236</v>
      </c>
      <c r="R16" s="217" t="s">
        <v>3772</v>
      </c>
      <c r="S16" s="264" t="s">
        <v>7238</v>
      </c>
      <c r="T16" s="354" t="s">
        <v>6755</v>
      </c>
      <c r="U16" s="355"/>
      <c r="V16" s="217" t="s">
        <v>3772</v>
      </c>
      <c r="W16" s="217" t="s">
        <v>7234</v>
      </c>
      <c r="X16" s="217" t="s">
        <v>7235</v>
      </c>
      <c r="Y16" s="217" t="s">
        <v>3772</v>
      </c>
    </row>
    <row r="17" spans="2:25" ht="15.75" thickBot="1">
      <c r="B17" s="348"/>
      <c r="C17" s="216" t="s">
        <v>6629</v>
      </c>
      <c r="D17" s="219" t="s">
        <v>3772</v>
      </c>
      <c r="E17" s="219" t="s">
        <v>3772</v>
      </c>
      <c r="F17" s="219" t="s">
        <v>3772</v>
      </c>
      <c r="G17" s="257" t="s">
        <v>3772</v>
      </c>
      <c r="H17" s="257">
        <v>12</v>
      </c>
      <c r="I17" s="219" t="s">
        <v>3772</v>
      </c>
      <c r="J17" s="219">
        <v>10</v>
      </c>
      <c r="K17" s="219" t="s">
        <v>3772</v>
      </c>
      <c r="L17" s="219">
        <v>9</v>
      </c>
      <c r="N17" s="362"/>
      <c r="O17" s="216" t="s">
        <v>7211</v>
      </c>
      <c r="P17" s="269">
        <v>0.33</v>
      </c>
      <c r="Q17" s="218">
        <v>0.28999999999999998</v>
      </c>
      <c r="R17" s="218" t="s">
        <v>3772</v>
      </c>
      <c r="S17" s="265">
        <v>0.6</v>
      </c>
      <c r="T17" s="352">
        <v>0.63</v>
      </c>
      <c r="U17" s="353"/>
      <c r="V17" s="219" t="s">
        <v>3772</v>
      </c>
      <c r="W17" s="269">
        <v>0.3</v>
      </c>
      <c r="X17" s="218">
        <v>0.27</v>
      </c>
      <c r="Y17" s="218" t="s">
        <v>3772</v>
      </c>
    </row>
    <row r="18" spans="2:25" ht="15.75" thickBot="1">
      <c r="B18" s="349"/>
      <c r="C18" s="216" t="s">
        <v>6630</v>
      </c>
      <c r="D18" s="218" t="s">
        <v>3772</v>
      </c>
      <c r="E18" s="218" t="s">
        <v>3772</v>
      </c>
      <c r="F18" s="218" t="s">
        <v>3772</v>
      </c>
      <c r="G18" s="258" t="s">
        <v>3772</v>
      </c>
      <c r="H18" s="258">
        <v>0</v>
      </c>
      <c r="I18" s="218" t="s">
        <v>3772</v>
      </c>
      <c r="J18" s="218">
        <v>0</v>
      </c>
      <c r="K18" s="219" t="s">
        <v>3772</v>
      </c>
      <c r="L18" s="218">
        <v>0.25</v>
      </c>
      <c r="N18" s="362"/>
      <c r="O18" s="216" t="s">
        <v>6630</v>
      </c>
      <c r="P18" s="218">
        <v>0.2</v>
      </c>
      <c r="Q18" s="218">
        <v>0.13</v>
      </c>
      <c r="R18" s="218" t="s">
        <v>3772</v>
      </c>
      <c r="S18" s="265">
        <v>0.17</v>
      </c>
      <c r="T18" s="352">
        <v>0.11</v>
      </c>
      <c r="U18" s="353"/>
      <c r="V18" s="218" t="s">
        <v>3772</v>
      </c>
      <c r="W18" s="269">
        <v>0.17</v>
      </c>
      <c r="X18" s="218">
        <v>0.08</v>
      </c>
      <c r="Y18" s="218" t="s">
        <v>3772</v>
      </c>
    </row>
    <row r="19" spans="2:25" ht="15.75" thickBot="1">
      <c r="N19" s="362" t="s">
        <v>7217</v>
      </c>
      <c r="O19" s="216" t="s">
        <v>3771</v>
      </c>
      <c r="P19" s="217" t="s">
        <v>7244</v>
      </c>
      <c r="Q19" s="217" t="s">
        <v>7242</v>
      </c>
      <c r="R19" s="217" t="s">
        <v>7210</v>
      </c>
      <c r="S19" s="264" t="s">
        <v>7243</v>
      </c>
      <c r="T19" s="217" t="s">
        <v>6924</v>
      </c>
      <c r="U19" s="217" t="s">
        <v>7241</v>
      </c>
      <c r="V19" s="217" t="s">
        <v>7239</v>
      </c>
      <c r="W19" s="217" t="s">
        <v>3772</v>
      </c>
      <c r="X19" s="217" t="s">
        <v>7240</v>
      </c>
      <c r="Y19" s="217" t="s">
        <v>3772</v>
      </c>
    </row>
    <row r="20" spans="2:25" ht="15.75" thickBot="1">
      <c r="N20" s="362"/>
      <c r="O20" s="216" t="s">
        <v>7211</v>
      </c>
      <c r="P20" s="219" t="s">
        <v>3772</v>
      </c>
      <c r="Q20" s="218" t="s">
        <v>3772</v>
      </c>
      <c r="R20" s="218" t="s">
        <v>3772</v>
      </c>
      <c r="S20" s="265" t="s">
        <v>3772</v>
      </c>
      <c r="T20" s="265">
        <v>0.5</v>
      </c>
      <c r="U20" s="218" t="s">
        <v>3772</v>
      </c>
      <c r="V20" s="269">
        <v>0.4</v>
      </c>
      <c r="W20" s="219" t="s">
        <v>3772</v>
      </c>
      <c r="X20" s="218" t="s">
        <v>3772</v>
      </c>
      <c r="Y20" s="218" t="s">
        <v>3772</v>
      </c>
    </row>
    <row r="21" spans="2:25" ht="15.75" thickBot="1">
      <c r="N21" s="362"/>
      <c r="O21" s="216" t="s">
        <v>6630</v>
      </c>
      <c r="P21" s="218" t="s">
        <v>3772</v>
      </c>
      <c r="Q21" s="218" t="s">
        <v>3772</v>
      </c>
      <c r="R21" s="218" t="s">
        <v>3772</v>
      </c>
      <c r="S21" s="265" t="s">
        <v>3772</v>
      </c>
      <c r="T21" s="265">
        <v>0</v>
      </c>
      <c r="U21" s="218" t="s">
        <v>3772</v>
      </c>
      <c r="V21" s="218">
        <v>0</v>
      </c>
      <c r="W21" s="219" t="s">
        <v>3772</v>
      </c>
      <c r="X21" s="218">
        <v>0.25</v>
      </c>
      <c r="Y21" s="218" t="s">
        <v>3772</v>
      </c>
    </row>
  </sheetData>
  <mergeCells count="34">
    <mergeCell ref="N16:N18"/>
    <mergeCell ref="T16:U16"/>
    <mergeCell ref="T17:U17"/>
    <mergeCell ref="T18:U18"/>
    <mergeCell ref="N19:N21"/>
    <mergeCell ref="N13:N15"/>
    <mergeCell ref="T13:U13"/>
    <mergeCell ref="T14:U14"/>
    <mergeCell ref="T15:U15"/>
    <mergeCell ref="N4:N6"/>
    <mergeCell ref="N7:N9"/>
    <mergeCell ref="N10:N12"/>
    <mergeCell ref="T7:U7"/>
    <mergeCell ref="T8:U8"/>
    <mergeCell ref="T9:U9"/>
    <mergeCell ref="N2:O3"/>
    <mergeCell ref="T3:U3"/>
    <mergeCell ref="P2:Y2"/>
    <mergeCell ref="D2:L2"/>
    <mergeCell ref="B14:B18"/>
    <mergeCell ref="H12:I12"/>
    <mergeCell ref="H13:I13"/>
    <mergeCell ref="H8:I8"/>
    <mergeCell ref="H9:I9"/>
    <mergeCell ref="H10:I10"/>
    <mergeCell ref="B2:C3"/>
    <mergeCell ref="H3:I3"/>
    <mergeCell ref="H11:I11"/>
    <mergeCell ref="B9:B13"/>
    <mergeCell ref="B4:B8"/>
    <mergeCell ref="H4:I4"/>
    <mergeCell ref="H5:I5"/>
    <mergeCell ref="H6:I6"/>
    <mergeCell ref="H7:I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4"/>
  <sheetViews>
    <sheetView topLeftCell="A8" workbookViewId="0">
      <selection activeCell="F24" sqref="F24"/>
    </sheetView>
  </sheetViews>
  <sheetFormatPr defaultRowHeight="15"/>
  <cols>
    <col min="3" max="3" width="15.28515625" bestFit="1" customWidth="1"/>
    <col min="6" max="6" width="9.28515625" bestFit="1" customWidth="1"/>
  </cols>
  <sheetData>
    <row r="1" spans="2:6">
      <c r="B1" t="s">
        <v>65</v>
      </c>
      <c r="C1" t="s">
        <v>151</v>
      </c>
      <c r="D1" t="s">
        <v>319</v>
      </c>
      <c r="F1" t="s">
        <v>3117</v>
      </c>
    </row>
    <row r="2" spans="2:6">
      <c r="B2" t="s">
        <v>66</v>
      </c>
      <c r="C2" t="s">
        <v>3176</v>
      </c>
      <c r="D2" s="9" t="s">
        <v>317</v>
      </c>
      <c r="F2" s="83" t="s">
        <v>1249</v>
      </c>
    </row>
    <row r="3" spans="2:6">
      <c r="B3" t="s">
        <v>67</v>
      </c>
      <c r="C3" s="6" t="s">
        <v>502</v>
      </c>
      <c r="D3" s="9" t="s">
        <v>318</v>
      </c>
      <c r="F3" t="s">
        <v>3118</v>
      </c>
    </row>
    <row r="4" spans="2:6" s="6" customFormat="1">
      <c r="C4" t="s">
        <v>3108</v>
      </c>
      <c r="F4" s="83" t="s">
        <v>3119</v>
      </c>
    </row>
    <row r="5" spans="2:6">
      <c r="C5" s="6" t="s">
        <v>150</v>
      </c>
      <c r="F5" s="83" t="s">
        <v>3120</v>
      </c>
    </row>
    <row r="6" spans="2:6" s="6" customFormat="1">
      <c r="C6" s="6" t="s">
        <v>60</v>
      </c>
      <c r="F6" s="83" t="s">
        <v>3121</v>
      </c>
    </row>
    <row r="7" spans="2:6">
      <c r="C7" s="6" t="s">
        <v>170</v>
      </c>
      <c r="F7" s="83" t="s">
        <v>3122</v>
      </c>
    </row>
    <row r="8" spans="2:6">
      <c r="C8" s="6" t="s">
        <v>61</v>
      </c>
      <c r="F8" s="83" t="s">
        <v>3123</v>
      </c>
    </row>
    <row r="9" spans="2:6">
      <c r="C9" s="6" t="s">
        <v>171</v>
      </c>
      <c r="F9" t="s">
        <v>3124</v>
      </c>
    </row>
    <row r="10" spans="2:6">
      <c r="C10" t="s">
        <v>4312</v>
      </c>
      <c r="F10" t="s">
        <v>3125</v>
      </c>
    </row>
    <row r="11" spans="2:6">
      <c r="C11" s="6" t="s">
        <v>62</v>
      </c>
      <c r="F11" s="83" t="s">
        <v>3126</v>
      </c>
    </row>
    <row r="12" spans="2:6">
      <c r="C12" t="s">
        <v>3321</v>
      </c>
      <c r="F12" s="83" t="s">
        <v>3127</v>
      </c>
    </row>
    <row r="13" spans="2:6">
      <c r="C13" s="6" t="s">
        <v>63</v>
      </c>
      <c r="F13" t="s">
        <v>3128</v>
      </c>
    </row>
    <row r="14" spans="2:6">
      <c r="C14" s="6" t="s">
        <v>64</v>
      </c>
      <c r="F14" s="83" t="s">
        <v>3129</v>
      </c>
    </row>
    <row r="15" spans="2:6">
      <c r="C15" s="6" t="s">
        <v>59</v>
      </c>
      <c r="F15" t="s">
        <v>3696</v>
      </c>
    </row>
    <row r="16" spans="2:6">
      <c r="C16" s="6" t="s">
        <v>340</v>
      </c>
      <c r="F16" s="83" t="s">
        <v>3960</v>
      </c>
    </row>
    <row r="17" spans="3:6">
      <c r="C17" s="6" t="s">
        <v>441</v>
      </c>
      <c r="F17" t="s">
        <v>3961</v>
      </c>
    </row>
    <row r="18" spans="3:6">
      <c r="C18" t="s">
        <v>3244</v>
      </c>
      <c r="F18" t="s">
        <v>4077</v>
      </c>
    </row>
    <row r="19" spans="3:6">
      <c r="F19" t="s">
        <v>4517</v>
      </c>
    </row>
    <row r="20" spans="3:6">
      <c r="F20" t="s">
        <v>4519</v>
      </c>
    </row>
    <row r="21" spans="3:6">
      <c r="F21" t="s">
        <v>5262</v>
      </c>
    </row>
    <row r="22" spans="3:6">
      <c r="F22" t="s">
        <v>1249</v>
      </c>
    </row>
    <row r="23" spans="3:6">
      <c r="F23" t="s">
        <v>5923</v>
      </c>
    </row>
    <row r="24" spans="3:6">
      <c r="F24" t="s">
        <v>5924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Process</vt:lpstr>
      <vt:lpstr>WLA</vt:lpstr>
      <vt:lpstr>Data</vt:lpstr>
      <vt:lpstr>Pending</vt:lpstr>
      <vt:lpstr>Rejoiners</vt:lpstr>
      <vt:lpstr>Raw-Data</vt:lpstr>
      <vt:lpstr>Int. DB</vt:lpstr>
      <vt:lpstr>Allocation</vt:lpstr>
      <vt:lpstr>Hired</vt:lpstr>
      <vt:lpstr>Internal</vt:lpstr>
      <vt:lpstr>Trainers</vt:lpstr>
    </vt:vector>
  </TitlesOfParts>
  <Company>Teleperformance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Shady Abdelfattah Mohamed</dc:creator>
  <cp:lastModifiedBy>Shady Abdelfattah Mohamed</cp:lastModifiedBy>
  <dcterms:created xsi:type="dcterms:W3CDTF">2018-12-09T14:13:15Z</dcterms:created>
  <dcterms:modified xsi:type="dcterms:W3CDTF">2020-10-05T16:48:21Z</dcterms:modified>
</cp:coreProperties>
</file>